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J.Alavi\Downloads\finan\Y2024-2025\"/>
    </mc:Choice>
  </mc:AlternateContent>
  <xr:revisionPtr revIDLastSave="0" documentId="13_ncr:1_{4A31F338-EABB-464C-B627-3F67D05A15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w Mortgage look" sheetId="3" r:id="rId1"/>
    <sheet name="Expense" sheetId="4" r:id="rId2"/>
    <sheet name="Assets" sheetId="5" r:id="rId3"/>
    <sheet name="Liabilities" sheetId="6" r:id="rId4"/>
    <sheet name="Income" sheetId="7" r:id="rId5"/>
    <sheet name="Expenses" sheetId="8" r:id="rId6"/>
    <sheet name="Summary" sheetId="9" r:id="rId7"/>
  </sheets>
  <calcPr calcId="191029"/>
  <pivotCaches>
    <pivotCache cacheId="4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5" i="8" l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4" i="8"/>
  <c r="E64" i="3"/>
  <c r="E65" i="3"/>
  <c r="E66" i="3"/>
  <c r="E67" i="3"/>
  <c r="E68" i="3"/>
  <c r="E69" i="3"/>
  <c r="E63" i="3"/>
  <c r="C67" i="3"/>
  <c r="D49" i="8"/>
  <c r="I34" i="9"/>
  <c r="F34" i="9"/>
  <c r="C34" i="9"/>
  <c r="B34" i="9"/>
  <c r="C6" i="9"/>
  <c r="C39" i="8"/>
  <c r="M13" i="8" s="1"/>
  <c r="F12" i="9" s="1"/>
  <c r="C25" i="7"/>
  <c r="B6" i="9" s="1"/>
  <c r="G25" i="7"/>
  <c r="G17" i="7"/>
  <c r="G10" i="7"/>
  <c r="E10" i="7"/>
  <c r="I39" i="6"/>
  <c r="I32" i="6"/>
  <c r="J24" i="6"/>
  <c r="J25" i="6"/>
  <c r="H24" i="6"/>
  <c r="H25" i="6"/>
  <c r="G24" i="6"/>
  <c r="G25" i="6"/>
  <c r="F24" i="6"/>
  <c r="F25" i="6"/>
  <c r="E23" i="6"/>
  <c r="C39" i="6" s="1"/>
  <c r="B26" i="9" s="1"/>
  <c r="H24" i="5"/>
  <c r="H23" i="5"/>
  <c r="H22" i="5"/>
  <c r="H29" i="5"/>
  <c r="E16" i="5"/>
  <c r="E7" i="5"/>
  <c r="G16" i="5"/>
  <c r="F37" i="3"/>
  <c r="R15" i="8" l="1"/>
  <c r="R13" i="8"/>
  <c r="H39" i="6"/>
  <c r="C26" i="9" s="1"/>
  <c r="I21" i="3" l="1"/>
  <c r="F24" i="3"/>
  <c r="F16" i="3"/>
  <c r="I30" i="3"/>
  <c r="I27" i="3"/>
  <c r="H27" i="3"/>
  <c r="X5" i="3"/>
  <c r="W5" i="3"/>
  <c r="H34" i="9" s="1"/>
  <c r="T5" i="3"/>
  <c r="S5" i="3"/>
  <c r="G34" i="9" s="1"/>
  <c r="P5" i="3"/>
  <c r="O5" i="3"/>
  <c r="L5" i="3"/>
  <c r="K6" i="3"/>
  <c r="I12" i="3"/>
  <c r="E12" i="3"/>
  <c r="G5" i="3"/>
  <c r="G6" i="3"/>
  <c r="G7" i="3"/>
  <c r="G8" i="3"/>
  <c r="D5" i="3"/>
  <c r="K69" i="3"/>
  <c r="K67" i="3"/>
  <c r="K68" i="3"/>
  <c r="K65" i="3"/>
  <c r="K66" i="3"/>
  <c r="K63" i="3"/>
  <c r="K64" i="3"/>
  <c r="K62" i="3"/>
  <c r="J50" i="3"/>
  <c r="J51" i="3"/>
  <c r="J52" i="3"/>
  <c r="J53" i="3"/>
  <c r="J54" i="3"/>
  <c r="J55" i="3"/>
  <c r="J56" i="3"/>
  <c r="J57" i="3"/>
  <c r="J49" i="3"/>
  <c r="C94" i="3"/>
  <c r="E94" i="3"/>
  <c r="F94" i="3"/>
  <c r="B91" i="3"/>
  <c r="F88" i="3"/>
  <c r="E88" i="3"/>
  <c r="B85" i="3"/>
  <c r="E77" i="3"/>
  <c r="B76" i="3"/>
  <c r="H57" i="3"/>
  <c r="H56" i="3"/>
  <c r="H55" i="3"/>
  <c r="H54" i="3"/>
  <c r="H53" i="3"/>
  <c r="H52" i="3"/>
  <c r="H51" i="3"/>
  <c r="H50" i="3"/>
  <c r="H49" i="3"/>
  <c r="D58" i="3"/>
  <c r="K57" i="3"/>
  <c r="I57" i="3"/>
  <c r="F57" i="3"/>
  <c r="K56" i="3"/>
  <c r="I56" i="3"/>
  <c r="F56" i="3"/>
  <c r="K5" i="3" s="1"/>
  <c r="E34" i="9" s="1"/>
  <c r="C66" i="3"/>
  <c r="G76" i="3"/>
  <c r="F76" i="3"/>
  <c r="Q13" i="8" s="1"/>
  <c r="G12" i="9" s="1"/>
  <c r="G85" i="3"/>
  <c r="B86" i="3"/>
  <c r="G86" i="3"/>
  <c r="L91" i="3"/>
  <c r="K91" i="3"/>
  <c r="G91" i="3"/>
  <c r="I91" i="3" s="1"/>
  <c r="D91" i="3"/>
  <c r="C35" i="8"/>
  <c r="C31" i="8"/>
  <c r="W8" i="3"/>
  <c r="W7" i="3"/>
  <c r="W6" i="3"/>
  <c r="F31" i="3"/>
  <c r="F27" i="3"/>
  <c r="F34" i="3"/>
  <c r="F28" i="3"/>
  <c r="F36" i="3"/>
  <c r="F29" i="3"/>
  <c r="F35" i="3"/>
  <c r="F26" i="3"/>
  <c r="F42" i="3"/>
  <c r="F39" i="3"/>
  <c r="F30" i="3"/>
  <c r="F44" i="3"/>
  <c r="F33" i="3"/>
  <c r="F40" i="3"/>
  <c r="F38" i="3"/>
  <c r="F32" i="3"/>
  <c r="F41" i="3"/>
  <c r="W12" i="3" l="1"/>
  <c r="J34" i="9"/>
  <c r="D34" i="9"/>
  <c r="H5" i="3"/>
  <c r="J27" i="3"/>
  <c r="K27" i="3" s="1"/>
  <c r="J91" i="3"/>
  <c r="H91" i="3"/>
  <c r="D6" i="3"/>
  <c r="H6" i="3" s="1"/>
  <c r="G18" i="5"/>
  <c r="G30" i="5" s="1"/>
  <c r="C15" i="9" s="1"/>
  <c r="F17" i="3"/>
  <c r="I49" i="3"/>
  <c r="I50" i="3"/>
  <c r="I51" i="3"/>
  <c r="I52" i="3"/>
  <c r="I53" i="3"/>
  <c r="I54" i="3"/>
  <c r="I55" i="3"/>
  <c r="G52" i="3"/>
  <c r="B16" i="9"/>
  <c r="F16" i="9"/>
  <c r="F15" i="9"/>
  <c r="I31" i="9"/>
  <c r="F31" i="9"/>
  <c r="C33" i="9"/>
  <c r="C32" i="9"/>
  <c r="C31" i="9"/>
  <c r="B33" i="9"/>
  <c r="B32" i="9"/>
  <c r="B31" i="9"/>
  <c r="E1" i="9"/>
  <c r="B22" i="9"/>
  <c r="A21" i="9"/>
  <c r="B15" i="9"/>
  <c r="B14" i="9"/>
  <c r="B13" i="9"/>
  <c r="B12" i="9"/>
  <c r="A11" i="9"/>
  <c r="C1" i="9"/>
  <c r="A1" i="9"/>
  <c r="T8" i="3"/>
  <c r="S8" i="3"/>
  <c r="X6" i="3"/>
  <c r="H33" i="9"/>
  <c r="T6" i="3"/>
  <c r="T7" i="3"/>
  <c r="S7" i="3"/>
  <c r="G32" i="9" s="1"/>
  <c r="S6" i="3"/>
  <c r="P7" i="3"/>
  <c r="P6" i="3"/>
  <c r="P12" i="3" s="1"/>
  <c r="O7" i="3"/>
  <c r="F32" i="9" s="1"/>
  <c r="O6" i="3"/>
  <c r="H15" i="3"/>
  <c r="C82" i="3"/>
  <c r="D82" i="3"/>
  <c r="F46" i="3" s="1"/>
  <c r="I17" i="3" s="1"/>
  <c r="R14" i="8"/>
  <c r="R12" i="8"/>
  <c r="R11" i="8"/>
  <c r="R10" i="8"/>
  <c r="R9" i="8"/>
  <c r="R8" i="8"/>
  <c r="R7" i="8"/>
  <c r="R6" i="8"/>
  <c r="R5" i="8"/>
  <c r="R4" i="8"/>
  <c r="R3" i="8"/>
  <c r="M15" i="8"/>
  <c r="F14" i="9" s="1"/>
  <c r="M14" i="8"/>
  <c r="F13" i="9" s="1"/>
  <c r="M12" i="8"/>
  <c r="F11" i="9" s="1"/>
  <c r="M11" i="8"/>
  <c r="F10" i="9" s="1"/>
  <c r="M9" i="8"/>
  <c r="F8" i="9" s="1"/>
  <c r="M8" i="8"/>
  <c r="F7" i="9" s="1"/>
  <c r="M7" i="8"/>
  <c r="F6" i="9" s="1"/>
  <c r="M6" i="8"/>
  <c r="F5" i="9" s="1"/>
  <c r="M5" i="8"/>
  <c r="F4" i="9" s="1"/>
  <c r="M4" i="8"/>
  <c r="F3" i="9" s="1"/>
  <c r="M3" i="8"/>
  <c r="F2" i="9" s="1"/>
  <c r="D50" i="8"/>
  <c r="D48" i="8"/>
  <c r="D47" i="8"/>
  <c r="D46" i="8"/>
  <c r="F21" i="3"/>
  <c r="F20" i="3"/>
  <c r="D54" i="8"/>
  <c r="D53" i="8"/>
  <c r="D52" i="8"/>
  <c r="C24" i="8"/>
  <c r="M10" i="8" s="1"/>
  <c r="F9" i="9" s="1"/>
  <c r="L92" i="3"/>
  <c r="K92" i="3"/>
  <c r="G92" i="3"/>
  <c r="G8" i="7"/>
  <c r="G23" i="7" s="1"/>
  <c r="C4" i="9" s="1"/>
  <c r="K93" i="3"/>
  <c r="L93" i="3"/>
  <c r="G93" i="3"/>
  <c r="J93" i="3" s="1"/>
  <c r="G9" i="7"/>
  <c r="G24" i="7" s="1"/>
  <c r="C5" i="9" s="1"/>
  <c r="B93" i="3"/>
  <c r="B92" i="3"/>
  <c r="B87" i="3"/>
  <c r="C62" i="3"/>
  <c r="C63" i="3"/>
  <c r="C64" i="3"/>
  <c r="E20" i="5" s="1"/>
  <c r="C65" i="3"/>
  <c r="B75" i="3"/>
  <c r="B74" i="3"/>
  <c r="B73" i="3"/>
  <c r="E9" i="7"/>
  <c r="C24" i="7" s="1"/>
  <c r="B5" i="9" s="1"/>
  <c r="E8" i="7"/>
  <c r="C23" i="7" s="1"/>
  <c r="B4" i="9" s="1"/>
  <c r="C22" i="7"/>
  <c r="B3" i="9" s="1"/>
  <c r="C21" i="7"/>
  <c r="B2" i="9" s="1"/>
  <c r="I38" i="6"/>
  <c r="I37" i="6"/>
  <c r="I36" i="6"/>
  <c r="I35" i="6"/>
  <c r="I31" i="6"/>
  <c r="I30" i="6"/>
  <c r="E19" i="6"/>
  <c r="C38" i="6" s="1"/>
  <c r="B25" i="9" s="1"/>
  <c r="E15" i="6"/>
  <c r="C37" i="6" s="1"/>
  <c r="B24" i="9" s="1"/>
  <c r="J20" i="6"/>
  <c r="J22" i="6"/>
  <c r="H22" i="6"/>
  <c r="G22" i="6"/>
  <c r="F22" i="6"/>
  <c r="J21" i="6"/>
  <c r="H21" i="6"/>
  <c r="G21" i="6"/>
  <c r="F21" i="6"/>
  <c r="H20" i="6"/>
  <c r="H32" i="6" s="1"/>
  <c r="G20" i="6"/>
  <c r="F20" i="6"/>
  <c r="J17" i="6"/>
  <c r="H17" i="6"/>
  <c r="H37" i="6" s="1"/>
  <c r="G17" i="6"/>
  <c r="F17" i="6"/>
  <c r="J13" i="6"/>
  <c r="H13" i="6"/>
  <c r="G13" i="6"/>
  <c r="F13" i="6"/>
  <c r="J12" i="6"/>
  <c r="H12" i="6"/>
  <c r="G12" i="6"/>
  <c r="F12" i="6"/>
  <c r="J11" i="6"/>
  <c r="H11" i="6"/>
  <c r="G11" i="6"/>
  <c r="F11" i="6"/>
  <c r="E10" i="6"/>
  <c r="C36" i="6" s="1"/>
  <c r="B23" i="9" s="1"/>
  <c r="H7" i="6"/>
  <c r="E7" i="6"/>
  <c r="H6" i="6"/>
  <c r="H31" i="6" s="1"/>
  <c r="E6" i="6"/>
  <c r="H5" i="6"/>
  <c r="E5" i="6"/>
  <c r="H31" i="5"/>
  <c r="H30" i="5"/>
  <c r="H28" i="5"/>
  <c r="H27" i="5"/>
  <c r="H33" i="5"/>
  <c r="G20" i="5"/>
  <c r="G31" i="5" s="1"/>
  <c r="C16" i="9" s="1"/>
  <c r="F20" i="5"/>
  <c r="E18" i="5"/>
  <c r="G15" i="5"/>
  <c r="G14" i="5"/>
  <c r="G13" i="5"/>
  <c r="E15" i="5"/>
  <c r="E14" i="5"/>
  <c r="E13" i="5"/>
  <c r="G11" i="5"/>
  <c r="E11" i="5"/>
  <c r="G10" i="5"/>
  <c r="E10" i="5"/>
  <c r="G8" i="5"/>
  <c r="F8" i="5"/>
  <c r="E8" i="5"/>
  <c r="G7" i="5"/>
  <c r="F7" i="5"/>
  <c r="G6" i="5"/>
  <c r="F6" i="5"/>
  <c r="E6" i="5"/>
  <c r="G5" i="5"/>
  <c r="F5" i="5"/>
  <c r="E5" i="5"/>
  <c r="G87" i="3"/>
  <c r="G81" i="3"/>
  <c r="G80" i="3"/>
  <c r="E82" i="3"/>
  <c r="I18" i="3" s="1"/>
  <c r="G15" i="9" s="1"/>
  <c r="F82" i="3"/>
  <c r="I19" i="3" s="1"/>
  <c r="G16" i="9" s="1"/>
  <c r="G74" i="3"/>
  <c r="G75" i="3"/>
  <c r="G73" i="3"/>
  <c r="G77" i="3" s="1"/>
  <c r="F75" i="3"/>
  <c r="F23" i="3" s="1"/>
  <c r="F73" i="3"/>
  <c r="F74" i="3"/>
  <c r="F22" i="3" s="1"/>
  <c r="F14" i="3"/>
  <c r="F62" i="3"/>
  <c r="F19" i="3" s="1"/>
  <c r="I43" i="6" l="1"/>
  <c r="K94" i="3"/>
  <c r="L94" i="3"/>
  <c r="F33" i="9"/>
  <c r="O12" i="3"/>
  <c r="T12" i="3"/>
  <c r="G31" i="9"/>
  <c r="S12" i="3"/>
  <c r="G24" i="5"/>
  <c r="Q15" i="8"/>
  <c r="G14" i="9" s="1"/>
  <c r="L6" i="3"/>
  <c r="G29" i="5"/>
  <c r="C14" i="9" s="1"/>
  <c r="R17" i="8"/>
  <c r="G22" i="5"/>
  <c r="G23" i="5"/>
  <c r="G88" i="3"/>
  <c r="H92" i="3"/>
  <c r="H94" i="3" s="1"/>
  <c r="G94" i="3"/>
  <c r="F25" i="3"/>
  <c r="F77" i="3"/>
  <c r="D94" i="3"/>
  <c r="I32" i="9"/>
  <c r="G33" i="9"/>
  <c r="G35" i="9" s="1"/>
  <c r="H81" i="3"/>
  <c r="G6" i="7" s="1"/>
  <c r="G16" i="7" s="1"/>
  <c r="I81" i="3"/>
  <c r="C35" i="9"/>
  <c r="J80" i="3"/>
  <c r="I80" i="3"/>
  <c r="F35" i="9"/>
  <c r="I33" i="9"/>
  <c r="Q14" i="8"/>
  <c r="G13" i="9" s="1"/>
  <c r="Q5" i="8"/>
  <c r="G4" i="9" s="1"/>
  <c r="Q7" i="8"/>
  <c r="G6" i="9" s="1"/>
  <c r="F45" i="3"/>
  <c r="I15" i="3" s="1"/>
  <c r="H38" i="6"/>
  <c r="C25" i="9" s="1"/>
  <c r="J81" i="3"/>
  <c r="H35" i="6"/>
  <c r="C22" i="9" s="1"/>
  <c r="H30" i="6"/>
  <c r="Q9" i="8"/>
  <c r="G8" i="9" s="1"/>
  <c r="I93" i="3"/>
  <c r="I92" i="3"/>
  <c r="I94" i="3" s="1"/>
  <c r="G82" i="3"/>
  <c r="G28" i="5"/>
  <c r="C13" i="9" s="1"/>
  <c r="J92" i="3"/>
  <c r="J94" i="3" s="1"/>
  <c r="C24" i="9"/>
  <c r="H36" i="6"/>
  <c r="C23" i="9" s="1"/>
  <c r="H93" i="3"/>
  <c r="G27" i="5"/>
  <c r="C12" i="9" s="1"/>
  <c r="H80" i="3"/>
  <c r="L8" i="3"/>
  <c r="D8" i="3"/>
  <c r="D31" i="9" s="1"/>
  <c r="K55" i="3"/>
  <c r="F55" i="3"/>
  <c r="K49" i="3"/>
  <c r="K51" i="3"/>
  <c r="K52" i="3"/>
  <c r="K53" i="3"/>
  <c r="K54" i="3"/>
  <c r="K50" i="3"/>
  <c r="G51" i="3"/>
  <c r="G49" i="3"/>
  <c r="G50" i="3"/>
  <c r="F54" i="3"/>
  <c r="F53" i="3"/>
  <c r="D7" i="3"/>
  <c r="I25" i="3"/>
  <c r="I26" i="3"/>
  <c r="I28" i="3"/>
  <c r="H28" i="3"/>
  <c r="H26" i="3"/>
  <c r="H25" i="3"/>
  <c r="C24" i="3"/>
  <c r="M10" i="3"/>
  <c r="K7" i="3"/>
  <c r="J10" i="3"/>
  <c r="N10" i="3" s="1"/>
  <c r="J6" i="3"/>
  <c r="D34" i="3"/>
  <c r="H9" i="3" s="1"/>
  <c r="C16" i="3"/>
  <c r="F58" i="3" l="1"/>
  <c r="C27" i="9"/>
  <c r="H7" i="3"/>
  <c r="D12" i="3"/>
  <c r="Q3" i="8"/>
  <c r="G2" i="9" s="1"/>
  <c r="G58" i="3"/>
  <c r="Q12" i="8"/>
  <c r="G11" i="9" s="1"/>
  <c r="AA5" i="3"/>
  <c r="AA7" i="3"/>
  <c r="J7" i="3"/>
  <c r="I35" i="9"/>
  <c r="J82" i="3"/>
  <c r="I82" i="3"/>
  <c r="G22" i="7"/>
  <c r="C3" i="9" s="1"/>
  <c r="Y5" i="3"/>
  <c r="M5" i="3"/>
  <c r="J5" i="3"/>
  <c r="Q5" i="3"/>
  <c r="U5" i="3"/>
  <c r="AB6" i="3"/>
  <c r="Q4" i="8"/>
  <c r="G3" i="9" s="1"/>
  <c r="J28" i="3"/>
  <c r="K28" i="3" s="1"/>
  <c r="N8" i="3"/>
  <c r="V8" i="3"/>
  <c r="R8" i="3"/>
  <c r="Q6" i="8"/>
  <c r="G5" i="9" s="1"/>
  <c r="C17" i="9"/>
  <c r="Z6" i="3"/>
  <c r="R6" i="3"/>
  <c r="V6" i="3"/>
  <c r="J25" i="3"/>
  <c r="K25" i="3" s="1"/>
  <c r="D33" i="9"/>
  <c r="M7" i="3"/>
  <c r="E32" i="9"/>
  <c r="Q7" i="3"/>
  <c r="U7" i="3"/>
  <c r="J26" i="3"/>
  <c r="K26" i="3" s="1"/>
  <c r="D32" i="9"/>
  <c r="Q8" i="8"/>
  <c r="G7" i="9" s="1"/>
  <c r="H43" i="6"/>
  <c r="H82" i="3"/>
  <c r="I20" i="3" s="1"/>
  <c r="G5" i="7"/>
  <c r="G33" i="5"/>
  <c r="K8" i="3"/>
  <c r="AA8" i="3" s="1"/>
  <c r="I16" i="3"/>
  <c r="I29" i="3"/>
  <c r="AA6" i="3"/>
  <c r="N6" i="3"/>
  <c r="L7" i="3"/>
  <c r="L12" i="3" s="1"/>
  <c r="K12" i="3" l="1"/>
  <c r="AA12" i="3"/>
  <c r="J12" i="3"/>
  <c r="Z5" i="3"/>
  <c r="N5" i="3"/>
  <c r="V5" i="3"/>
  <c r="R5" i="3"/>
  <c r="AB5" i="3"/>
  <c r="M8" i="3"/>
  <c r="E31" i="9"/>
  <c r="Q8" i="3"/>
  <c r="U8" i="3"/>
  <c r="M6" i="3"/>
  <c r="Q6" i="3"/>
  <c r="Y6" i="3"/>
  <c r="E33" i="9"/>
  <c r="J33" i="9" s="1"/>
  <c r="U6" i="3"/>
  <c r="D35" i="9"/>
  <c r="N7" i="3"/>
  <c r="R7" i="3"/>
  <c r="V7" i="3"/>
  <c r="J29" i="3"/>
  <c r="J30" i="3" s="1"/>
  <c r="K30" i="3" s="1"/>
  <c r="G21" i="7"/>
  <c r="C2" i="9" s="1"/>
  <c r="C7" i="9" s="1"/>
  <c r="G15" i="7"/>
  <c r="G28" i="7" s="1"/>
  <c r="F28" i="5"/>
  <c r="F31" i="5"/>
  <c r="F30" i="5"/>
  <c r="F27" i="5"/>
  <c r="F29" i="5"/>
  <c r="H8" i="3"/>
  <c r="R12" i="3" l="1"/>
  <c r="V12" i="3"/>
  <c r="U12" i="3"/>
  <c r="Q12" i="3"/>
  <c r="M12" i="3"/>
  <c r="N12" i="3"/>
  <c r="F10" i="3"/>
  <c r="H12" i="3"/>
  <c r="K31" i="3"/>
  <c r="K34" i="3" s="1"/>
  <c r="E35" i="9"/>
  <c r="K32" i="3"/>
  <c r="K35" i="3" s="1"/>
  <c r="K36" i="3" s="1"/>
  <c r="K29" i="3"/>
  <c r="F12" i="3" l="1"/>
  <c r="C10" i="3"/>
  <c r="G10" i="3" s="1"/>
  <c r="G12" i="3" s="1"/>
  <c r="C12" i="3" l="1"/>
  <c r="Y7" i="3"/>
  <c r="F15" i="3"/>
  <c r="Q11" i="8"/>
  <c r="X8" i="3"/>
  <c r="X7" i="3"/>
  <c r="AB7" i="3" s="1"/>
  <c r="H32" i="9"/>
  <c r="H31" i="9"/>
  <c r="J31" i="9" s="1"/>
  <c r="E70" i="3"/>
  <c r="F70" i="3"/>
  <c r="F18" i="3"/>
  <c r="X12" i="3" l="1"/>
  <c r="Q10" i="8"/>
  <c r="G9" i="9" s="1"/>
  <c r="H60" i="8"/>
  <c r="Z8" i="3"/>
  <c r="AB8" i="3"/>
  <c r="AB12" i="3" s="1"/>
  <c r="Z7" i="3"/>
  <c r="I14" i="3"/>
  <c r="I22" i="3" s="1"/>
  <c r="Y8" i="3"/>
  <c r="Y12" i="3" s="1"/>
  <c r="G10" i="9"/>
  <c r="J32" i="9"/>
  <c r="J35" i="9" s="1"/>
  <c r="H35" i="9"/>
  <c r="G17" i="9" l="1"/>
  <c r="G19" i="9" s="1"/>
  <c r="Q17" i="8"/>
  <c r="Z12" i="3"/>
</calcChain>
</file>

<file path=xl/sharedStrings.xml><?xml version="1.0" encoding="utf-8"?>
<sst xmlns="http://schemas.openxmlformats.org/spreadsheetml/2006/main" count="523" uniqueCount="289">
  <si>
    <t>Value</t>
  </si>
  <si>
    <t>20%Deposit</t>
  </si>
  <si>
    <t>Current Loan</t>
  </si>
  <si>
    <t>New Loan</t>
  </si>
  <si>
    <t>Current Revolving</t>
  </si>
  <si>
    <t>NewRevolving/Cash</t>
  </si>
  <si>
    <t>Weekly</t>
  </si>
  <si>
    <t>Forthnight</t>
  </si>
  <si>
    <t>Rent</t>
  </si>
  <si>
    <t>24 Panorama Rate</t>
  </si>
  <si>
    <t>Deposit</t>
  </si>
  <si>
    <t>Total</t>
  </si>
  <si>
    <t>Rate</t>
  </si>
  <si>
    <t xml:space="preserve">Total Remaining </t>
  </si>
  <si>
    <t>Saving for new Investment</t>
  </si>
  <si>
    <t>Cash/Saving</t>
  </si>
  <si>
    <t>Weekly Payment</t>
  </si>
  <si>
    <t>Loan terms</t>
  </si>
  <si>
    <t>fortnight Payment</t>
  </si>
  <si>
    <t>Total Rents</t>
  </si>
  <si>
    <t>Total Values / Rents</t>
  </si>
  <si>
    <t>Mortgage Repayment</t>
  </si>
  <si>
    <t>All Mortgage</t>
  </si>
  <si>
    <t>H-Insu 8 Denning</t>
  </si>
  <si>
    <t>H-Insu 24 Panorama</t>
  </si>
  <si>
    <t>H-Insu 5B Cleary</t>
  </si>
  <si>
    <t>Life</t>
  </si>
  <si>
    <t>8 Denning Rate</t>
  </si>
  <si>
    <t>5B cleary Rate</t>
  </si>
  <si>
    <t>Apple storage</t>
  </si>
  <si>
    <t>C-Insu 8 Denning</t>
  </si>
  <si>
    <t>US Mobile</t>
  </si>
  <si>
    <t>Water</t>
  </si>
  <si>
    <t>MyRentCharge</t>
  </si>
  <si>
    <t>Car Insu</t>
  </si>
  <si>
    <t>Rental Income</t>
  </si>
  <si>
    <t>Total Monthly Costs</t>
  </si>
  <si>
    <t>Value/Loan ROI</t>
  </si>
  <si>
    <t>DTI</t>
  </si>
  <si>
    <t>DTI Weekly Rental Income needed</t>
  </si>
  <si>
    <t>DTI Annual Salary Income needed</t>
  </si>
  <si>
    <t>DTI - increase salary each</t>
  </si>
  <si>
    <t>3/4 DTI - increase Salary for both</t>
  </si>
  <si>
    <t>End Date</t>
  </si>
  <si>
    <t>Properties Tax</t>
  </si>
  <si>
    <t>Row Labels</t>
  </si>
  <si>
    <t>Sum of Amount</t>
  </si>
  <si>
    <t>Monthly</t>
  </si>
  <si>
    <t>Dinning</t>
  </si>
  <si>
    <t>Home Expense</t>
  </si>
  <si>
    <t>Medical</t>
  </si>
  <si>
    <t>Shopping</t>
  </si>
  <si>
    <t>Travel</t>
  </si>
  <si>
    <t>Grand Total</t>
  </si>
  <si>
    <t>All Insurances</t>
  </si>
  <si>
    <t>Car Comprehensive</t>
  </si>
  <si>
    <t>Monthly Payment</t>
  </si>
  <si>
    <t>Excess</t>
  </si>
  <si>
    <t>House Plus</t>
  </si>
  <si>
    <t>Contents Plus</t>
  </si>
  <si>
    <t>Landlords Plus</t>
  </si>
  <si>
    <t>Life Insurance</t>
  </si>
  <si>
    <t>Payment</t>
  </si>
  <si>
    <t>Payment Day</t>
  </si>
  <si>
    <t>the 20th of every month</t>
  </si>
  <si>
    <t>Yearly</t>
  </si>
  <si>
    <t>the 6th of September every year</t>
  </si>
  <si>
    <t>the 06th of every month</t>
  </si>
  <si>
    <t>the 14th of every month</t>
  </si>
  <si>
    <t>Quarterly Payment</t>
  </si>
  <si>
    <t>Quarterly</t>
  </si>
  <si>
    <t>Income</t>
  </si>
  <si>
    <t>MJ</t>
  </si>
  <si>
    <t>Sam</t>
  </si>
  <si>
    <t>Gross (Year)</t>
  </si>
  <si>
    <t>KiwiSaver (Monthly)</t>
  </si>
  <si>
    <t>ACC (Monthly)</t>
  </si>
  <si>
    <t>Tax (Monthly)</t>
  </si>
  <si>
    <t>Net (Year)</t>
  </si>
  <si>
    <t>Every Wednesday</t>
  </si>
  <si>
    <t>first and third Wednesday of the month</t>
  </si>
  <si>
    <t>Net (Monthly)</t>
  </si>
  <si>
    <t>Net (Fortnightly)</t>
  </si>
  <si>
    <t>Net (Weekly)</t>
  </si>
  <si>
    <t>Property Tax</t>
  </si>
  <si>
    <t>Total (Year)</t>
  </si>
  <si>
    <t>Health(Sam)</t>
  </si>
  <si>
    <t>Assets</t>
  </si>
  <si>
    <t>Saving &amp; Cash</t>
  </si>
  <si>
    <t>SAM</t>
  </si>
  <si>
    <t>Property</t>
  </si>
  <si>
    <t>MJ&amp;SAM</t>
  </si>
  <si>
    <t>Vehicle</t>
  </si>
  <si>
    <t>Contents</t>
  </si>
  <si>
    <t>Linda Loan Assest</t>
  </si>
  <si>
    <t>SAM&amp;MJ</t>
  </si>
  <si>
    <t>Summary</t>
  </si>
  <si>
    <t>Superannuation</t>
  </si>
  <si>
    <t>Category</t>
  </si>
  <si>
    <t>Credit Cards</t>
  </si>
  <si>
    <t>Credit Card-KiwiBank-SAM</t>
  </si>
  <si>
    <t>Credit Card-ASB-MJ</t>
  </si>
  <si>
    <t>Liabilities</t>
  </si>
  <si>
    <t>Mortgage</t>
  </si>
  <si>
    <t>Salary</t>
  </si>
  <si>
    <t>BidONE</t>
  </si>
  <si>
    <t>KiwiBank</t>
  </si>
  <si>
    <t>(gross)/month</t>
  </si>
  <si>
    <t>Property Income</t>
  </si>
  <si>
    <t>Gross (Monthly)</t>
  </si>
  <si>
    <t>Gross (Fortnightly)</t>
  </si>
  <si>
    <t>Gross (Weekly)</t>
  </si>
  <si>
    <t>Expenses</t>
  </si>
  <si>
    <t>Groceries</t>
  </si>
  <si>
    <t>Electricity &amp; Gas</t>
  </si>
  <si>
    <t>Council Rates</t>
  </si>
  <si>
    <t>Insurance</t>
  </si>
  <si>
    <t>Vehicle Insurance</t>
  </si>
  <si>
    <t>House Insurance</t>
  </si>
  <si>
    <t>Personal Care</t>
  </si>
  <si>
    <t>Clothing &amp; Footwear</t>
  </si>
  <si>
    <t>Recreational &amp; Entertainment</t>
  </si>
  <si>
    <t>Dining Out</t>
  </si>
  <si>
    <t>Entertainment</t>
  </si>
  <si>
    <t>Telephone &amp; Internet</t>
  </si>
  <si>
    <t>Mobile phone</t>
  </si>
  <si>
    <t>Internet</t>
  </si>
  <si>
    <t>Transport</t>
  </si>
  <si>
    <t>Petrol</t>
  </si>
  <si>
    <t>Other</t>
  </si>
  <si>
    <t>Kiwisaver-MJ</t>
  </si>
  <si>
    <t>Kiwisaver-SAM</t>
  </si>
  <si>
    <t>Loans and Liabilities</t>
  </si>
  <si>
    <t>Mortgage-8Denning</t>
  </si>
  <si>
    <t>Mortgage-24Panorama</t>
  </si>
  <si>
    <t>Mortgage-5BCleary</t>
  </si>
  <si>
    <t>8Denning-HouseInsurance</t>
  </si>
  <si>
    <t>8Denning-ContentsInsurance</t>
  </si>
  <si>
    <t>Health Insurance-SAM</t>
  </si>
  <si>
    <t>Health Insurance</t>
  </si>
  <si>
    <t>N/A</t>
  </si>
  <si>
    <t>the 7th of every month</t>
  </si>
  <si>
    <t>Transport Cost</t>
  </si>
  <si>
    <t>Gym</t>
  </si>
  <si>
    <t>Other Expenses</t>
  </si>
  <si>
    <t>Home Expense - Furnishings</t>
  </si>
  <si>
    <t>Medical &amp; Health</t>
  </si>
  <si>
    <t>KiwiSavers</t>
  </si>
  <si>
    <t>Salary- ACC</t>
  </si>
  <si>
    <t>Salary - Tax</t>
  </si>
  <si>
    <t>Salary Income Gross</t>
  </si>
  <si>
    <t>Rental Income Gross</t>
  </si>
  <si>
    <t>Expense (Expenses)</t>
  </si>
  <si>
    <t>Mortgage  (Expenses)</t>
  </si>
  <si>
    <t>Salary-KiwiSavers  (Expenses)</t>
  </si>
  <si>
    <t>Net Income after (Tax &amp; Mortgate)</t>
  </si>
  <si>
    <t>Net Income after (Mortgate before Tax)</t>
  </si>
  <si>
    <t>Tax Repayment</t>
  </si>
  <si>
    <t>Council Rate Repayment</t>
  </si>
  <si>
    <t>Net Income after (Tax &amp; Mortgate &amp; Rate)</t>
  </si>
  <si>
    <t>House Insurance Repayment</t>
  </si>
  <si>
    <t>Net Income after (Tax &amp; Mortgate &amp; Rate &amp; Insurance)</t>
  </si>
  <si>
    <t>Mortgage (Monthly)</t>
  </si>
  <si>
    <t>Rate (Monthly)</t>
  </si>
  <si>
    <t>Insurance(Monthly)</t>
  </si>
  <si>
    <t>Rent Income (Monthly)</t>
  </si>
  <si>
    <t>Properties</t>
  </si>
  <si>
    <t>Income-Expenses</t>
  </si>
  <si>
    <t>Date</t>
  </si>
  <si>
    <t>(All)</t>
  </si>
  <si>
    <t>Years (Date)</t>
  </si>
  <si>
    <t>Quarters (Date)</t>
  </si>
  <si>
    <t>Months (Date)</t>
  </si>
  <si>
    <t>Kiwibank Saving</t>
  </si>
  <si>
    <t>Increase Rent to cover all Costs</t>
  </si>
  <si>
    <t>MJ &amp; Sam</t>
  </si>
  <si>
    <t>FY2024-2025</t>
  </si>
  <si>
    <t>KiwiBank 6 - 6/29 Te Koa Road</t>
  </si>
  <si>
    <t>KiwiBank 5 - 6/29 Te Koa Road</t>
  </si>
  <si>
    <t>KiwiBank 1 - 5B Cleary Road</t>
  </si>
  <si>
    <t>KiwiBank 2 - 8 Denning Place</t>
  </si>
  <si>
    <t>KiwiBank 3 - 8 Denning Place</t>
  </si>
  <si>
    <t>KiwiBank 4 - 8 Denning Place</t>
  </si>
  <si>
    <t>Home Loan ANZ 1 - 24 Panorama</t>
  </si>
  <si>
    <t>Home Loan ANZ 2 - 24 Panorama</t>
  </si>
  <si>
    <t>Home Loan ANZ 3 - 24 Panorama</t>
  </si>
  <si>
    <t>the 02th of every month</t>
  </si>
  <si>
    <t>2024/2025</t>
  </si>
  <si>
    <r>
      <rPr>
        <b/>
        <sz val="11"/>
        <color theme="1"/>
        <rFont val="Calibri"/>
        <family val="2"/>
        <scheme val="minor"/>
      </rPr>
      <t>30AUG</t>
    </r>
    <r>
      <rPr>
        <sz val="11"/>
        <color theme="1"/>
        <rFont val="Calibri"/>
        <family val="2"/>
        <scheme val="minor"/>
      </rPr>
      <t>,29</t>
    </r>
    <r>
      <rPr>
        <b/>
        <sz val="11"/>
        <color theme="1"/>
        <rFont val="Calibri"/>
        <family val="2"/>
        <scheme val="minor"/>
      </rPr>
      <t>Nov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>28Feb</t>
    </r>
    <r>
      <rPr>
        <sz val="11"/>
        <color theme="1"/>
        <rFont val="Calibri"/>
        <family val="2"/>
        <scheme val="minor"/>
      </rPr>
      <t>,30May</t>
    </r>
  </si>
  <si>
    <r>
      <rPr>
        <b/>
        <sz val="11"/>
        <color theme="1"/>
        <rFont val="Calibri"/>
        <family val="2"/>
        <scheme val="minor"/>
      </rPr>
      <t>30AUG</t>
    </r>
    <r>
      <rPr>
        <sz val="11"/>
        <color theme="1"/>
        <rFont val="Calibri"/>
        <family val="2"/>
        <scheme val="minor"/>
      </rPr>
      <t>,29</t>
    </r>
    <r>
      <rPr>
        <b/>
        <sz val="11"/>
        <color theme="1"/>
        <rFont val="Calibri"/>
        <family val="2"/>
        <scheme val="minor"/>
      </rPr>
      <t>Nov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>28Feb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>30May</t>
    </r>
  </si>
  <si>
    <t>Remaining Fix Period</t>
  </si>
  <si>
    <t>Total Period</t>
  </si>
  <si>
    <t>Fix Period</t>
  </si>
  <si>
    <t>Start Fix Date</t>
  </si>
  <si>
    <t>Fix Until</t>
  </si>
  <si>
    <t>Remaining Period</t>
  </si>
  <si>
    <t>All Council Rates</t>
  </si>
  <si>
    <t>Total Premium (Year)</t>
  </si>
  <si>
    <t>Agreed Value</t>
  </si>
  <si>
    <t>1/4 DTI - increase rent for each property</t>
  </si>
  <si>
    <t>H-Insu 6/29 Te Koa</t>
  </si>
  <si>
    <t>6/29 Te Koa Rate</t>
  </si>
  <si>
    <t>Monthly Costs 13April2025</t>
  </si>
  <si>
    <t xml:space="preserve">24 Panorama Road </t>
  </si>
  <si>
    <t xml:space="preserve">5B Cleary Road </t>
  </si>
  <si>
    <t xml:space="preserve">8 Denning Place </t>
  </si>
  <si>
    <t>Internal Transactions</t>
  </si>
  <si>
    <t>Saving</t>
  </si>
  <si>
    <t xml:space="preserve">Council Rates </t>
  </si>
  <si>
    <t xml:space="preserve">Mortgage </t>
  </si>
  <si>
    <t xml:space="preserve">MyRentCharge </t>
  </si>
  <si>
    <t xml:space="preserve">Dining Out </t>
  </si>
  <si>
    <t xml:space="preserve">Gym </t>
  </si>
  <si>
    <t xml:space="preserve">Travel </t>
  </si>
  <si>
    <t>AppleStorage</t>
  </si>
  <si>
    <t xml:space="preserve">Mobile phone </t>
  </si>
  <si>
    <t xml:space="preserve">US Mobile </t>
  </si>
  <si>
    <t>Electricity / Internet</t>
  </si>
  <si>
    <t>Mobile Sam/MJ/Alarm</t>
  </si>
  <si>
    <t xml:space="preserve">MJ&amp;SAM </t>
  </si>
  <si>
    <t xml:space="preserve">Other Expenses </t>
  </si>
  <si>
    <t>Immigration</t>
  </si>
  <si>
    <t>IRD</t>
  </si>
  <si>
    <t>NZAA</t>
  </si>
  <si>
    <t>OFFSHORE SERVICE MARGINS</t>
  </si>
  <si>
    <t>Personal</t>
  </si>
  <si>
    <t>POST</t>
  </si>
  <si>
    <t>HairCut</t>
  </si>
  <si>
    <t>Makeup</t>
  </si>
  <si>
    <t>Electricity &amp; Gas &amp; Internet</t>
  </si>
  <si>
    <t xml:space="preserve">Mortgage-6/29 Te Koa </t>
  </si>
  <si>
    <t>Supperanuvation MJ</t>
  </si>
  <si>
    <t>Superanuvation SAM</t>
  </si>
  <si>
    <t>Car</t>
  </si>
  <si>
    <t>xxxxx-1001</t>
  </si>
  <si>
    <t>xxxxx-1002</t>
  </si>
  <si>
    <t>xxxxx-1003</t>
  </si>
  <si>
    <t>38-9016-xxxxx-13</t>
  </si>
  <si>
    <t>38-9016-xxxxx-01</t>
  </si>
  <si>
    <t>38-9016-xxxxx-10</t>
  </si>
  <si>
    <t>38-9016-xxxxx-06</t>
  </si>
  <si>
    <t>38-9016-xxxxx-07</t>
  </si>
  <si>
    <t>38-9016-xxxxx-08</t>
  </si>
  <si>
    <t>38-9016-xxxxx-14</t>
  </si>
  <si>
    <t>38-9016-xxxxx-15</t>
  </si>
  <si>
    <t>P0000xxxxxx1</t>
  </si>
  <si>
    <t>P0000xxxxxx6</t>
  </si>
  <si>
    <t>P0000xxxxx96</t>
  </si>
  <si>
    <t>P00000xxxxx31</t>
  </si>
  <si>
    <t>P00000xxxxx0</t>
  </si>
  <si>
    <t>P0000xxxxxx7</t>
  </si>
  <si>
    <t>28xx1</t>
  </si>
  <si>
    <t>23xxxx7</t>
  </si>
  <si>
    <t>medical</t>
  </si>
  <si>
    <t>companyA</t>
  </si>
  <si>
    <t>Property4</t>
  </si>
  <si>
    <t>Property1</t>
  </si>
  <si>
    <t>Propert2</t>
  </si>
  <si>
    <t>Property3</t>
  </si>
  <si>
    <t>12xxxxx95</t>
  </si>
  <si>
    <t>1234xxxxx94</t>
  </si>
  <si>
    <t>123xxxxx73</t>
  </si>
  <si>
    <t>Interest</t>
  </si>
  <si>
    <t>RePayment</t>
  </si>
  <si>
    <t>Grocery</t>
  </si>
  <si>
    <t xml:space="preserve">Health Insurance-SAM </t>
  </si>
  <si>
    <t>ANZ</t>
  </si>
  <si>
    <t>ASB</t>
  </si>
  <si>
    <t xml:space="preserve">Internal </t>
  </si>
  <si>
    <t xml:space="preserve">Medical &amp; Health </t>
  </si>
  <si>
    <t>Event</t>
  </si>
  <si>
    <t>Gift</t>
  </si>
  <si>
    <t>Liquor</t>
  </si>
  <si>
    <t>Vape</t>
  </si>
  <si>
    <t>GYM</t>
  </si>
  <si>
    <t>Mobile</t>
  </si>
  <si>
    <t xml:space="preserve">Petrol </t>
  </si>
  <si>
    <t>Transport - Car</t>
  </si>
  <si>
    <t>Transport - Fuel</t>
  </si>
  <si>
    <t>Transport - Parking</t>
  </si>
  <si>
    <t>Transport - Rental Car</t>
  </si>
  <si>
    <t>Transport -Taxi - Bus</t>
  </si>
  <si>
    <t>Loan Expense</t>
  </si>
  <si>
    <t>PAYMENT RECEIVED THANK YOU</t>
  </si>
  <si>
    <t>Shopping - Online</t>
  </si>
  <si>
    <t>Cinema</t>
  </si>
  <si>
    <t xml:space="preserve">Internet </t>
  </si>
  <si>
    <t>Lump Sum Payment</t>
  </si>
  <si>
    <t>SHORTFALL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</si>
</sst>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F800]dddd\,\ mmmm\ dd\,\ yyyy"/>
    <numFmt numFmtId="165" formatCode="_-&quot;$&quot;* #,##0_-;\-&quot;$&quot;* #,##0_-;_-&quot;$&quot;* &quot;-&quot;??_-;_-@_-"/>
    <numFmt numFmtId="166" formatCode="&quot;$&quot;#,##0.00;[Red]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499984740745262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341">
    <xf numFmtId="0" fontId="0" fillId="0" borderId="0" xfId="0"/>
    <xf numFmtId="0" fontId="0" fillId="0" borderId="1" xfId="0" applyBorder="1"/>
    <xf numFmtId="44" fontId="0" fillId="0" borderId="1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4" fontId="0" fillId="0" borderId="8" xfId="0" applyNumberFormat="1" applyBorder="1"/>
    <xf numFmtId="44" fontId="0" fillId="0" borderId="0" xfId="0" applyNumberFormat="1"/>
    <xf numFmtId="0" fontId="0" fillId="0" borderId="2" xfId="0" applyBorder="1"/>
    <xf numFmtId="164" fontId="0" fillId="0" borderId="3" xfId="0" applyNumberFormat="1" applyBorder="1"/>
    <xf numFmtId="0" fontId="2" fillId="0" borderId="7" xfId="0" applyFont="1" applyBorder="1"/>
    <xf numFmtId="0" fontId="2" fillId="0" borderId="8" xfId="0" applyFont="1" applyBorder="1"/>
    <xf numFmtId="4" fontId="0" fillId="0" borderId="3" xfId="0" applyNumberFormat="1" applyBorder="1"/>
    <xf numFmtId="0" fontId="0" fillId="0" borderId="14" xfId="0" applyBorder="1"/>
    <xf numFmtId="0" fontId="0" fillId="0" borderId="15" xfId="0" applyBorder="1"/>
    <xf numFmtId="165" fontId="0" fillId="0" borderId="0" xfId="1" applyNumberFormat="1" applyFont="1"/>
    <xf numFmtId="165" fontId="0" fillId="0" borderId="0" xfId="0" applyNumberFormat="1"/>
    <xf numFmtId="0" fontId="0" fillId="0" borderId="3" xfId="0" applyBorder="1"/>
    <xf numFmtId="44" fontId="0" fillId="0" borderId="9" xfId="0" applyNumberFormat="1" applyBorder="1"/>
    <xf numFmtId="44" fontId="0" fillId="3" borderId="10" xfId="1" applyFont="1" applyFill="1" applyBorder="1"/>
    <xf numFmtId="10" fontId="0" fillId="0" borderId="5" xfId="0" applyNumberFormat="1" applyBorder="1" applyAlignment="1">
      <alignment horizontal="left"/>
    </xf>
    <xf numFmtId="44" fontId="0" fillId="3" borderId="22" xfId="1" applyFont="1" applyFill="1" applyBorder="1"/>
    <xf numFmtId="44" fontId="0" fillId="3" borderId="17" xfId="1" applyFont="1" applyFill="1" applyBorder="1"/>
    <xf numFmtId="0" fontId="2" fillId="4" borderId="18" xfId="0" applyFont="1" applyFill="1" applyBorder="1" applyAlignment="1">
      <alignment horizontal="center"/>
    </xf>
    <xf numFmtId="166" fontId="0" fillId="0" borderId="1" xfId="1" applyNumberFormat="1" applyFont="1" applyBorder="1" applyAlignment="1"/>
    <xf numFmtId="166" fontId="0" fillId="0" borderId="6" xfId="1" applyNumberFormat="1" applyFont="1" applyBorder="1" applyAlignment="1"/>
    <xf numFmtId="166" fontId="0" fillId="0" borderId="25" xfId="1" applyNumberFormat="1" applyFont="1" applyBorder="1" applyAlignment="1"/>
    <xf numFmtId="166" fontId="0" fillId="0" borderId="24" xfId="1" applyNumberFormat="1" applyFont="1" applyBorder="1" applyAlignment="1"/>
    <xf numFmtId="166" fontId="0" fillId="0" borderId="28" xfId="1" applyNumberFormat="1" applyFont="1" applyBorder="1" applyAlignment="1"/>
    <xf numFmtId="0" fontId="0" fillId="0" borderId="28" xfId="0" applyBorder="1"/>
    <xf numFmtId="166" fontId="0" fillId="0" borderId="29" xfId="1" applyNumberFormat="1" applyFont="1" applyBorder="1" applyAlignment="1"/>
    <xf numFmtId="166" fontId="0" fillId="0" borderId="5" xfId="1" applyNumberFormat="1" applyFont="1" applyBorder="1" applyAlignment="1"/>
    <xf numFmtId="0" fontId="2" fillId="5" borderId="7" xfId="0" applyFont="1" applyFill="1" applyBorder="1"/>
    <xf numFmtId="0" fontId="2" fillId="5" borderId="8" xfId="0" applyFont="1" applyFill="1" applyBorder="1"/>
    <xf numFmtId="44" fontId="2" fillId="5" borderId="11" xfId="0" applyNumberFormat="1" applyFont="1" applyFill="1" applyBorder="1"/>
    <xf numFmtId="0" fontId="0" fillId="5" borderId="7" xfId="0" applyFill="1" applyBorder="1"/>
    <xf numFmtId="0" fontId="0" fillId="6" borderId="7" xfId="0" applyFill="1" applyBorder="1"/>
    <xf numFmtId="166" fontId="0" fillId="6" borderId="8" xfId="1" applyNumberFormat="1" applyFont="1" applyFill="1" applyBorder="1" applyAlignment="1"/>
    <xf numFmtId="166" fontId="0" fillId="6" borderId="7" xfId="1" applyNumberFormat="1" applyFont="1" applyFill="1" applyBorder="1" applyAlignment="1"/>
    <xf numFmtId="166" fontId="0" fillId="6" borderId="9" xfId="1" applyNumberFormat="1" applyFont="1" applyFill="1" applyBorder="1" applyAlignment="1"/>
    <xf numFmtId="166" fontId="0" fillId="6" borderId="27" xfId="1" applyNumberFormat="1" applyFont="1" applyFill="1" applyBorder="1" applyAlignment="1"/>
    <xf numFmtId="165" fontId="0" fillId="0" borderId="3" xfId="1" applyNumberFormat="1" applyFont="1" applyBorder="1" applyAlignment="1">
      <alignment horizontal="left" vertical="center"/>
    </xf>
    <xf numFmtId="165" fontId="0" fillId="0" borderId="4" xfId="1" applyNumberFormat="1" applyFont="1" applyBorder="1" applyAlignment="1">
      <alignment horizontal="left" vertical="center"/>
    </xf>
    <xf numFmtId="166" fontId="0" fillId="0" borderId="1" xfId="0" applyNumberFormat="1" applyBorder="1" applyAlignment="1">
      <alignment horizontal="right" vertical="center"/>
    </xf>
    <xf numFmtId="9" fontId="0" fillId="0" borderId="6" xfId="2" applyFont="1" applyBorder="1" applyAlignment="1">
      <alignment horizontal="right" vertical="center"/>
    </xf>
    <xf numFmtId="166" fontId="2" fillId="0" borderId="15" xfId="0" applyNumberFormat="1" applyFont="1" applyBorder="1" applyAlignment="1">
      <alignment horizontal="right" vertical="center"/>
    </xf>
    <xf numFmtId="9" fontId="2" fillId="3" borderId="16" xfId="2" applyFont="1" applyFill="1" applyBorder="1" applyAlignment="1">
      <alignment horizontal="right" vertical="center"/>
    </xf>
    <xf numFmtId="8" fontId="0" fillId="3" borderId="1" xfId="0" applyNumberFormat="1" applyFill="1" applyBorder="1"/>
    <xf numFmtId="8" fontId="0" fillId="0" borderId="1" xfId="0" applyNumberFormat="1" applyBorder="1"/>
    <xf numFmtId="0" fontId="0" fillId="0" borderId="17" xfId="0" applyBorder="1"/>
    <xf numFmtId="0" fontId="0" fillId="5" borderId="11" xfId="0" applyFill="1" applyBorder="1"/>
    <xf numFmtId="164" fontId="0" fillId="0" borderId="1" xfId="0" applyNumberFormat="1" applyBorder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8" fontId="2" fillId="5" borderId="11" xfId="0" applyNumberFormat="1" applyFont="1" applyFill="1" applyBorder="1"/>
    <xf numFmtId="10" fontId="0" fillId="0" borderId="0" xfId="0" applyNumberFormat="1" applyAlignment="1">
      <alignment horizontal="left"/>
    </xf>
    <xf numFmtId="8" fontId="2" fillId="0" borderId="0" xfId="0" applyNumberFormat="1" applyFont="1"/>
    <xf numFmtId="8" fontId="0" fillId="0" borderId="0" xfId="0" applyNumberFormat="1"/>
    <xf numFmtId="0" fontId="0" fillId="0" borderId="1" xfId="0" applyBorder="1" applyAlignment="1">
      <alignment wrapText="1"/>
    </xf>
    <xf numFmtId="49" fontId="0" fillId="0" borderId="10" xfId="1" applyNumberFormat="1" applyFont="1" applyFill="1" applyBorder="1"/>
    <xf numFmtId="49" fontId="0" fillId="0" borderId="22" xfId="1" applyNumberFormat="1" applyFont="1" applyFill="1" applyBorder="1"/>
    <xf numFmtId="44" fontId="0" fillId="0" borderId="10" xfId="1" applyFont="1" applyBorder="1"/>
    <xf numFmtId="165" fontId="0" fillId="0" borderId="26" xfId="1" applyNumberFormat="1" applyFont="1" applyBorder="1" applyAlignment="1">
      <alignment horizontal="left" vertical="center"/>
    </xf>
    <xf numFmtId="0" fontId="2" fillId="0" borderId="34" xfId="0" applyFont="1" applyBorder="1"/>
    <xf numFmtId="0" fontId="0" fillId="0" borderId="38" xfId="0" applyBorder="1"/>
    <xf numFmtId="0" fontId="2" fillId="4" borderId="40" xfId="0" applyFont="1" applyFill="1" applyBorder="1" applyAlignment="1">
      <alignment horizontal="center"/>
    </xf>
    <xf numFmtId="0" fontId="0" fillId="0" borderId="41" xfId="0" applyBorder="1"/>
    <xf numFmtId="0" fontId="0" fillId="8" borderId="42" xfId="0" applyFill="1" applyBorder="1"/>
    <xf numFmtId="44" fontId="2" fillId="0" borderId="4" xfId="1" applyFont="1" applyBorder="1"/>
    <xf numFmtId="44" fontId="2" fillId="0" borderId="6" xfId="1" applyFont="1" applyBorder="1"/>
    <xf numFmtId="44" fontId="2" fillId="3" borderId="9" xfId="1" applyFont="1" applyFill="1" applyBorder="1"/>
    <xf numFmtId="44" fontId="2" fillId="3" borderId="11" xfId="0" applyNumberFormat="1" applyFont="1" applyFill="1" applyBorder="1"/>
    <xf numFmtId="8" fontId="2" fillId="5" borderId="8" xfId="0" applyNumberFormat="1" applyFont="1" applyFill="1" applyBorder="1"/>
    <xf numFmtId="44" fontId="0" fillId="10" borderId="26" xfId="0" applyNumberFormat="1" applyFill="1" applyBorder="1"/>
    <xf numFmtId="165" fontId="0" fillId="10" borderId="35" xfId="1" applyNumberFormat="1" applyFont="1" applyFill="1" applyBorder="1"/>
    <xf numFmtId="165" fontId="0" fillId="10" borderId="28" xfId="1" applyNumberFormat="1" applyFont="1" applyFill="1" applyBorder="1" applyAlignment="1">
      <alignment horizontal="left" vertical="center"/>
    </xf>
    <xf numFmtId="0" fontId="0" fillId="10" borderId="28" xfId="0" applyFill="1" applyBorder="1" applyAlignment="1">
      <alignment horizontal="left" vertical="center"/>
    </xf>
    <xf numFmtId="0" fontId="2" fillId="10" borderId="23" xfId="0" applyFont="1" applyFill="1" applyBorder="1" applyAlignment="1">
      <alignment horizontal="left" vertical="center"/>
    </xf>
    <xf numFmtId="0" fontId="0" fillId="10" borderId="26" xfId="0" applyFill="1" applyBorder="1"/>
    <xf numFmtId="0" fontId="0" fillId="10" borderId="27" xfId="0" applyFill="1" applyBorder="1"/>
    <xf numFmtId="0" fontId="0" fillId="10" borderId="28" xfId="0" applyFill="1" applyBorder="1"/>
    <xf numFmtId="166" fontId="0" fillId="11" borderId="12" xfId="0" applyNumberFormat="1" applyFill="1" applyBorder="1"/>
    <xf numFmtId="8" fontId="0" fillId="0" borderId="36" xfId="0" applyNumberFormat="1" applyBorder="1"/>
    <xf numFmtId="0" fontId="0" fillId="0" borderId="19" xfId="0" applyBorder="1"/>
    <xf numFmtId="44" fontId="0" fillId="0" borderId="3" xfId="0" applyNumberFormat="1" applyBorder="1"/>
    <xf numFmtId="0" fontId="0" fillId="0" borderId="4" xfId="0" applyBorder="1"/>
    <xf numFmtId="44" fontId="0" fillId="0" borderId="6" xfId="0" applyNumberFormat="1" applyBorder="1"/>
    <xf numFmtId="9" fontId="0" fillId="0" borderId="1" xfId="2" applyFont="1" applyBorder="1"/>
    <xf numFmtId="9" fontId="0" fillId="0" borderId="6" xfId="2" applyFont="1" applyBorder="1"/>
    <xf numFmtId="9" fontId="0" fillId="0" borderId="8" xfId="2" applyFont="1" applyBorder="1"/>
    <xf numFmtId="9" fontId="0" fillId="0" borderId="9" xfId="2" applyFont="1" applyBorder="1"/>
    <xf numFmtId="44" fontId="0" fillId="0" borderId="21" xfId="0" applyNumberFormat="1" applyBorder="1"/>
    <xf numFmtId="0" fontId="0" fillId="0" borderId="45" xfId="0" applyBorder="1"/>
    <xf numFmtId="0" fontId="0" fillId="0" borderId="39" xfId="0" applyBorder="1"/>
    <xf numFmtId="44" fontId="2" fillId="3" borderId="44" xfId="0" applyNumberFormat="1" applyFont="1" applyFill="1" applyBorder="1"/>
    <xf numFmtId="49" fontId="0" fillId="0" borderId="1" xfId="0" applyNumberFormat="1" applyBorder="1"/>
    <xf numFmtId="0" fontId="0" fillId="4" borderId="1" xfId="0" applyFill="1" applyBorder="1"/>
    <xf numFmtId="0" fontId="0" fillId="8" borderId="1" xfId="0" applyFill="1" applyBorder="1"/>
    <xf numFmtId="44" fontId="0" fillId="8" borderId="1" xfId="0" applyNumberFormat="1" applyFill="1" applyBorder="1"/>
    <xf numFmtId="44" fontId="0" fillId="4" borderId="1" xfId="0" applyNumberFormat="1" applyFill="1" applyBorder="1"/>
    <xf numFmtId="44" fontId="2" fillId="0" borderId="1" xfId="1" applyFont="1" applyBorder="1"/>
    <xf numFmtId="4" fontId="0" fillId="0" borderId="1" xfId="0" applyNumberFormat="1" applyBorder="1"/>
    <xf numFmtId="10" fontId="0" fillId="0" borderId="6" xfId="0" applyNumberFormat="1" applyBorder="1" applyAlignment="1">
      <alignment horizontal="left"/>
    </xf>
    <xf numFmtId="10" fontId="0" fillId="0" borderId="9" xfId="0" applyNumberFormat="1" applyBorder="1" applyAlignment="1">
      <alignment horizontal="left"/>
    </xf>
    <xf numFmtId="0" fontId="0" fillId="4" borderId="6" xfId="0" applyFill="1" applyBorder="1"/>
    <xf numFmtId="0" fontId="0" fillId="8" borderId="6" xfId="0" applyFill="1" applyBorder="1"/>
    <xf numFmtId="0" fontId="0" fillId="12" borderId="1" xfId="0" applyFill="1" applyBorder="1"/>
    <xf numFmtId="44" fontId="0" fillId="12" borderId="1" xfId="0" applyNumberFormat="1" applyFill="1" applyBorder="1"/>
    <xf numFmtId="0" fontId="0" fillId="12" borderId="6" xfId="0" applyFill="1" applyBorder="1"/>
    <xf numFmtId="0" fontId="0" fillId="13" borderId="1" xfId="0" applyFill="1" applyBorder="1"/>
    <xf numFmtId="44" fontId="0" fillId="13" borderId="1" xfId="0" applyNumberFormat="1" applyFill="1" applyBorder="1"/>
    <xf numFmtId="0" fontId="0" fillId="13" borderId="6" xfId="0" applyFill="1" applyBorder="1"/>
    <xf numFmtId="0" fontId="0" fillId="14" borderId="1" xfId="0" applyFill="1" applyBorder="1"/>
    <xf numFmtId="44" fontId="0" fillId="14" borderId="1" xfId="0" applyNumberFormat="1" applyFill="1" applyBorder="1"/>
    <xf numFmtId="0" fontId="0" fillId="14" borderId="6" xfId="0" applyFill="1" applyBorder="1"/>
    <xf numFmtId="44" fontId="0" fillId="0" borderId="1" xfId="1" applyFont="1" applyFill="1" applyBorder="1"/>
    <xf numFmtId="44" fontId="0" fillId="0" borderId="8" xfId="1" applyFont="1" applyFill="1" applyBorder="1"/>
    <xf numFmtId="0" fontId="2" fillId="0" borderId="2" xfId="0" applyFont="1" applyBorder="1"/>
    <xf numFmtId="0" fontId="2" fillId="0" borderId="43" xfId="0" applyFont="1" applyBorder="1"/>
    <xf numFmtId="8" fontId="0" fillId="0" borderId="6" xfId="0" applyNumberFormat="1" applyBorder="1"/>
    <xf numFmtId="8" fontId="0" fillId="0" borderId="8" xfId="0" applyNumberFormat="1" applyBorder="1"/>
    <xf numFmtId="8" fontId="0" fillId="0" borderId="9" xfId="0" applyNumberFormat="1" applyBorder="1"/>
    <xf numFmtId="8" fontId="0" fillId="0" borderId="21" xfId="0" applyNumberFormat="1" applyBorder="1"/>
    <xf numFmtId="8" fontId="0" fillId="3" borderId="44" xfId="0" applyNumberFormat="1" applyFill="1" applyBorder="1"/>
    <xf numFmtId="44" fontId="2" fillId="0" borderId="3" xfId="1" applyFont="1" applyBorder="1"/>
    <xf numFmtId="44" fontId="2" fillId="0" borderId="8" xfId="1" applyFont="1" applyBorder="1"/>
    <xf numFmtId="0" fontId="2" fillId="4" borderId="55" xfId="0" applyFont="1" applyFill="1" applyBorder="1" applyAlignment="1">
      <alignment horizontal="center"/>
    </xf>
    <xf numFmtId="10" fontId="0" fillId="0" borderId="29" xfId="0" applyNumberFormat="1" applyBorder="1" applyAlignment="1">
      <alignment horizontal="left"/>
    </xf>
    <xf numFmtId="8" fontId="0" fillId="3" borderId="48" xfId="0" applyNumberFormat="1" applyFill="1" applyBorder="1"/>
    <xf numFmtId="8" fontId="0" fillId="0" borderId="48" xfId="0" applyNumberFormat="1" applyBorder="1"/>
    <xf numFmtId="0" fontId="2" fillId="4" borderId="43" xfId="0" applyFont="1" applyFill="1" applyBorder="1" applyAlignment="1">
      <alignment horizontal="center"/>
    </xf>
    <xf numFmtId="0" fontId="2" fillId="4" borderId="44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44" fontId="2" fillId="0" borderId="17" xfId="1" applyFont="1" applyBorder="1"/>
    <xf numFmtId="44" fontId="2" fillId="0" borderId="47" xfId="1" applyFont="1" applyBorder="1"/>
    <xf numFmtId="8" fontId="0" fillId="3" borderId="4" xfId="1" applyNumberFormat="1" applyFont="1" applyFill="1" applyBorder="1"/>
    <xf numFmtId="0" fontId="0" fillId="2" borderId="54" xfId="0" applyFill="1" applyBorder="1" applyAlignment="1">
      <alignment horizontal="left"/>
    </xf>
    <xf numFmtId="0" fontId="0" fillId="18" borderId="54" xfId="0" applyFill="1" applyBorder="1" applyAlignment="1">
      <alignment horizontal="left"/>
    </xf>
    <xf numFmtId="0" fontId="0" fillId="8" borderId="54" xfId="0" applyFill="1" applyBorder="1" applyAlignment="1">
      <alignment horizontal="left"/>
    </xf>
    <xf numFmtId="0" fontId="0" fillId="17" borderId="54" xfId="0" applyFill="1" applyBorder="1" applyAlignment="1">
      <alignment horizontal="left"/>
    </xf>
    <xf numFmtId="0" fontId="0" fillId="3" borderId="54" xfId="0" applyFill="1" applyBorder="1" applyAlignment="1">
      <alignment horizontal="left"/>
    </xf>
    <xf numFmtId="0" fontId="0" fillId="15" borderId="54" xfId="0" applyFill="1" applyBorder="1" applyAlignment="1">
      <alignment horizontal="left"/>
    </xf>
    <xf numFmtId="0" fontId="0" fillId="20" borderId="54" xfId="0" applyFill="1" applyBorder="1" applyAlignment="1">
      <alignment horizontal="left"/>
    </xf>
    <xf numFmtId="0" fontId="0" fillId="21" borderId="54" xfId="0" applyFill="1" applyBorder="1" applyAlignment="1">
      <alignment horizontal="left"/>
    </xf>
    <xf numFmtId="0" fontId="0" fillId="16" borderId="54" xfId="0" applyFill="1" applyBorder="1" applyAlignment="1">
      <alignment horizontal="left"/>
    </xf>
    <xf numFmtId="0" fontId="0" fillId="9" borderId="54" xfId="0" applyFill="1" applyBorder="1" applyAlignment="1">
      <alignment horizontal="left"/>
    </xf>
    <xf numFmtId="0" fontId="0" fillId="22" borderId="0" xfId="0" applyFill="1" applyAlignment="1">
      <alignment horizontal="left"/>
    </xf>
    <xf numFmtId="0" fontId="0" fillId="21" borderId="1" xfId="0" applyFill="1" applyBorder="1" applyAlignment="1">
      <alignment horizontal="left"/>
    </xf>
    <xf numFmtId="8" fontId="0" fillId="0" borderId="44" xfId="0" applyNumberFormat="1" applyBorder="1"/>
    <xf numFmtId="0" fontId="0" fillId="0" borderId="43" xfId="0" applyBorder="1"/>
    <xf numFmtId="8" fontId="0" fillId="0" borderId="20" xfId="1" applyNumberFormat="1" applyFont="1" applyBorder="1"/>
    <xf numFmtId="8" fontId="0" fillId="0" borderId="4" xfId="1" applyNumberFormat="1" applyFont="1" applyFill="1" applyBorder="1"/>
    <xf numFmtId="8" fontId="0" fillId="3" borderId="17" xfId="1" applyNumberFormat="1" applyFont="1" applyFill="1" applyBorder="1"/>
    <xf numFmtId="8" fontId="0" fillId="3" borderId="10" xfId="1" applyNumberFormat="1" applyFont="1" applyFill="1" applyBorder="1"/>
    <xf numFmtId="8" fontId="0" fillId="19" borderId="10" xfId="1" applyNumberFormat="1" applyFont="1" applyFill="1" applyBorder="1"/>
    <xf numFmtId="8" fontId="0" fillId="0" borderId="10" xfId="1" applyNumberFormat="1" applyFont="1" applyBorder="1"/>
    <xf numFmtId="0" fontId="0" fillId="0" borderId="42" xfId="0" applyBorder="1"/>
    <xf numFmtId="44" fontId="0" fillId="10" borderId="51" xfId="0" applyNumberFormat="1" applyFill="1" applyBorder="1"/>
    <xf numFmtId="0" fontId="0" fillId="10" borderId="56" xfId="0" applyFill="1" applyBorder="1"/>
    <xf numFmtId="0" fontId="0" fillId="10" borderId="57" xfId="0" applyFill="1" applyBorder="1"/>
    <xf numFmtId="8" fontId="0" fillId="23" borderId="39" xfId="1" applyNumberFormat="1" applyFont="1" applyFill="1" applyBorder="1"/>
    <xf numFmtId="8" fontId="0" fillId="23" borderId="0" xfId="0" applyNumberFormat="1" applyFill="1"/>
    <xf numFmtId="44" fontId="0" fillId="10" borderId="40" xfId="0" applyNumberFormat="1" applyFill="1" applyBorder="1"/>
    <xf numFmtId="44" fontId="0" fillId="10" borderId="41" xfId="0" applyNumberFormat="1" applyFill="1" applyBorder="1"/>
    <xf numFmtId="0" fontId="0" fillId="10" borderId="42" xfId="0" applyFill="1" applyBorder="1"/>
    <xf numFmtId="8" fontId="2" fillId="3" borderId="4" xfId="1" applyNumberFormat="1" applyFont="1" applyFill="1" applyBorder="1"/>
    <xf numFmtId="166" fontId="0" fillId="0" borderId="0" xfId="0" applyNumberFormat="1"/>
    <xf numFmtId="0" fontId="2" fillId="10" borderId="19" xfId="0" applyFont="1" applyFill="1" applyBorder="1"/>
    <xf numFmtId="0" fontId="2" fillId="10" borderId="30" xfId="0" applyFont="1" applyFill="1" applyBorder="1"/>
    <xf numFmtId="8" fontId="2" fillId="10" borderId="20" xfId="0" applyNumberFormat="1" applyFont="1" applyFill="1" applyBorder="1"/>
    <xf numFmtId="0" fontId="2" fillId="10" borderId="2" xfId="0" applyFont="1" applyFill="1" applyBorder="1"/>
    <xf numFmtId="0" fontId="0" fillId="10" borderId="3" xfId="0" applyFill="1" applyBorder="1"/>
    <xf numFmtId="0" fontId="0" fillId="10" borderId="4" xfId="0" applyFill="1" applyBorder="1"/>
    <xf numFmtId="0" fontId="2" fillId="10" borderId="3" xfId="0" applyFont="1" applyFill="1" applyBorder="1"/>
    <xf numFmtId="0" fontId="2" fillId="10" borderId="4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2" fillId="10" borderId="53" xfId="0" applyFont="1" applyFill="1" applyBorder="1"/>
    <xf numFmtId="0" fontId="2" fillId="10" borderId="50" xfId="0" applyFont="1" applyFill="1" applyBorder="1"/>
    <xf numFmtId="8" fontId="2" fillId="10" borderId="58" xfId="0" applyNumberFormat="1" applyFont="1" applyFill="1" applyBorder="1"/>
    <xf numFmtId="0" fontId="2" fillId="10" borderId="46" xfId="0" applyFont="1" applyFill="1" applyBorder="1"/>
    <xf numFmtId="0" fontId="2" fillId="10" borderId="52" xfId="0" applyFont="1" applyFill="1" applyBorder="1"/>
    <xf numFmtId="8" fontId="2" fillId="10" borderId="52" xfId="0" applyNumberFormat="1" applyFont="1" applyFill="1" applyBorder="1"/>
    <xf numFmtId="8" fontId="2" fillId="10" borderId="59" xfId="0" applyNumberFormat="1" applyFont="1" applyFill="1" applyBorder="1"/>
    <xf numFmtId="0" fontId="2" fillId="0" borderId="44" xfId="0" applyFont="1" applyBorder="1"/>
    <xf numFmtId="8" fontId="2" fillId="3" borderId="21" xfId="0" applyNumberFormat="1" applyFont="1" applyFill="1" applyBorder="1"/>
    <xf numFmtId="0" fontId="3" fillId="0" borderId="1" xfId="3" applyBorder="1"/>
    <xf numFmtId="0" fontId="3" fillId="0" borderId="8" xfId="3" applyBorder="1"/>
    <xf numFmtId="0" fontId="3" fillId="10" borderId="2" xfId="3" applyFill="1" applyBorder="1"/>
    <xf numFmtId="8" fontId="2" fillId="0" borderId="21" xfId="1" applyNumberFormat="1" applyFont="1" applyBorder="1"/>
    <xf numFmtId="164" fontId="4" fillId="0" borderId="1" xfId="0" applyNumberFormat="1" applyFont="1" applyBorder="1"/>
    <xf numFmtId="0" fontId="0" fillId="2" borderId="0" xfId="0" applyFill="1"/>
    <xf numFmtId="49" fontId="0" fillId="2" borderId="22" xfId="1" applyNumberFormat="1" applyFont="1" applyFill="1" applyBorder="1"/>
    <xf numFmtId="0" fontId="2" fillId="4" borderId="20" xfId="0" applyFont="1" applyFill="1" applyBorder="1"/>
    <xf numFmtId="0" fontId="2" fillId="4" borderId="35" xfId="0" applyFont="1" applyFill="1" applyBorder="1" applyAlignment="1">
      <alignment horizontal="center"/>
    </xf>
    <xf numFmtId="10" fontId="0" fillId="0" borderId="48" xfId="0" applyNumberFormat="1" applyBorder="1" applyAlignment="1">
      <alignment horizontal="left"/>
    </xf>
    <xf numFmtId="0" fontId="2" fillId="4" borderId="62" xfId="0" applyFont="1" applyFill="1" applyBorder="1" applyAlignment="1">
      <alignment horizontal="center"/>
    </xf>
    <xf numFmtId="164" fontId="0" fillId="0" borderId="6" xfId="0" applyNumberFormat="1" applyBorder="1"/>
    <xf numFmtId="0" fontId="0" fillId="0" borderId="29" xfId="0" applyBorder="1"/>
    <xf numFmtId="4" fontId="0" fillId="0" borderId="48" xfId="0" applyNumberFormat="1" applyBorder="1"/>
    <xf numFmtId="49" fontId="0" fillId="0" borderId="63" xfId="1" applyNumberFormat="1" applyFont="1" applyFill="1" applyBorder="1"/>
    <xf numFmtId="0" fontId="0" fillId="0" borderId="48" xfId="0" applyBorder="1"/>
    <xf numFmtId="164" fontId="0" fillId="0" borderId="48" xfId="0" applyNumberFormat="1" applyBorder="1"/>
    <xf numFmtId="164" fontId="0" fillId="0" borderId="25" xfId="0" applyNumberFormat="1" applyBorder="1"/>
    <xf numFmtId="0" fontId="2" fillId="4" borderId="47" xfId="0" applyFont="1" applyFill="1" applyBorder="1" applyAlignment="1">
      <alignment horizontal="center"/>
    </xf>
    <xf numFmtId="0" fontId="0" fillId="0" borderId="61" xfId="0" applyBorder="1"/>
    <xf numFmtId="0" fontId="0" fillId="0" borderId="54" xfId="0" applyBorder="1"/>
    <xf numFmtId="0" fontId="2" fillId="10" borderId="60" xfId="0" applyFont="1" applyFill="1" applyBorder="1"/>
    <xf numFmtId="0" fontId="2" fillId="7" borderId="33" xfId="0" applyFont="1" applyFill="1" applyBorder="1" applyAlignment="1">
      <alignment horizontal="center"/>
    </xf>
    <xf numFmtId="166" fontId="0" fillId="0" borderId="48" xfId="1" applyNumberFormat="1" applyFont="1" applyBorder="1" applyAlignment="1"/>
    <xf numFmtId="0" fontId="0" fillId="0" borderId="43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35" xfId="0" applyBorder="1" applyAlignment="1">
      <alignment vertical="center"/>
    </xf>
    <xf numFmtId="0" fontId="2" fillId="2" borderId="43" xfId="0" applyFont="1" applyFill="1" applyBorder="1" applyAlignment="1">
      <alignment vertical="center"/>
    </xf>
    <xf numFmtId="0" fontId="2" fillId="2" borderId="21" xfId="0" applyFont="1" applyFill="1" applyBorder="1" applyAlignment="1">
      <alignment vertical="center"/>
    </xf>
    <xf numFmtId="166" fontId="0" fillId="0" borderId="1" xfId="1" applyNumberFormat="1" applyFont="1" applyFill="1" applyBorder="1" applyAlignment="1"/>
    <xf numFmtId="8" fontId="0" fillId="0" borderId="63" xfId="1" applyNumberFormat="1" applyFont="1" applyBorder="1" applyAlignment="1"/>
    <xf numFmtId="8" fontId="0" fillId="0" borderId="10" xfId="1" applyNumberFormat="1" applyFont="1" applyBorder="1" applyAlignment="1"/>
    <xf numFmtId="8" fontId="0" fillId="6" borderId="11" xfId="1" applyNumberFormat="1" applyFont="1" applyFill="1" applyBorder="1" applyAlignment="1"/>
    <xf numFmtId="8" fontId="0" fillId="0" borderId="29" xfId="1" applyNumberFormat="1" applyFont="1" applyBorder="1" applyAlignment="1"/>
    <xf numFmtId="8" fontId="0" fillId="0" borderId="31" xfId="1" applyNumberFormat="1" applyFont="1" applyBorder="1" applyAlignment="1"/>
    <xf numFmtId="8" fontId="0" fillId="0" borderId="24" xfId="1" applyNumberFormat="1" applyFont="1" applyBorder="1" applyAlignment="1"/>
    <xf numFmtId="8" fontId="0" fillId="0" borderId="25" xfId="1" applyNumberFormat="1" applyFont="1" applyBorder="1" applyAlignment="1"/>
    <xf numFmtId="8" fontId="2" fillId="2" borderId="29" xfId="1" applyNumberFormat="1" applyFont="1" applyFill="1" applyBorder="1" applyAlignment="1"/>
    <xf numFmtId="8" fontId="2" fillId="2" borderId="31" xfId="1" applyNumberFormat="1" applyFont="1" applyFill="1" applyBorder="1" applyAlignment="1"/>
    <xf numFmtId="8" fontId="0" fillId="0" borderId="6" xfId="1" applyNumberFormat="1" applyFont="1" applyBorder="1" applyAlignment="1"/>
    <xf numFmtId="8" fontId="0" fillId="0" borderId="28" xfId="1" applyNumberFormat="1" applyFont="1" applyBorder="1" applyAlignment="1"/>
    <xf numFmtId="8" fontId="0" fillId="0" borderId="5" xfId="1" applyNumberFormat="1" applyFont="1" applyBorder="1" applyAlignment="1"/>
    <xf numFmtId="8" fontId="0" fillId="0" borderId="5" xfId="0" applyNumberFormat="1" applyBorder="1"/>
    <xf numFmtId="8" fontId="0" fillId="0" borderId="28" xfId="0" applyNumberFormat="1" applyBorder="1"/>
    <xf numFmtId="8" fontId="0" fillId="6" borderId="7" xfId="1" applyNumberFormat="1" applyFont="1" applyFill="1" applyBorder="1" applyAlignment="1"/>
    <xf numFmtId="8" fontId="0" fillId="6" borderId="9" xfId="1" applyNumberFormat="1" applyFont="1" applyFill="1" applyBorder="1" applyAlignment="1"/>
    <xf numFmtId="8" fontId="0" fillId="6" borderId="27" xfId="1" applyNumberFormat="1" applyFont="1" applyFill="1" applyBorder="1" applyAlignment="1"/>
    <xf numFmtId="8" fontId="2" fillId="2" borderId="7" xfId="1" applyNumberFormat="1" applyFont="1" applyFill="1" applyBorder="1" applyAlignment="1"/>
    <xf numFmtId="8" fontId="2" fillId="2" borderId="9" xfId="1" applyNumberFormat="1" applyFont="1" applyFill="1" applyBorder="1" applyAlignment="1"/>
    <xf numFmtId="8" fontId="2" fillId="0" borderId="4" xfId="0" applyNumberFormat="1" applyFont="1" applyBorder="1"/>
    <xf numFmtId="8" fontId="2" fillId="0" borderId="9" xfId="0" applyNumberFormat="1" applyFont="1" applyBorder="1"/>
    <xf numFmtId="8" fontId="0" fillId="0" borderId="4" xfId="0" applyNumberFormat="1" applyBorder="1"/>
    <xf numFmtId="9" fontId="0" fillId="0" borderId="6" xfId="2" applyFont="1" applyFill="1" applyBorder="1" applyAlignment="1">
      <alignment horizontal="right" vertical="center"/>
    </xf>
    <xf numFmtId="8" fontId="2" fillId="11" borderId="13" xfId="0" applyNumberFormat="1" applyFont="1" applyFill="1" applyBorder="1"/>
    <xf numFmtId="0" fontId="0" fillId="0" borderId="4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9" xfId="0" pivotButton="1" applyBorder="1"/>
    <xf numFmtId="0" fontId="0" fillId="0" borderId="20" xfId="0" applyBorder="1"/>
    <xf numFmtId="8" fontId="0" fillId="0" borderId="64" xfId="0" applyNumberFormat="1" applyBorder="1"/>
    <xf numFmtId="8" fontId="0" fillId="0" borderId="56" xfId="0" applyNumberFormat="1" applyBorder="1"/>
    <xf numFmtId="8" fontId="0" fillId="0" borderId="57" xfId="0" applyNumberFormat="1" applyBorder="1"/>
    <xf numFmtId="0" fontId="0" fillId="0" borderId="62" xfId="0" pivotButton="1" applyBorder="1"/>
    <xf numFmtId="0" fontId="0" fillId="0" borderId="62" xfId="0" applyBorder="1" applyAlignment="1">
      <alignment horizontal="left"/>
    </xf>
    <xf numFmtId="0" fontId="0" fillId="0" borderId="62" xfId="0" applyBorder="1"/>
    <xf numFmtId="43" fontId="0" fillId="19" borderId="10" xfId="4" applyFont="1" applyFill="1" applyBorder="1"/>
    <xf numFmtId="0" fontId="0" fillId="27" borderId="5" xfId="0" applyFill="1" applyBorder="1"/>
    <xf numFmtId="0" fontId="0" fillId="28" borderId="7" xfId="0" applyFill="1" applyBorder="1"/>
    <xf numFmtId="0" fontId="0" fillId="21" borderId="5" xfId="0" applyFill="1" applyBorder="1"/>
    <xf numFmtId="0" fontId="0" fillId="29" borderId="5" xfId="0" applyFill="1" applyBorder="1"/>
    <xf numFmtId="0" fontId="0" fillId="11" borderId="5" xfId="0" applyFill="1" applyBorder="1"/>
    <xf numFmtId="8" fontId="0" fillId="19" borderId="11" xfId="1" applyNumberFormat="1" applyFont="1" applyFill="1" applyBorder="1"/>
    <xf numFmtId="0" fontId="0" fillId="30" borderId="5" xfId="0" applyFill="1" applyBorder="1"/>
    <xf numFmtId="0" fontId="0" fillId="0" borderId="36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4" xfId="0" applyBorder="1" applyAlignment="1">
      <alignment horizontal="left" indent="1"/>
    </xf>
    <xf numFmtId="0" fontId="0" fillId="0" borderId="62" xfId="0" applyBorder="1" applyAlignment="1">
      <alignment horizontal="left" indent="1"/>
    </xf>
    <xf numFmtId="0" fontId="0" fillId="0" borderId="64" xfId="0" applyBorder="1" applyAlignment="1">
      <alignment horizontal="left" indent="2"/>
    </xf>
    <xf numFmtId="0" fontId="0" fillId="0" borderId="56" xfId="0" applyBorder="1" applyAlignment="1">
      <alignment horizontal="left" indent="2"/>
    </xf>
    <xf numFmtId="0" fontId="0" fillId="0" borderId="57" xfId="0" applyBorder="1" applyAlignment="1">
      <alignment horizontal="left" indent="2"/>
    </xf>
    <xf numFmtId="0" fontId="0" fillId="31" borderId="5" xfId="0" applyFill="1" applyBorder="1"/>
    <xf numFmtId="0" fontId="0" fillId="0" borderId="44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19" xfId="0" applyFont="1" applyFill="1" applyBorder="1" applyAlignment="1">
      <alignment horizontal="center"/>
    </xf>
    <xf numFmtId="0" fontId="2" fillId="4" borderId="30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0" xfId="0" applyFont="1" applyBorder="1" applyAlignment="1">
      <alignment horizontal="left"/>
    </xf>
    <xf numFmtId="0" fontId="2" fillId="0" borderId="49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0" fillId="0" borderId="4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5" xfId="0" applyBorder="1" applyAlignment="1">
      <alignment horizontal="center"/>
    </xf>
    <xf numFmtId="0" fontId="2" fillId="0" borderId="37" xfId="0" applyFont="1" applyBorder="1" applyAlignment="1">
      <alignment horizontal="left"/>
    </xf>
    <xf numFmtId="0" fontId="2" fillId="0" borderId="45" xfId="0" applyFont="1" applyBorder="1" applyAlignment="1">
      <alignment horizontal="left"/>
    </xf>
    <xf numFmtId="0" fontId="0" fillId="0" borderId="23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6" xfId="0" applyBorder="1" applyAlignment="1">
      <alignment horizontal="center"/>
    </xf>
    <xf numFmtId="0" fontId="2" fillId="0" borderId="26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4" xfId="0" applyBorder="1" applyAlignment="1">
      <alignment horizontal="left" indent="2"/>
    </xf>
    <xf numFmtId="0" fontId="0" fillId="0" borderId="62" xfId="0" applyBorder="1" applyAlignment="1">
      <alignment horizontal="left" indent="2"/>
    </xf>
    <xf numFmtId="0" fontId="0" fillId="0" borderId="62" xfId="0" applyFill="1" applyBorder="1" applyAlignment="1">
      <alignment horizontal="left"/>
    </xf>
    <xf numFmtId="0" fontId="0" fillId="30" borderId="62" xfId="0" applyFill="1" applyBorder="1" applyAlignment="1">
      <alignment horizontal="left" indent="1"/>
    </xf>
    <xf numFmtId="0" fontId="0" fillId="27" borderId="62" xfId="0" applyFill="1" applyBorder="1" applyAlignment="1">
      <alignment horizontal="left" indent="1"/>
    </xf>
    <xf numFmtId="0" fontId="0" fillId="21" borderId="62" xfId="0" applyFill="1" applyBorder="1" applyAlignment="1">
      <alignment horizontal="left" indent="1"/>
    </xf>
    <xf numFmtId="0" fontId="0" fillId="28" borderId="62" xfId="0" applyFill="1" applyBorder="1" applyAlignment="1">
      <alignment horizontal="left" indent="1"/>
    </xf>
    <xf numFmtId="0" fontId="0" fillId="2" borderId="62" xfId="0" applyFill="1" applyBorder="1" applyAlignment="1">
      <alignment horizontal="left"/>
    </xf>
    <xf numFmtId="0" fontId="0" fillId="0" borderId="62" xfId="0" applyFill="1" applyBorder="1" applyAlignment="1">
      <alignment horizontal="left" indent="2"/>
    </xf>
    <xf numFmtId="0" fontId="0" fillId="18" borderId="62" xfId="0" applyFill="1" applyBorder="1" applyAlignment="1">
      <alignment horizontal="left"/>
    </xf>
    <xf numFmtId="0" fontId="0" fillId="9" borderId="62" xfId="0" applyFill="1" applyBorder="1" applyAlignment="1">
      <alignment horizontal="left"/>
    </xf>
    <xf numFmtId="0" fontId="0" fillId="26" borderId="62" xfId="0" applyFill="1" applyBorder="1" applyAlignment="1">
      <alignment horizontal="left" indent="1"/>
    </xf>
    <xf numFmtId="0" fontId="0" fillId="4" borderId="62" xfId="0" applyFill="1" applyBorder="1" applyAlignment="1">
      <alignment horizontal="left" indent="1"/>
    </xf>
    <xf numFmtId="0" fontId="0" fillId="22" borderId="62" xfId="0" applyFill="1" applyBorder="1" applyAlignment="1">
      <alignment horizontal="left" indent="1"/>
    </xf>
    <xf numFmtId="0" fontId="0" fillId="25" borderId="62" xfId="0" applyFill="1" applyBorder="1" applyAlignment="1">
      <alignment horizontal="left" indent="1"/>
    </xf>
    <xf numFmtId="0" fontId="0" fillId="17" borderId="62" xfId="0" applyFill="1" applyBorder="1" applyAlignment="1">
      <alignment horizontal="left" indent="1"/>
    </xf>
    <xf numFmtId="0" fontId="0" fillId="24" borderId="62" xfId="0" applyFill="1" applyBorder="1" applyAlignment="1">
      <alignment horizontal="left" indent="1"/>
    </xf>
    <xf numFmtId="0" fontId="0" fillId="29" borderId="62" xfId="0" applyFill="1" applyBorder="1" applyAlignment="1">
      <alignment horizontal="left" indent="1"/>
    </xf>
    <xf numFmtId="0" fontId="0" fillId="11" borderId="62" xfId="0" applyFill="1" applyBorder="1" applyAlignment="1">
      <alignment horizontal="left" indent="1"/>
    </xf>
    <xf numFmtId="0" fontId="0" fillId="16" borderId="62" xfId="0" applyFill="1" applyBorder="1" applyAlignment="1">
      <alignment horizontal="left"/>
    </xf>
  </cellXfs>
  <cellStyles count="5">
    <cellStyle name="Comma" xfId="4" builtinId="3"/>
    <cellStyle name="Currency" xfId="1" builtinId="4"/>
    <cellStyle name="Hyperlink" xfId="3" builtinId="8"/>
    <cellStyle name="Normal" xfId="0" builtinId="0"/>
    <cellStyle name="Percent" xfId="2" builtinId="5"/>
  </cellStyles>
  <dxfs count="2170">
    <dxf>
      <numFmt numFmtId="34" formatCode="_-&quot;$&quot;* #,##0.00_-;\-&quot;$&quot;* #,##0.00_-;_-&quot;$&quot;* &quot;-&quot;??_-;_-@_-"/>
    </dxf>
    <dxf>
      <numFmt numFmtId="12" formatCode="&quot;$&quot;#,##0.00;[Red]\-&quot;$&quot;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34" formatCode="_-&quot;$&quot;* #,##0.00_-;\-&quot;$&quot;* #,##0.00_-;_-&quot;$&quot;* &quot;-&quot;??_-;_-@_-"/>
    </dxf>
    <dxf>
      <numFmt numFmtId="12" formatCode="&quot;$&quot;#,##0.00;[Red]\-&quot;$&quot;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34" formatCode="_-&quot;$&quot;* #,##0.00_-;\-&quot;$&quot;* #,##0.00_-;_-&quot;$&quot;* &quot;-&quot;??_-;_-@_-"/>
    </dxf>
    <dxf>
      <numFmt numFmtId="12" formatCode="&quot;$&quot;#,##0.00;[Red]\-&quot;$&quot;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34" formatCode="_-&quot;$&quot;* #,##0.00_-;\-&quot;$&quot;* #,##0.00_-;_-&quot;$&quot;* &quot;-&quot;??_-;_-@_-"/>
    </dxf>
    <dxf>
      <numFmt numFmtId="12" formatCode="&quot;$&quot;#,##0.00;[Red]\-&quot;$&quot;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34" formatCode="_-&quot;$&quot;* #,##0.00_-;\-&quot;$&quot;* #,##0.00_-;_-&quot;$&quot;* &quot;-&quot;??_-;_-@_-"/>
    </dxf>
    <dxf>
      <numFmt numFmtId="12" formatCode="&quot;$&quot;#,##0.00;[Red]\-&quot;$&quot;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34" formatCode="_-&quot;$&quot;* #,##0.00_-;\-&quot;$&quot;* #,##0.00_-;_-&quot;$&quot;* &quot;-&quot;??_-;_-@_-"/>
    </dxf>
    <dxf>
      <numFmt numFmtId="12" formatCode="&quot;$&quot;#,##0.00;[Red]\-&quot;$&quot;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34" formatCode="_-&quot;$&quot;* #,##0.00_-;\-&quot;$&quot;* #,##0.00_-;_-&quot;$&quot;* &quot;-&quot;??_-;_-@_-"/>
    </dxf>
    <dxf>
      <numFmt numFmtId="12" formatCode="&quot;$&quot;#,##0.00;[Red]\-&quot;$&quot;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-0.499984740745262"/>
        </patternFill>
      </fill>
    </dxf>
    <dxf>
      <numFmt numFmtId="34" formatCode="_-&quot;$&quot;* #,##0.00_-;\-&quot;$&quot;* #,##0.00_-;_-&quot;$&quot;* &quot;-&quot;??_-;_-@_-"/>
    </dxf>
    <dxf>
      <numFmt numFmtId="12" formatCode="&quot;$&quot;#,##0.00;[Red]\-&quot;$&quot;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-0.499984740745262"/>
        </patternFill>
      </fill>
    </dxf>
    <dxf>
      <numFmt numFmtId="34" formatCode="_-&quot;$&quot;* #,##0.00_-;\-&quot;$&quot;* #,##0.00_-;_-&quot;$&quot;* &quot;-&quot;??_-;_-@_-"/>
    </dxf>
    <dxf>
      <numFmt numFmtId="12" formatCode="&quot;$&quot;#,##0.00;[Red]\-&quot;$&quot;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-0.499984740745262"/>
        </patternFill>
      </fill>
    </dxf>
    <dxf>
      <numFmt numFmtId="34" formatCode="_-&quot;$&quot;* #,##0.00_-;\-&quot;$&quot;* #,##0.00_-;_-&quot;$&quot;* &quot;-&quot;??_-;_-@_-"/>
    </dxf>
    <dxf>
      <numFmt numFmtId="12" formatCode="&quot;$&quot;#,##0.00;[Red]\-&quot;$&quot;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-0.499984740745262"/>
        </patternFill>
      </fill>
    </dxf>
    <dxf>
      <numFmt numFmtId="34" formatCode="_-&quot;$&quot;* #,##0.00_-;\-&quot;$&quot;* #,##0.00_-;_-&quot;$&quot;* &quot;-&quot;??_-;_-@_-"/>
    </dxf>
    <dxf>
      <numFmt numFmtId="12" formatCode="&quot;$&quot;#,##0.00;[Red]\-&quot;$&quot;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-0.499984740745262"/>
        </patternFill>
      </fill>
    </dxf>
    <dxf>
      <numFmt numFmtId="34" formatCode="_-&quot;$&quot;* #,##0.00_-;\-&quot;$&quot;* #,##0.00_-;_-&quot;$&quot;* &quot;-&quot;??_-;_-@_-"/>
    </dxf>
    <dxf>
      <numFmt numFmtId="12" formatCode="&quot;$&quot;#,##0.00;[Red]\-&quot;$&quot;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-0.499984740745262"/>
        </patternFill>
      </fill>
    </dxf>
    <dxf>
      <numFmt numFmtId="34" formatCode="_-&quot;$&quot;* #,##0.00_-;\-&quot;$&quot;* #,##0.00_-;_-&quot;$&quot;* &quot;-&quot;??_-;_-@_-"/>
    </dxf>
    <dxf>
      <numFmt numFmtId="12" formatCode="&quot;$&quot;#,##0.00;[Red]\-&quot;$&quot;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-0.499984740745262"/>
        </patternFill>
      </fill>
    </dxf>
    <dxf>
      <numFmt numFmtId="34" formatCode="_-&quot;$&quot;* #,##0.00_-;\-&quot;$&quot;* #,##0.00_-;_-&quot;$&quot;* &quot;-&quot;??_-;_-@_-"/>
    </dxf>
    <dxf>
      <numFmt numFmtId="12" formatCode="&quot;$&quot;#,##0.00;[Red]\-&quot;$&quot;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-0.499984740745262"/>
        </patternFill>
      </fill>
    </dxf>
    <dxf>
      <numFmt numFmtId="34" formatCode="_-&quot;$&quot;* #,##0.00_-;\-&quot;$&quot;* #,##0.00_-;_-&quot;$&quot;* &quot;-&quot;??_-;_-@_-"/>
    </dxf>
    <dxf>
      <numFmt numFmtId="12" formatCode="&quot;$&quot;#,##0.00;[Red]\-&quot;$&quot;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-0.499984740745262"/>
        </patternFill>
      </fill>
    </dxf>
    <dxf>
      <numFmt numFmtId="34" formatCode="_-&quot;$&quot;* #,##0.00_-;\-&quot;$&quot;* #,##0.00_-;_-&quot;$&quot;* &quot;-&quot;??_-;_-@_-"/>
    </dxf>
    <dxf>
      <numFmt numFmtId="12" formatCode="&quot;$&quot;#,##0.00;[Red]\-&quot;$&quot;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-0.499984740745262"/>
        </patternFill>
      </fill>
    </dxf>
    <dxf>
      <numFmt numFmtId="34" formatCode="_-&quot;$&quot;* #,##0.00_-;\-&quot;$&quot;* #,##0.00_-;_-&quot;$&quot;* &quot;-&quot;??_-;_-@_-"/>
    </dxf>
    <dxf>
      <numFmt numFmtId="12" formatCode="&quot;$&quot;#,##0.00;[Red]\-&quot;$&quot;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-0.499984740745262"/>
        </patternFill>
      </fill>
    </dxf>
    <dxf>
      <numFmt numFmtId="34" formatCode="_-&quot;$&quot;* #,##0.00_-;\-&quot;$&quot;* #,##0.00_-;_-&quot;$&quot;* &quot;-&quot;??_-;_-@_-"/>
    </dxf>
    <dxf>
      <numFmt numFmtId="12" formatCode="&quot;$&quot;#,##0.00;[Red]\-&quot;$&quot;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-0.499984740745262"/>
        </patternFill>
      </fill>
    </dxf>
    <dxf>
      <numFmt numFmtId="34" formatCode="_-&quot;$&quot;* #,##0.00_-;\-&quot;$&quot;* #,##0.00_-;_-&quot;$&quot;* &quot;-&quot;??_-;_-@_-"/>
    </dxf>
    <dxf>
      <numFmt numFmtId="12" formatCode="&quot;$&quot;#,##0.00;[Red]\-&quot;$&quot;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-0.499984740745262"/>
        </patternFill>
      </fill>
    </dxf>
    <dxf>
      <numFmt numFmtId="34" formatCode="_-&quot;$&quot;* #,##0.00_-;\-&quot;$&quot;* #,##0.00_-;_-&quot;$&quot;* &quot;-&quot;??_-;_-@_-"/>
    </dxf>
    <dxf>
      <numFmt numFmtId="12" formatCode="&quot;$&quot;#,##0.00;[Red]\-&quot;$&quot;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-0.499984740745262"/>
        </patternFill>
      </fill>
    </dxf>
    <dxf>
      <numFmt numFmtId="34" formatCode="_-&quot;$&quot;* #,##0.00_-;\-&quot;$&quot;* #,##0.00_-;_-&quot;$&quot;* &quot;-&quot;??_-;_-@_-"/>
    </dxf>
    <dxf>
      <numFmt numFmtId="12" formatCode="&quot;$&quot;#,##0.00;[Red]\-&quot;$&quot;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-0.499984740745262"/>
        </patternFill>
      </fill>
    </dxf>
    <dxf>
      <numFmt numFmtId="34" formatCode="_-&quot;$&quot;* #,##0.00_-;\-&quot;$&quot;* #,##0.00_-;_-&quot;$&quot;* &quot;-&quot;??_-;_-@_-"/>
    </dxf>
    <dxf>
      <numFmt numFmtId="12" formatCode="&quot;$&quot;#,##0.00;[Red]\-&quot;$&quot;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-0.499984740745262"/>
        </patternFill>
      </fill>
    </dxf>
    <dxf>
      <numFmt numFmtId="34" formatCode="_-&quot;$&quot;* #,##0.00_-;\-&quot;$&quot;* #,##0.00_-;_-&quot;$&quot;* &quot;-&quot;??_-;_-@_-"/>
    </dxf>
    <dxf>
      <numFmt numFmtId="12" formatCode="&quot;$&quot;#,##0.00;[Red]\-&quot;$&quot;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-0.499984740745262"/>
        </patternFill>
      </fill>
    </dxf>
    <dxf>
      <numFmt numFmtId="34" formatCode="_-&quot;$&quot;* #,##0.00_-;\-&quot;$&quot;* #,##0.00_-;_-&quot;$&quot;* &quot;-&quot;??_-;_-@_-"/>
    </dxf>
    <dxf>
      <numFmt numFmtId="12" formatCode="&quot;$&quot;#,##0.00;[Red]\-&quot;$&quot;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-0.249977111117893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2" formatCode="&quot;$&quot;#,##0.00;[Red]\-&quot;$&quot;#,##0.00"/>
    </dxf>
    <dxf>
      <numFmt numFmtId="34" formatCode="_-&quot;$&quot;* #,##0.00_-;\-&quot;$&quot;* #,##0.00_-;_-&quot;$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Assets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242-425B-B209-5B95A9474D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242-425B-B209-5B95A9474D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242-425B-B209-5B95A9474D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242-425B-B209-5B95A9474D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242-425B-B209-5B95A9474D2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Assets!$C$27:$C$31</c:f>
              <c:strCache>
                <c:ptCount val="5"/>
                <c:pt idx="0">
                  <c:v>Saving &amp; Cash</c:v>
                </c:pt>
                <c:pt idx="1">
                  <c:v>Superannuation</c:v>
                </c:pt>
                <c:pt idx="2">
                  <c:v>Property</c:v>
                </c:pt>
                <c:pt idx="3">
                  <c:v>Vehicle</c:v>
                </c:pt>
                <c:pt idx="4">
                  <c:v>Contents</c:v>
                </c:pt>
              </c:strCache>
            </c:strRef>
          </c:cat>
          <c:val>
            <c:numRef>
              <c:f>Assets!$G$27:$G$31</c:f>
              <c:numCache>
                <c:formatCode>_("$"* #,##0.00_);_("$"* \(#,##0.00\);_("$"* "-"??_);_(@_)</c:formatCode>
                <c:ptCount val="5"/>
                <c:pt idx="0">
                  <c:v>26500</c:v>
                </c:pt>
                <c:pt idx="1">
                  <c:v>80000</c:v>
                </c:pt>
                <c:pt idx="2">
                  <c:v>600000</c:v>
                </c:pt>
                <c:pt idx="3">
                  <c:v>20000</c:v>
                </c:pt>
                <c:pt idx="4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9B-4A1F-B1FC-A4ECA4C2E3D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Liabilities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044-4892-A495-3E65B01103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044-4892-A495-3E65B01103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044-4892-A495-3E65B01103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044-4892-A495-3E65B011031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5CC-4496-811D-A8271F9FC24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Liabilities!$C$35:$C$39</c:f>
              <c:strCache>
                <c:ptCount val="5"/>
                <c:pt idx="0">
                  <c:v>Credit Cards</c:v>
                </c:pt>
                <c:pt idx="1">
                  <c:v>Mortgage1-Property3</c:v>
                </c:pt>
                <c:pt idx="2">
                  <c:v>Mortgage2-Propert2</c:v>
                </c:pt>
                <c:pt idx="3">
                  <c:v>Mortgage3-Property4</c:v>
                </c:pt>
                <c:pt idx="4">
                  <c:v>Mortgage4-Property1</c:v>
                </c:pt>
              </c:strCache>
            </c:strRef>
          </c:cat>
          <c:val>
            <c:numRef>
              <c:f>Liabilities!$H$35:$H$39</c:f>
              <c:numCache>
                <c:formatCode>_("$"* #,##0.00_);_("$"* \(#,##0.00\);_("$"* "-"??_);_(@_)</c:formatCode>
                <c:ptCount val="5"/>
                <c:pt idx="0">
                  <c:v>1502</c:v>
                </c:pt>
                <c:pt idx="1">
                  <c:v>200000</c:v>
                </c:pt>
                <c:pt idx="2">
                  <c:v>90000</c:v>
                </c:pt>
                <c:pt idx="3">
                  <c:v>200000</c:v>
                </c:pt>
                <c:pt idx="4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044-4892-A495-3E65B011031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5E2-43FA-A7A5-C3B6DD9D3E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5E2-43FA-A7A5-C3B6DD9D3E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5E2-43FA-A7A5-C3B6DD9D3E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5E2-43FA-A7A5-C3B6DD9D3E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B6A-41C8-BBEE-380CF0B7CF3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Income!$C$21:$C$25</c:f>
              <c:strCache>
                <c:ptCount val="5"/>
                <c:pt idx="0">
                  <c:v>Salary MJ</c:v>
                </c:pt>
                <c:pt idx="1">
                  <c:v>Salary SAM</c:v>
                </c:pt>
                <c:pt idx="2">
                  <c:v>Rental Income Property3</c:v>
                </c:pt>
                <c:pt idx="3">
                  <c:v>Rental IncomePropert2</c:v>
                </c:pt>
                <c:pt idx="4">
                  <c:v>Rental IncomeProperty1</c:v>
                </c:pt>
              </c:strCache>
            </c:strRef>
          </c:cat>
          <c:val>
            <c:numRef>
              <c:f>Income!$G$21:$G$25</c:f>
              <c:numCache>
                <c:formatCode>"$"#,##0.00_);[Red]\("$"#,##0.00\)</c:formatCode>
                <c:ptCount val="5"/>
                <c:pt idx="0">
                  <c:v>4062.5</c:v>
                </c:pt>
                <c:pt idx="1">
                  <c:v>3020.8333333333335</c:v>
                </c:pt>
                <c:pt idx="2">
                  <c:v>808.88888888888891</c:v>
                </c:pt>
                <c:pt idx="3">
                  <c:v>1315.7894736842104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E2-43FA-A7A5-C3B6DD9D3EF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DEF-4515-A08F-3269C456E5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DEF-4515-A08F-3269C456E5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DEF-4515-A08F-3269C456E5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DEF-4515-A08F-3269C456E5A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852-4A9B-804C-5A986FA0EA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852-4A9B-804C-5A986FA0EA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852-4A9B-804C-5A986FA0EA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852-4A9B-804C-5A986FA0EA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852-4A9B-804C-5A986FA0EA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0852-4A9B-804C-5A986FA0EA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0852-4A9B-804C-5A986FA0EA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852-4A9B-804C-5A986FA0EA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306D-432C-8AD2-E5D48D27515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Expenses!$M$3:$M$15</c:f>
              <c:strCache>
                <c:ptCount val="13"/>
                <c:pt idx="0">
                  <c:v>Groceries</c:v>
                </c:pt>
                <c:pt idx="1">
                  <c:v>Personal Care</c:v>
                </c:pt>
                <c:pt idx="2">
                  <c:v>Medical</c:v>
                </c:pt>
                <c:pt idx="3">
                  <c:v>Recreational &amp; Entertainment</c:v>
                </c:pt>
                <c:pt idx="4">
                  <c:v>Telephone &amp; Internet</c:v>
                </c:pt>
                <c:pt idx="5">
                  <c:v>Transport</c:v>
                </c:pt>
                <c:pt idx="6">
                  <c:v>Insurance</c:v>
                </c:pt>
                <c:pt idx="7">
                  <c:v>Property4</c:v>
                </c:pt>
                <c:pt idx="8">
                  <c:v>Property3</c:v>
                </c:pt>
                <c:pt idx="9">
                  <c:v>Propert2</c:v>
                </c:pt>
                <c:pt idx="10">
                  <c:v>Property1</c:v>
                </c:pt>
                <c:pt idx="11">
                  <c:v>Other</c:v>
                </c:pt>
                <c:pt idx="12">
                  <c:v>Loans and Liabilities</c:v>
                </c:pt>
              </c:strCache>
            </c:strRef>
          </c:cat>
          <c:val>
            <c:numRef>
              <c:f>Expenses!$Q$3:$Q$15</c:f>
              <c:numCache>
                <c:formatCode>"$"#,##0.00_);[Red]\("$"#,##0.00\)</c:formatCode>
                <c:ptCount val="13"/>
                <c:pt idx="0">
                  <c:v>387.64</c:v>
                </c:pt>
                <c:pt idx="1">
                  <c:v>421.05</c:v>
                </c:pt>
                <c:pt idx="2">
                  <c:v>13.16</c:v>
                </c:pt>
                <c:pt idx="3">
                  <c:v>1999.34</c:v>
                </c:pt>
                <c:pt idx="4">
                  <c:v>42.73</c:v>
                </c:pt>
                <c:pt idx="5">
                  <c:v>302.07</c:v>
                </c:pt>
                <c:pt idx="6">
                  <c:v>103.44999999999999</c:v>
                </c:pt>
                <c:pt idx="7">
                  <c:v>632.65000000000009</c:v>
                </c:pt>
                <c:pt idx="8">
                  <c:v>327.93</c:v>
                </c:pt>
                <c:pt idx="9">
                  <c:v>90.71</c:v>
                </c:pt>
                <c:pt idx="10">
                  <c:v>230.55</c:v>
                </c:pt>
                <c:pt idx="11">
                  <c:v>657.57</c:v>
                </c:pt>
                <c:pt idx="12" formatCode="_(&quot;$&quot;* #,##0.00_);_(&quot;$&quot;* \(#,##0.00\);_(&quot;$&quot;* &quot;-&quot;??_);_(@_)">
                  <c:v>907.86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EF-4515-A08F-3269C456E5A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96D-43EE-B64D-847261D06A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96D-43EE-B64D-847261D06A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96D-43EE-B64D-847261D06A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96D-43EE-B64D-847261D06A9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Income!$C$21:$C$24</c:f>
              <c:strCache>
                <c:ptCount val="4"/>
                <c:pt idx="0">
                  <c:v>Salary MJ</c:v>
                </c:pt>
                <c:pt idx="1">
                  <c:v>Salary SAM</c:v>
                </c:pt>
                <c:pt idx="2">
                  <c:v>Rental Income Property3</c:v>
                </c:pt>
                <c:pt idx="3">
                  <c:v>Rental IncomePropert2</c:v>
                </c:pt>
              </c:strCache>
            </c:strRef>
          </c:cat>
          <c:val>
            <c:numRef>
              <c:f>Income!$G$21:$G$24</c:f>
              <c:numCache>
                <c:formatCode>"$"#,##0.00_);[Red]\("$"#,##0.00\)</c:formatCode>
                <c:ptCount val="4"/>
                <c:pt idx="0">
                  <c:v>4062.5</c:v>
                </c:pt>
                <c:pt idx="1">
                  <c:v>3020.8333333333335</c:v>
                </c:pt>
                <c:pt idx="2">
                  <c:v>808.88888888888891</c:v>
                </c:pt>
                <c:pt idx="3">
                  <c:v>1315.7894736842104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6D-43EE-B64D-847261D06A9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Assets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A21-4029-BA2B-5054386F68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A21-4029-BA2B-5054386F68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A21-4029-BA2B-5054386F68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A21-4029-BA2B-5054386F68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A21-4029-BA2B-5054386F685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Assets!$C$27:$C$31</c:f>
              <c:strCache>
                <c:ptCount val="5"/>
                <c:pt idx="0">
                  <c:v>Saving &amp; Cash</c:v>
                </c:pt>
                <c:pt idx="1">
                  <c:v>Superannuation</c:v>
                </c:pt>
                <c:pt idx="2">
                  <c:v>Property</c:v>
                </c:pt>
                <c:pt idx="3">
                  <c:v>Vehicle</c:v>
                </c:pt>
                <c:pt idx="4">
                  <c:v>Contents</c:v>
                </c:pt>
              </c:strCache>
            </c:strRef>
          </c:cat>
          <c:val>
            <c:numRef>
              <c:f>Assets!$G$27:$G$31</c:f>
              <c:numCache>
                <c:formatCode>_("$"* #,##0.00_);_("$"* \(#,##0.00\);_("$"* "-"??_);_(@_)</c:formatCode>
                <c:ptCount val="5"/>
                <c:pt idx="0">
                  <c:v>26500</c:v>
                </c:pt>
                <c:pt idx="1">
                  <c:v>80000</c:v>
                </c:pt>
                <c:pt idx="2">
                  <c:v>600000</c:v>
                </c:pt>
                <c:pt idx="3">
                  <c:v>20000</c:v>
                </c:pt>
                <c:pt idx="4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A21-4029-BA2B-5054386F685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Liabilities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704-41BD-85FF-570E4B23AB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704-41BD-85FF-570E4B23AB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704-41BD-85FF-570E4B23AB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704-41BD-85FF-570E4B23ABC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Liabilities!$C$35:$C$38</c:f>
              <c:strCache>
                <c:ptCount val="4"/>
                <c:pt idx="0">
                  <c:v>Credit Cards</c:v>
                </c:pt>
                <c:pt idx="1">
                  <c:v>Mortgage1-Property3</c:v>
                </c:pt>
                <c:pt idx="2">
                  <c:v>Mortgage2-Propert2</c:v>
                </c:pt>
                <c:pt idx="3">
                  <c:v>Mortgage3-Property4</c:v>
                </c:pt>
              </c:strCache>
            </c:strRef>
          </c:cat>
          <c:val>
            <c:numRef>
              <c:f>Liabilities!$H$35:$H$38</c:f>
              <c:numCache>
                <c:formatCode>_("$"* #,##0.00_);_("$"* \(#,##0.00\);_("$"* "-"??_);_(@_)</c:formatCode>
                <c:ptCount val="4"/>
                <c:pt idx="0">
                  <c:v>1502</c:v>
                </c:pt>
                <c:pt idx="1">
                  <c:v>200000</c:v>
                </c:pt>
                <c:pt idx="2">
                  <c:v>90000</c:v>
                </c:pt>
                <c:pt idx="3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04-41BD-85FF-570E4B23ABC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E61-4D55-84BD-057C3EFEF1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E61-4D55-84BD-057C3EFEF1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E61-4D55-84BD-057C3EFEF1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E61-4D55-84BD-057C3EFEF1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E61-4D55-84BD-057C3EFEF1D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E61-4D55-84BD-057C3EFEF1D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E61-4D55-84BD-057C3EFEF1D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E61-4D55-84BD-057C3EFEF1D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E61-4D55-84BD-057C3EFEF1D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E61-4D55-84BD-057C3EFEF1D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E61-4D55-84BD-057C3EFEF1D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E61-4D55-84BD-057C3EFEF1D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704-4E1B-8BC9-9F8DC9E25BD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Expenses!$M$3:$M$15</c:f>
              <c:strCache>
                <c:ptCount val="13"/>
                <c:pt idx="0">
                  <c:v>Groceries</c:v>
                </c:pt>
                <c:pt idx="1">
                  <c:v>Personal Care</c:v>
                </c:pt>
                <c:pt idx="2">
                  <c:v>Medical</c:v>
                </c:pt>
                <c:pt idx="3">
                  <c:v>Recreational &amp; Entertainment</c:v>
                </c:pt>
                <c:pt idx="4">
                  <c:v>Telephone &amp; Internet</c:v>
                </c:pt>
                <c:pt idx="5">
                  <c:v>Transport</c:v>
                </c:pt>
                <c:pt idx="6">
                  <c:v>Insurance</c:v>
                </c:pt>
                <c:pt idx="7">
                  <c:v>Property4</c:v>
                </c:pt>
                <c:pt idx="8">
                  <c:v>Property3</c:v>
                </c:pt>
                <c:pt idx="9">
                  <c:v>Propert2</c:v>
                </c:pt>
                <c:pt idx="10">
                  <c:v>Property1</c:v>
                </c:pt>
                <c:pt idx="11">
                  <c:v>Other</c:v>
                </c:pt>
                <c:pt idx="12">
                  <c:v>Loans and Liabilities</c:v>
                </c:pt>
              </c:strCache>
            </c:strRef>
          </c:cat>
          <c:val>
            <c:numRef>
              <c:f>Expenses!$Q$3:$Q$15</c:f>
              <c:numCache>
                <c:formatCode>"$"#,##0.00_);[Red]\("$"#,##0.00\)</c:formatCode>
                <c:ptCount val="13"/>
                <c:pt idx="0">
                  <c:v>387.64</c:v>
                </c:pt>
                <c:pt idx="1">
                  <c:v>421.05</c:v>
                </c:pt>
                <c:pt idx="2">
                  <c:v>13.16</c:v>
                </c:pt>
                <c:pt idx="3">
                  <c:v>1999.34</c:v>
                </c:pt>
                <c:pt idx="4">
                  <c:v>42.73</c:v>
                </c:pt>
                <c:pt idx="5">
                  <c:v>302.07</c:v>
                </c:pt>
                <c:pt idx="6">
                  <c:v>103.44999999999999</c:v>
                </c:pt>
                <c:pt idx="7">
                  <c:v>632.65000000000009</c:v>
                </c:pt>
                <c:pt idx="8">
                  <c:v>327.93</c:v>
                </c:pt>
                <c:pt idx="9">
                  <c:v>90.71</c:v>
                </c:pt>
                <c:pt idx="10">
                  <c:v>230.55</c:v>
                </c:pt>
                <c:pt idx="11">
                  <c:v>657.57</c:v>
                </c:pt>
                <c:pt idx="12" formatCode="_(&quot;$&quot;* #,##0.00_);_(&quot;$&quot;* \(#,##0.00\);_(&quot;$&quot;* &quot;-&quot;??_);_(@_)">
                  <c:v>907.86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E61-4D55-84BD-057C3EFEF1D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219074</xdr:colOff>
      <xdr:row>2</xdr:row>
      <xdr:rowOff>171450</xdr:rowOff>
    </xdr:from>
    <xdr:to>
      <xdr:col>20</xdr:col>
      <xdr:colOff>352425</xdr:colOff>
      <xdr:row>33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B87AF1-3967-A991-1717-9B2B1CD54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142875</xdr:colOff>
      <xdr:row>2</xdr:row>
      <xdr:rowOff>0</xdr:rowOff>
    </xdr:from>
    <xdr:to>
      <xdr:col>21</xdr:col>
      <xdr:colOff>276226</xdr:colOff>
      <xdr:row>32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EDE5AF-2D71-40A9-81C3-413F4C4CD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19049</xdr:colOff>
      <xdr:row>2</xdr:row>
      <xdr:rowOff>0</xdr:rowOff>
    </xdr:from>
    <xdr:to>
      <xdr:col>17</xdr:col>
      <xdr:colOff>76200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3C0579-EC92-4A51-A8E6-FB1B55EB9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20</xdr:row>
      <xdr:rowOff>38100</xdr:rowOff>
    </xdr:from>
    <xdr:to>
      <xdr:col>17</xdr:col>
      <xdr:colOff>1176618</xdr:colOff>
      <xdr:row>45</xdr:row>
      <xdr:rowOff>172570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B1D144-DA0E-49AB-A3F8-994C023D6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485775</xdr:colOff>
      <xdr:row>12</xdr:row>
      <xdr:rowOff>133350</xdr:rowOff>
    </xdr:from>
    <xdr:to>
      <xdr:col>15</xdr:col>
      <xdr:colOff>447675</xdr:colOff>
      <xdr:row>25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C81887-3C2F-478C-9B88-D18452B8F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514350</xdr:colOff>
      <xdr:row>0</xdr:row>
      <xdr:rowOff>57150</xdr:rowOff>
    </xdr:from>
    <xdr:to>
      <xdr:col>15</xdr:col>
      <xdr:colOff>428625</xdr:colOff>
      <xdr:row>12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37B7B8-F41F-4369-ABF2-A507FE544C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66675</xdr:colOff>
      <xdr:row>0</xdr:row>
      <xdr:rowOff>47624</xdr:rowOff>
    </xdr:from>
    <xdr:to>
      <xdr:col>10</xdr:col>
      <xdr:colOff>409576</xdr:colOff>
      <xdr:row>18</xdr:row>
      <xdr:rowOff>138111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9387CA-AB32-44EF-A713-1D429334B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552450</xdr:colOff>
      <xdr:row>0</xdr:row>
      <xdr:rowOff>76200</xdr:rowOff>
    </xdr:from>
    <xdr:to>
      <xdr:col>26</xdr:col>
      <xdr:colOff>144556</xdr:colOff>
      <xdr:row>25</xdr:row>
      <xdr:rowOff>96370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756451-1628-4DE7-8DE1-5CA7B82C1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AllBankAccountsExpens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J Alavi" refreshedDate="46067.77479560185" createdVersion="8" refreshedVersion="8" minRefreshableVersion="3" recordCount="4205" xr:uid="{3AA51DF7-F9F0-4000-9018-0FDCADDBDEE2}">
  <cacheSource type="worksheet">
    <worksheetSource ref="A1:I4206" sheet="All Banks FY2023-2024" r:id="rId2"/>
  </cacheSource>
  <cacheFields count="12">
    <cacheField name="Bank" numFmtId="0">
      <sharedItems count="3">
        <s v="ASB"/>
        <s v="ANZ"/>
        <s v="KiwiBank"/>
      </sharedItems>
    </cacheField>
    <cacheField name="Type" numFmtId="0">
      <sharedItems count="3">
        <s v="Saving"/>
        <s v="Credit"/>
        <s v="Loan"/>
      </sharedItems>
    </cacheField>
    <cacheField name="Account" numFmtId="0">
      <sharedItems count="17">
        <s v="12-3057-xxxxx-01"/>
        <s v="12-3637-xxxx-00"/>
        <s v="xxxx-xxxx-xxxx-1588"/>
        <s v="06-0082-xxxx-00"/>
        <s v="xxxx-1001"/>
        <s v="xxxx-1002"/>
        <s v="xxxx-1003"/>
        <s v="38-9016-xxxx-00"/>
        <s v="38-9016-xxxx-01"/>
        <s v="38-9016-xxxx-11"/>
        <s v="38-9022-xxxx-00"/>
        <s v="38-9016-xxxx-06"/>
        <s v="38-9016-xxxx-07"/>
        <s v="38-9016-xxxx-08"/>
        <s v="38-9016-xxxx-10"/>
        <s v="4327-42__-____-5015"/>
        <s v="4833-48__-____-1032"/>
      </sharedItems>
    </cacheField>
    <cacheField name="Date" numFmtId="14">
      <sharedItems containsSemiMixedTypes="0" containsNonDate="0" containsDate="1" containsString="0" minDate="2023-03-30T00:00:00" maxDate="2024-04-01T00:00:00" count="634">
        <d v="2023-04-02T00:00:00"/>
        <d v="2023-04-04T00:00:00"/>
        <d v="2023-04-05T00:00:00"/>
        <d v="2023-04-06T00:00:00"/>
        <d v="2023-04-08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8T00:00:00"/>
        <d v="2023-04-19T00:00:00"/>
        <d v="2023-04-20T00:00:00"/>
        <d v="2023-04-22T00:00:00"/>
        <d v="2023-04-24T00:00:00"/>
        <d v="2023-04-26T00:00:00"/>
        <d v="2023-04-27T00:00:00"/>
        <d v="2023-04-28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8T00:00:00"/>
        <d v="2023-05-09T00:00:00"/>
        <d v="2023-05-10T00:00:00"/>
        <d v="2023-05-11T00:00:00"/>
        <d v="2023-05-12T00:00:00"/>
        <d v="2023-05-15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6T00:00:00"/>
        <d v="2023-05-27T00:00:00"/>
        <d v="2023-05-31T00:00:00"/>
        <d v="2023-06-01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8T00:00:00"/>
        <d v="2023-06-20T00:00:00"/>
        <d v="2023-06-21T00:00:00"/>
        <d v="2023-06-24T00:00:00"/>
        <d v="2023-06-25T00:00:00"/>
        <d v="2023-06-26T00:00:00"/>
        <d v="2023-06-27T00:00:00"/>
        <d v="2023-06-28T00:00:00"/>
        <d v="2023-07-01T00:00:00"/>
        <d v="2023-07-04T00:00:00"/>
        <d v="2023-07-05T00:00:00"/>
        <d v="2023-07-06T00:00:00"/>
        <d v="2023-07-07T00:00:00"/>
        <d v="2023-07-09T00:00:00"/>
        <d v="2023-07-10T00:00:00"/>
        <d v="2023-07-12T00:00:00"/>
        <d v="2023-07-13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4T00:00:00"/>
        <d v="2023-07-26T00:00:00"/>
        <d v="2023-07-27T00:00:00"/>
        <d v="2023-07-30T00:00:00"/>
        <d v="2023-08-02T00:00:00"/>
        <d v="2023-08-04T00:00:00"/>
        <d v="2023-08-06T00:00:00"/>
        <d v="2023-08-08T00:00:00"/>
        <d v="2023-08-10T00:00:00"/>
        <d v="2023-08-11T00:00:00"/>
        <d v="2023-08-13T00:00:00"/>
        <d v="2023-08-14T00:00:00"/>
        <d v="2023-08-16T00:00:00"/>
        <d v="2023-08-17T00:00:00"/>
        <d v="2023-08-18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30T00:00:00"/>
        <d v="2023-09-01T00:00:00"/>
        <d v="2023-09-02T00:00:00"/>
        <d v="2023-09-03T00:00:00"/>
        <d v="2023-09-04T00:00:00"/>
        <d v="2023-09-06T00:00:00"/>
        <d v="2023-09-07T00:00:00"/>
        <d v="2023-09-08T00:00:00"/>
        <d v="2023-09-10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4T00:00:00"/>
        <d v="2023-09-25T00:00:00"/>
        <d v="2023-09-26T00:00:00"/>
        <d v="2023-09-27T00:00:00"/>
        <d v="2023-09-28T00:00:00"/>
        <d v="2023-09-29T00:00:00"/>
        <d v="2023-10-03T00:00:00"/>
        <d v="2023-10-04T00:00:00"/>
        <d v="2023-10-05T00:00:00"/>
        <d v="2023-10-06T00:00:00"/>
        <d v="2023-10-07T00:00:00"/>
        <d v="2023-10-08T00:00:00"/>
        <d v="2023-10-11T00:00:00"/>
        <d v="2023-10-13T00:00:00"/>
        <d v="2023-10-14T00:00:00"/>
        <d v="2023-10-15T00:00:00"/>
        <d v="2023-10-18T00:00:00"/>
        <d v="2023-10-19T00:00:00"/>
        <d v="2023-10-20T00:00:00"/>
        <d v="2023-10-21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1-01T00:00:00"/>
        <d v="2023-11-02T00:00:00"/>
        <d v="2023-11-04T00:00:00"/>
        <d v="2023-11-05T00:00:00"/>
        <d v="2023-11-06T00:00:00"/>
        <d v="2023-11-07T00:00:00"/>
        <d v="2023-11-08T00:00:00"/>
        <d v="2023-11-09T00:00:00"/>
        <d v="2023-11-12T00:00:00"/>
        <d v="2023-11-13T00:00:00"/>
        <d v="2023-11-15T00:00:00"/>
        <d v="2023-11-16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8T00:00:00"/>
        <d v="2023-11-29T00:00:00"/>
        <d v="2023-11-30T00:00:00"/>
        <d v="2023-12-01T00:00:00"/>
        <d v="2023-12-03T00:00:00"/>
        <d v="2023-12-04T00:00:00"/>
        <d v="2023-12-05T00:00:00"/>
        <d v="2023-12-06T00:00:00"/>
        <d v="2023-12-07T00:00:00"/>
        <d v="2023-12-09T00:00:00"/>
        <d v="2023-12-10T00:00:00"/>
        <d v="2023-12-11T00:00:00"/>
        <d v="2023-12-13T00:00:00"/>
        <d v="2023-12-14T00:00:00"/>
        <d v="2023-12-18T00:00:00"/>
        <d v="2023-12-19T00:00:00"/>
        <d v="2023-12-20T00:00:00"/>
        <d v="2023-12-21T00:00:00"/>
        <d v="2023-12-22T00:00:00"/>
        <d v="2023-12-24T00:00:00"/>
        <d v="2023-12-27T00:00:00"/>
        <d v="2023-12-29T00:00:00"/>
        <d v="2023-12-3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8T00:00:00"/>
        <d v="2024-01-30T00:00:00"/>
        <d v="2024-01-31T00:00:00"/>
        <d v="2024-02-01T00:00:00"/>
        <d v="2024-02-02T00:00:00"/>
        <d v="2024-02-03T00:00:00"/>
        <d v="2024-02-04T00:00:00"/>
        <d v="2024-02-06T00:00:00"/>
        <d v="2024-02-07T00:00:00"/>
        <d v="2024-02-08T00:00:00"/>
        <d v="2024-02-09T00:00:00"/>
        <d v="2024-02-13T00:00:00"/>
        <d v="2024-02-14T00:00:00"/>
        <d v="2024-02-15T00:00:00"/>
        <d v="2024-02-16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3T00:00:00"/>
        <d v="2024-03-14T00:00:00"/>
        <d v="2024-03-15T00:00:00"/>
        <d v="2024-03-18T00:00:00"/>
        <d v="2024-03-19T00:00:00"/>
        <d v="2024-03-20T00:00:00"/>
        <d v="2024-03-22T00:00:00"/>
        <d v="2024-03-24T00:00:00"/>
        <d v="2024-03-27T00:00:00"/>
        <d v="2024-03-29T00:00:00"/>
        <d v="2024-03-31T00:00:00"/>
        <d v="2023-03-31T00:00:00"/>
        <d v="2023-03-30T00:00:00"/>
        <d v="2023-04-01T00:00:00"/>
        <d v="2023-04-03T00:00:00"/>
        <d v="2023-04-07T00:00:00"/>
        <d v="2023-04-09T00:00:00"/>
        <d v="2023-04-17T00:00:00"/>
        <d v="2023-04-29T00:00:00"/>
        <d v="2023-05-07T00:00:00"/>
        <d v="2023-05-13T00:00:00"/>
        <d v="2023-05-14T00:00:00"/>
        <d v="2023-05-25T00:00:00"/>
        <d v="2023-05-28T00:00:00"/>
        <d v="2023-07-02T00:00:00"/>
        <d v="2023-07-11T00:00:00"/>
        <d v="2023-07-29T00:00:00"/>
        <d v="2023-08-15T00:00:00"/>
        <d v="2023-08-29T00:00:00"/>
        <d v="2023-08-31T00:00:00"/>
        <d v="2023-09-05T00:00:00"/>
        <d v="2023-09-17T00:00:00"/>
        <d v="2023-10-10T00:00:00"/>
        <d v="2023-11-11T00:00:00"/>
        <d v="2023-11-14T00:00:00"/>
        <d v="2023-12-02T00:00:00"/>
        <d v="2023-12-08T00:00:00"/>
        <d v="2023-12-28T00:00:00"/>
        <d v="2024-02-05T00:00:00"/>
        <d v="2024-03-16T00:00:00"/>
        <d v="2024-03-21T00:00:00"/>
        <d v="2024-03-23T00:00:00"/>
        <d v="2024-03-30T00:00:00"/>
        <d v="2024-03-28T00:00:00"/>
        <d v="2024-03-27T20:27:37"/>
        <d v="2024-03-27T15:37:28"/>
        <d v="2024-03-24T04:08:18"/>
        <d v="2024-03-22T04:45:21"/>
        <d v="2024-03-20T04:14:12"/>
        <d v="2024-03-20T14:38:43"/>
        <d v="2024-03-18T04:08:57"/>
        <d v="2024-03-18T04:08:55"/>
        <d v="2024-03-18T04:08:54"/>
        <d v="2024-03-15T04:08:33"/>
        <d v="2024-03-13T04:21:49"/>
        <d v="2024-03-13T21:51:44"/>
        <d v="2024-03-13T13:36:39"/>
        <d v="2024-03-06T04:13:32"/>
        <d v="2024-03-06T04:10:24"/>
        <d v="2024-03-06T15:17:18"/>
        <d v="2024-03-06T15:17:07"/>
        <d v="2024-03-06T13:37:51"/>
        <d v="2024-03-04T04:09:03"/>
        <d v="2024-03-04T04:08:27"/>
        <d v="2024-02-28T17:11:48"/>
        <d v="2024-02-28T14:37:13"/>
        <d v="2024-02-24T04:10:03"/>
        <d v="2024-02-25T04:06:44"/>
        <d v="2024-02-21T16:50:24"/>
        <d v="2024-02-21T16:50:36"/>
        <d v="2024-02-21T15:07:21"/>
        <d v="2024-02-20T04:20:34"/>
        <d v="2024-02-18T04:08:22"/>
        <d v="2024-02-18T04:08:21"/>
        <d v="2024-02-16T04:17:20"/>
        <d v="2024-02-15T21:42:11"/>
        <d v="2024-02-14T14:37:04"/>
        <d v="2024-02-13T04:11:30"/>
        <d v="2024-02-06T04:12:39"/>
        <d v="2024-02-06T04:11:18"/>
        <d v="2024-02-07T16:24:23"/>
        <d v="2024-02-07T13:36:57"/>
        <d v="2024-02-04T04:06:45"/>
        <d v="2024-02-04T04:06:34"/>
        <d v="2024-01-31T18:44:39"/>
        <d v="2024-01-31T18:44:26"/>
        <d v="2024-01-31T13:37:10"/>
        <d v="2024-01-28T04:08:25"/>
        <d v="2024-01-24T04:08:40"/>
        <d v="2024-01-24T18:12:21"/>
        <d v="2024-01-24T18:12:41"/>
        <d v="2024-01-24T15:37:45"/>
        <d v="2024-01-20T04:10:22"/>
        <d v="2024-01-19T04:10:52"/>
        <d v="2024-01-18T04:15:37"/>
        <d v="2024-01-18T04:15:33"/>
        <d v="2024-01-18T04:15:29"/>
        <d v="2024-01-17T14:50:13"/>
        <d v="2024-01-17T14:37:00"/>
        <d v="2024-01-13T04:07:37"/>
        <d v="2024-01-11T11:28:43"/>
        <d v="2024-01-11T11:29:24"/>
        <d v="2024-01-10T16:06:44"/>
        <d v="2024-01-06T04:07:38"/>
        <d v="2024-01-06T04:07:22"/>
        <d v="2024-01-04T04:14:33"/>
        <d v="2024-01-04T04:12:30"/>
        <d v="2023-12-31T04:09:25"/>
        <d v="2023-12-30T08:41:39"/>
        <d v="2024-01-03T17:05:36"/>
        <d v="2024-01-03T17:05:23"/>
        <d v="2023-12-31T09:34:22"/>
        <d v="2024-01-03T15:36:37"/>
        <d v="2023-12-24T04:06:41"/>
        <d v="2023-12-27T14:06:52"/>
        <d v="2023-12-22T04:11:15"/>
        <d v="2023-12-20T04:14:53"/>
        <d v="2023-12-20T15:39:50"/>
        <d v="2023-12-20T15:07:31"/>
        <d v="2023-12-18T04:10:39"/>
        <d v="2023-12-18T04:10:37"/>
        <d v="2023-12-18T04:10:36"/>
        <d v="2023-12-15T14:41:08"/>
        <d v="2023-12-15T14:06:29"/>
        <d v="2023-12-13T04:12:00"/>
        <d v="2023-12-13T15:20:40"/>
        <d v="2023-12-13T15:07:01"/>
        <d v="2023-12-06T04:11:11"/>
        <d v="2023-12-06T04:08:04"/>
        <d v="2023-12-06T21:17:12"/>
        <d v="2023-12-06T16:21:34"/>
        <d v="2023-12-04T04:10:10"/>
        <d v="2023-12-03T04:08:12"/>
        <d v="2023-12-04T04:09:35"/>
        <d v="2023-11-29T16:58:59"/>
        <d v="2023-11-29T16:58:47"/>
        <d v="2023-11-29T15:36:46"/>
        <d v="2023-11-24T04:10:15"/>
        <d v="2023-11-24T04:10:14"/>
        <d v="2023-11-22T17:23:56"/>
        <d v="2023-11-22T17:23:39"/>
        <d v="2023-11-22T17:06:54"/>
        <d v="2023-11-20T04:09:45"/>
        <d v="2023-11-18T04:07:20"/>
        <d v="2023-11-18T03:52:16"/>
        <d v="2023-11-17T15:36:17"/>
        <d v="2023-11-15T16:00:36"/>
        <d v="2023-11-15T16:00:49"/>
        <d v="2023-11-15T15:37:24"/>
        <d v="2023-11-13T04:07:23"/>
        <d v="2023-11-08T17:56:47"/>
        <d v="2023-11-08T15:36:58"/>
        <d v="2023-11-06T04:10:08"/>
        <d v="2023-11-04T04:07:39"/>
        <d v="2023-11-05T04:06:18"/>
        <d v="2023-11-04T04:07:29"/>
        <d v="2023-11-06T04:09:14"/>
        <d v="2023-11-03T15:06:16"/>
        <d v="2023-11-01T18:52:16"/>
        <d v="2023-11-01T18:52:28"/>
        <d v="2023-11-01T18:07:43"/>
        <d v="2023-10-27T04:11:34"/>
        <d v="2023-10-25T17:03:24"/>
        <d v="2023-10-25T17:03:08"/>
        <d v="2023-10-25T15:06:36"/>
        <d v="2023-10-24T04:09:15"/>
        <d v="2023-10-20T04:21:05"/>
        <d v="2023-10-19T09:55:16"/>
        <d v="2023-10-18T04:14:57"/>
        <d v="2023-10-18T04:14:54"/>
        <d v="2023-10-18T04:14:51"/>
        <d v="2023-10-18T16:21:24"/>
        <d v="2023-10-13T04:13:02"/>
        <d v="2023-10-12T00:00:00"/>
        <d v="2023-10-11T18:02:31"/>
        <d v="2023-10-11T15:06:40"/>
        <d v="2023-10-08T04:06:21"/>
        <d v="2023-10-06T04:13:01"/>
        <d v="2023-10-06T04:11:04"/>
        <d v="2023-10-04T04:11:21"/>
        <d v="2023-10-04T04:09:34"/>
        <d v="2023-10-04T17:11:15"/>
        <d v="2023-10-04T17:06:47"/>
        <d v="2023-09-29T04:17:28"/>
        <d v="2023-09-27T16:24:25"/>
        <d v="2023-09-27T16:21:23"/>
        <d v="2023-09-24T04:08:04"/>
        <d v="2023-09-21T09:32:21"/>
        <d v="2023-09-20T04:14:47"/>
        <d v="2023-09-20T16:07:33"/>
        <d v="2023-09-18T04:07:28"/>
        <d v="2023-09-18T04:07:27"/>
        <d v="2023-09-18T04:07:25"/>
        <d v="2023-09-13T04:14:27"/>
        <d v="2023-09-13T16:11:32"/>
        <d v="2023-09-13T15:37:12"/>
        <d v="2023-09-10T04:07:58"/>
        <d v="2023-09-07T21:30:14"/>
        <d v="2023-09-07T21:30:30"/>
        <d v="2023-09-06T04:12:24"/>
        <d v="2023-09-06T04:09:32"/>
        <d v="2023-09-06T15:37:08"/>
        <d v="2023-09-04T04:08:33"/>
        <d v="2023-09-04T04:07:57"/>
        <d v="2023-09-01T04:08:26"/>
        <d v="2023-08-30T16:14:14"/>
        <d v="2023-08-30T15:36:38"/>
        <d v="2023-08-25T05:44:43"/>
        <d v="2023-08-24T04:08:54"/>
        <d v="2023-08-24T18:36:28"/>
        <d v="2023-08-24T16:06:54"/>
        <d v="2023-08-23T15:36:48"/>
        <d v="2023-08-20T04:08:53"/>
        <d v="2023-08-18T04:14:00"/>
        <d v="2023-08-18T04:13:58"/>
        <d v="2023-08-18T04:13:56"/>
        <d v="2023-08-16T17:04:12"/>
        <d v="2023-08-16T16:21:41"/>
        <d v="2023-08-13T04:06:47"/>
        <d v="2023-08-13T04:06:35"/>
        <d v="2023-08-10T14:34:13"/>
        <d v="2023-08-09T22:42:58"/>
        <d v="2023-08-10T14:34:25"/>
        <d v="2023-08-09T15:36:53"/>
        <d v="2023-08-06T04:08:55"/>
        <d v="2023-08-06T04:08:40"/>
        <d v="2023-08-04T04:18:02"/>
        <d v="2023-08-04T04:17:00"/>
        <d v="2023-08-04T17:13:05"/>
        <d v="2023-08-04T16:06:18"/>
        <d v="2023-08-03T00:00:00"/>
        <d v="2023-08-02T15:42:13"/>
        <d v="2023-08-02T15:42:27"/>
        <d v="2023-08-02T15:37:04"/>
        <d v="2023-07-26T17:04:31"/>
        <d v="2023-07-26T17:04:48"/>
        <d v="2023-07-26T15:37:20"/>
        <d v="2023-07-24T04:06:26"/>
        <d v="2023-07-20T04:16:33"/>
        <d v="2023-07-19T15:42:38"/>
        <d v="2023-07-19T15:42:23"/>
        <d v="2023-07-19T15:36:52"/>
        <d v="2023-07-18T04:12:48"/>
        <d v="2023-07-18T04:12:46"/>
        <d v="2023-07-18T04:12:44"/>
        <d v="2023-07-16T04:08:16"/>
        <d v="2023-07-13T04:12:43"/>
        <d v="2023-07-12T17:41:39"/>
        <d v="2023-07-12T17:41:57"/>
        <d v="2023-07-12T16:06:49"/>
        <d v="2023-07-07T04:09:26"/>
        <d v="2023-07-06T04:12:40"/>
        <d v="2023-07-06T04:08:31"/>
        <d v="2023-07-05T15:44:06"/>
        <d v="2023-07-05T15:41:59"/>
        <d v="2023-07-05T15:44:37"/>
        <d v="2023-07-05T15:36:49"/>
        <d v="2023-07-04T04:08:37"/>
        <d v="2023-07-04T04:07:36"/>
        <d v="2023-06-29T00:00:00"/>
        <d v="2023-06-28T15:49:12"/>
        <d v="2023-06-28T15:49:28"/>
        <d v="2023-06-28T15:37:07"/>
        <d v="2023-06-24T04:16:08"/>
        <d v="2023-06-22T00:00:00"/>
        <d v="2023-06-21T17:25:01"/>
        <d v="2023-06-21T16:21:44"/>
        <d v="2023-06-20T04:12:02"/>
        <d v="2023-06-18T04:09:57"/>
        <d v="2023-06-18T04:09:56"/>
        <d v="2023-06-18T04:09:38"/>
        <d v="2023-06-15T00:00:00"/>
        <d v="2023-06-14T21:54:24"/>
        <d v="2023-06-14T21:54:09"/>
        <d v="2023-06-14T15:37:40"/>
        <d v="2023-06-13T04:09:11"/>
        <d v="2023-06-09T04:10:06"/>
        <d v="2023-06-07T17:01:27"/>
        <d v="2023-06-07T15:37:18"/>
        <d v="2023-06-06T04:09:03"/>
        <d v="2023-06-04T04:07:48"/>
        <d v="2023-06-04T04:07:35"/>
        <d v="2023-06-06T04:07:04"/>
        <d v="2023-05-31T17:26:59"/>
        <d v="2023-05-31T17:26:37"/>
        <d v="2023-05-31T15:37:45"/>
        <d v="2023-05-27T04:09:21"/>
        <d v="2023-05-27T04:09:20"/>
        <d v="2023-05-24T04:09:12"/>
        <d v="2023-05-24T16:21:11"/>
        <d v="2023-05-24T18:07:08"/>
        <d v="2023-05-23T11:21:23"/>
        <d v="2023-05-22T04:11:29"/>
        <d v="2023-05-22T04:08:13"/>
        <d v="2023-05-18T04:13:17"/>
        <d v="2023-05-18T04:13:14"/>
        <d v="2023-05-18T04:13:10"/>
        <d v="2023-05-18T03:15:31"/>
        <d v="2023-05-17T16:21:24"/>
        <d v="2023-05-15T04:10:39"/>
        <d v="2023-05-12T04:10:05"/>
        <d v="2023-05-11T18:36:31"/>
        <d v="2023-05-10T22:36:00"/>
        <d v="2023-05-10T15:36:33"/>
        <d v="2023-05-08T04:10:37"/>
        <d v="2023-05-08T04:08:45"/>
        <d v="2023-05-04T04:14:06"/>
        <d v="2023-05-04T04:11:34"/>
        <d v="2023-05-03T16:25:34"/>
        <d v="2023-05-03T16:25:18"/>
        <d v="2023-05-03T16:21:31"/>
        <d v="2023-04-27T08:19:50"/>
        <d v="2023-04-26T16:21:56"/>
        <d v="2023-04-24T04:08:54"/>
        <d v="2023-04-24T04:08:53"/>
        <d v="2023-04-20T04:16:46"/>
        <d v="2023-04-20T02:34:32"/>
        <d v="2023-04-19T16:22:00"/>
        <d v="2023-04-18T04:11:34"/>
        <d v="2023-04-18T04:11:33"/>
        <d v="2023-04-18T04:11:16"/>
        <d v="2023-04-14T04:08:22"/>
        <d v="2023-04-13T04:12:54"/>
        <d v="2023-04-12T17:15:36"/>
        <d v="2023-04-12T15:06:57"/>
        <d v="2023-04-06T04:13:41"/>
        <d v="2023-04-06T04:09:06"/>
        <d v="2023-04-05T16:10:20"/>
        <d v="2023-04-05T15:37:03"/>
        <d v="2023-04-04T04:17:29"/>
        <d v="2023-04-04T04:16:41"/>
        <d v="2024-01-01T00:00:00"/>
        <d v="2023-10-01T00:00:00"/>
        <d v="2023-08-01T00:00:00"/>
        <d v="2023-04-21T00:00:00"/>
        <d v="2023-04-25T00:00:00"/>
        <d v="2023-05-16T00:00:00"/>
        <d v="2023-06-02T00:00:00"/>
        <d v="2023-06-03T00:00:00"/>
        <d v="2023-06-12T00:00:00"/>
        <d v="2023-06-16T00:00:00"/>
        <d v="2023-06-17T00:00:00"/>
        <d v="2023-06-23T00:00:00"/>
        <d v="2023-06-30T00:00:00"/>
        <d v="2023-07-03T00:00:00"/>
        <d v="2023-07-14T00:00:00"/>
        <d v="2023-07-15T00:00:00"/>
        <d v="2023-07-28T00:00:00"/>
        <d v="2023-07-31T00:00:00"/>
        <d v="2023-08-12T00:00:00"/>
        <d v="2023-08-19T00:00:00"/>
        <d v="2023-09-09T00:00:00"/>
        <d v="2023-09-16T00:00:00"/>
        <d v="2023-09-30T00:00:00"/>
        <d v="2023-10-22T00:00:00"/>
        <d v="2023-11-03T00:00:00"/>
        <d v="2023-11-10T00:00:00"/>
        <d v="2023-11-17T00:00:00"/>
        <d v="2023-12-12T00:00:00"/>
        <d v="2023-12-15T00:00:00"/>
        <d v="2023-12-16T00:00:00"/>
        <d v="2023-12-23T00:00:00"/>
        <d v="2023-12-30T00:00:00"/>
        <d v="2024-01-27T00:00:00"/>
        <d v="2024-01-29T00:00:00"/>
        <d v="2024-02-10T00:00:00"/>
        <d v="2024-02-11T00:00:00"/>
        <d v="2024-02-26T00:00:00"/>
        <d v="2024-03-05T00:00:00"/>
        <d v="2024-03-10T00:00:00"/>
        <d v="2024-03-25T00:00:00"/>
        <d v="2023-10-31T00:00:00"/>
        <d v="2023-05-29T00:00:00"/>
        <d v="2023-05-30T00:00:00"/>
        <d v="2023-06-19T00:00:00"/>
        <d v="2023-07-25T00:00:00"/>
        <d v="2023-08-07T00:00:00"/>
        <d v="2023-08-09T00:00:00"/>
        <d v="2023-08-21T00:00:00"/>
        <d v="2023-10-02T00:00:00"/>
        <d v="2023-10-09T00:00:00"/>
        <d v="2023-10-16T00:00:00"/>
        <d v="2023-10-30T00:00:00"/>
        <d v="2023-11-27T00:00:00"/>
        <d v="2024-02-12T00:00:00"/>
      </sharedItems>
      <fieldGroup par="11"/>
    </cacheField>
    <cacheField name="Description" numFmtId="0">
      <sharedItems containsBlank="1"/>
    </cacheField>
    <cacheField name="Amount" numFmtId="0">
      <sharedItems containsSemiMixedTypes="0" containsString="0" containsNumber="1" minValue="-124799.81" maxValue="91398.45"/>
    </cacheField>
    <cacheField name="Categories" numFmtId="0">
      <sharedItems count="16">
        <s v="Groceries"/>
        <s v="Internal Transactions"/>
        <s v="24 Panorama Road "/>
        <s v="Recreational &amp; Entertainment"/>
        <s v="8 Denning Place "/>
        <s v="Other"/>
        <s v="Transport"/>
        <s v="Telephone &amp; Internet"/>
        <s v="Insurance"/>
        <s v="Personal Care"/>
        <s v="Medical"/>
        <s v="Income"/>
        <s v="5B Cleary Road "/>
        <s v="Saving"/>
        <s v="Mortgage"/>
        <s v="Loans and Liabilities"/>
      </sharedItems>
    </cacheField>
    <cacheField name="SubCategories" numFmtId="0">
      <sharedItems count="35">
        <s v="Grocery"/>
        <s v="ASB"/>
        <s v="Income"/>
        <s v="Entertainment"/>
        <s v="Water"/>
        <s v="Electricity &amp; Gas"/>
        <s v="Travel "/>
        <s v="Other Expenses "/>
        <s v="Dining Out "/>
        <s v="Petrol "/>
        <s v="Mobile phone "/>
        <s v="8Denning-HouseInsurance"/>
        <s v="Home Expense"/>
        <s v="US Mobile "/>
        <s v="Gym "/>
        <s v="Vehicle Insurance"/>
        <s v="AppleStorage"/>
        <s v="MyRentCharge "/>
        <s v="Clothing &amp; Footwear"/>
        <s v="Life Insurance"/>
        <s v="Medical &amp; Health "/>
        <s v="ANZ"/>
        <s v="Salary"/>
        <s v="Mortgage "/>
        <s v="KiwiBank"/>
        <s v="Health Insurance-SAM "/>
        <s v="Internet "/>
        <s v="Property Tax"/>
        <s v="Council Rates "/>
        <s v="Personal Care"/>
        <s v="Mortgage"/>
        <s v="Lump Sum Payment"/>
        <s v="Mortgage-5BCleary"/>
        <s v="House Insurance"/>
        <s v="8Denning-ContentsInsurance"/>
      </sharedItems>
    </cacheField>
    <cacheField name="DetailsCategories" numFmtId="0">
      <sharedItems count="53">
        <s v="Grocery"/>
        <s v="Internal "/>
        <s v="Rent"/>
        <s v="Event"/>
        <s v="Water"/>
        <s v="Electricity &amp; Gas"/>
        <s v="Travel"/>
        <s v="OFFSHORE SERVICE MARGINS"/>
        <s v="Dinning"/>
        <s v="Transport - Car"/>
        <s v="Mobile"/>
        <s v="8Denning-HouseInsurance"/>
        <s v="Home Expense"/>
        <s v="IRD"/>
        <s v="Transport - Fuel"/>
        <s v="US Mobile "/>
        <s v="PAYMENT RECEIVED THANK YOU"/>
        <s v="GYM"/>
        <s v="Vehicle Insurance"/>
        <s v="AppleStorage"/>
        <s v="MyRentCharge"/>
        <s v="Transport - Parking"/>
        <s v="Shopping - Online"/>
        <s v="Life Insurance"/>
        <s v="Transport - Rental Car"/>
        <s v="POST"/>
        <s v="Gift"/>
        <s v="Medical"/>
        <s v="Vape"/>
        <s v="Cinema"/>
        <s v="Shopping"/>
        <s v="NZAA"/>
        <s v="Personal"/>
        <s v="Transport -Taxi - Bus"/>
        <s v="Liquor"/>
        <s v="MJ"/>
        <s v="RePayment"/>
        <s v="Interest"/>
        <s v="SAM"/>
        <s v="Health Insurance-SAM "/>
        <s v="Internet "/>
        <s v="Property Tax"/>
        <s v="Saving"/>
        <s v="Council Rates "/>
        <s v="HairCut"/>
        <s v="Loan Expense"/>
        <s v="SHORTFALL"/>
        <s v="Mortgage-5BCleary"/>
        <s v="Makeup"/>
        <s v="House Insurance"/>
        <s v="8Denning-ContentsInsurance"/>
        <s v="MyRentCharge "/>
        <s v="Immigration"/>
      </sharedItems>
    </cacheField>
    <cacheField name="Months (Date)" numFmtId="0" databaseField="0">
      <fieldGroup base="3">
        <rangePr groupBy="months" startDate="2023-03-30T00:00:00" endDate="2024-04-01T00:00:00"/>
        <groupItems count="14">
          <s v="&lt;30/03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/04/2024"/>
        </groupItems>
      </fieldGroup>
    </cacheField>
    <cacheField name="Quarters (Date)" numFmtId="0" databaseField="0">
      <fieldGroup base="3">
        <rangePr groupBy="quarters" startDate="2023-03-30T00:00:00" endDate="2024-04-01T00:00:00"/>
        <groupItems count="6">
          <s v="&lt;30/03/2023"/>
          <s v="Qtr1"/>
          <s v="Qtr2"/>
          <s v="Qtr3"/>
          <s v="Qtr4"/>
          <s v="&gt;1/04/2024"/>
        </groupItems>
      </fieldGroup>
    </cacheField>
    <cacheField name="Years (Date)" numFmtId="0" databaseField="0">
      <fieldGroup base="3">
        <rangePr groupBy="years" startDate="2023-03-30T00:00:00" endDate="2024-04-01T00:00:00"/>
        <groupItems count="4">
          <s v="&lt;30/03/2023"/>
          <s v="2023"/>
          <s v="2024"/>
          <s v="&gt;1/04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5">
  <r>
    <x v="0"/>
    <x v="0"/>
    <x v="0"/>
    <x v="0"/>
    <s v="FC12-3075-xxxx-02 StaffBidone MJ Alavi 64170"/>
    <n v="-511.37"/>
    <x v="0"/>
    <x v="0"/>
    <x v="0"/>
  </r>
  <r>
    <x v="0"/>
    <x v="0"/>
    <x v="0"/>
    <x v="1"/>
    <s v="MJ 8Denning TowerContent Insurance"/>
    <n v="48.35"/>
    <x v="1"/>
    <x v="1"/>
    <x v="1"/>
  </r>
  <r>
    <x v="0"/>
    <x v="0"/>
    <x v="0"/>
    <x v="1"/>
    <s v="MJ Apple Cloud Storage"/>
    <n v="0.97"/>
    <x v="1"/>
    <x v="1"/>
    <x v="1"/>
  </r>
  <r>
    <x v="0"/>
    <x v="0"/>
    <x v="0"/>
    <x v="2"/>
    <s v="MJ ANZ"/>
    <n v="258"/>
    <x v="1"/>
    <x v="1"/>
    <x v="1"/>
  </r>
  <r>
    <x v="0"/>
    <x v="0"/>
    <x v="0"/>
    <x v="2"/>
    <s v="TO CARD xxxx  THANK YOU"/>
    <n v="-93.1"/>
    <x v="1"/>
    <x v="1"/>
    <x v="1"/>
  </r>
  <r>
    <x v="0"/>
    <x v="0"/>
    <x v="0"/>
    <x v="3"/>
    <s v="FC38-9016-xxxx-00 Sam KiwiBank"/>
    <n v="-300.37"/>
    <x v="1"/>
    <x v="1"/>
    <x v="1"/>
  </r>
  <r>
    <x v="0"/>
    <x v="0"/>
    <x v="0"/>
    <x v="3"/>
    <s v="Water  MJ 8Denning"/>
    <n v="136.34"/>
    <x v="1"/>
    <x v="1"/>
    <x v="1"/>
  </r>
  <r>
    <x v="0"/>
    <x v="0"/>
    <x v="0"/>
    <x v="3"/>
    <s v="MJ Mobile US Phone Sam"/>
    <n v="7.52"/>
    <x v="1"/>
    <x v="1"/>
    <x v="1"/>
  </r>
  <r>
    <x v="0"/>
    <x v="0"/>
    <x v="0"/>
    <x v="3"/>
    <s v="TO CARD xxxx  THANK YOU"/>
    <n v="-0.41"/>
    <x v="1"/>
    <x v="1"/>
    <x v="1"/>
  </r>
  <r>
    <x v="0"/>
    <x v="0"/>
    <x v="0"/>
    <x v="4"/>
    <s v="TO CARD xxxx  THANK YOU"/>
    <n v="-79.790000000000006"/>
    <x v="1"/>
    <x v="1"/>
    <x v="1"/>
  </r>
  <r>
    <x v="0"/>
    <x v="0"/>
    <x v="0"/>
    <x v="5"/>
    <s v="TO CARD xxxx  THANK YOU"/>
    <n v="-51.72"/>
    <x v="1"/>
    <x v="1"/>
    <x v="1"/>
  </r>
  <r>
    <x v="0"/>
    <x v="0"/>
    <x v="0"/>
    <x v="5"/>
    <s v="TO CARD xxxx  THANK YOU"/>
    <n v="-27.09"/>
    <x v="1"/>
    <x v="1"/>
    <x v="1"/>
  </r>
  <r>
    <x v="0"/>
    <x v="0"/>
    <x v="0"/>
    <x v="6"/>
    <s v="TO CARD xxxx  THANK YOU"/>
    <n v="-17.93"/>
    <x v="1"/>
    <x v="1"/>
    <x v="1"/>
  </r>
  <r>
    <x v="0"/>
    <x v="0"/>
    <x v="0"/>
    <x v="7"/>
    <s v="akps3180168l 24PanoramaRo Rent myRent"/>
    <n v="816.33"/>
    <x v="2"/>
    <x v="2"/>
    <x v="2"/>
  </r>
  <r>
    <x v="0"/>
    <x v="0"/>
    <x v="0"/>
    <x v="7"/>
    <s v="TO CARD xxxx  THANK YOU"/>
    <n v="-17.440000000000001"/>
    <x v="1"/>
    <x v="1"/>
    <x v="1"/>
  </r>
  <r>
    <x v="0"/>
    <x v="0"/>
    <x v="0"/>
    <x v="7"/>
    <s v="FC38-9016-xxxx-00 Sam KiwiBank"/>
    <n v="-1151.95"/>
    <x v="1"/>
    <x v="1"/>
    <x v="1"/>
  </r>
  <r>
    <x v="0"/>
    <x v="0"/>
    <x v="0"/>
    <x v="7"/>
    <s v="FC12-3075-xxxx-02 StaffBidone MJ Alavi 64170"/>
    <n v="-75.97"/>
    <x v="0"/>
    <x v="0"/>
    <x v="0"/>
  </r>
  <r>
    <x v="0"/>
    <x v="0"/>
    <x v="0"/>
    <x v="8"/>
    <s v="FC12-3075-xxxx-02 StaffBidone MJ Alavi 64170"/>
    <n v="-66.16"/>
    <x v="0"/>
    <x v="0"/>
    <x v="0"/>
  </r>
  <r>
    <x v="0"/>
    <x v="0"/>
    <x v="0"/>
    <x v="8"/>
    <s v="AIA Insurance SamMJ"/>
    <n v="33.619999999999997"/>
    <x v="1"/>
    <x v="1"/>
    <x v="1"/>
  </r>
  <r>
    <x v="0"/>
    <x v="0"/>
    <x v="0"/>
    <x v="8"/>
    <s v="TO CARD xxxx  THANK YOU"/>
    <n v="-0.95"/>
    <x v="1"/>
    <x v="1"/>
    <x v="1"/>
  </r>
  <r>
    <x v="0"/>
    <x v="0"/>
    <x v="0"/>
    <x v="9"/>
    <s v="mam dad ticket perth"/>
    <n v="112.45"/>
    <x v="1"/>
    <x v="1"/>
    <x v="1"/>
  </r>
  <r>
    <x v="0"/>
    <x v="0"/>
    <x v="0"/>
    <x v="9"/>
    <s v="Mobile MJ Skinny"/>
    <n v="7.81"/>
    <x v="1"/>
    <x v="1"/>
    <x v="1"/>
  </r>
  <r>
    <x v="0"/>
    <x v="0"/>
    <x v="0"/>
    <x v="10"/>
    <s v="FC12-3017-0491145-51 bowlingMJ"/>
    <n v="-92.2"/>
    <x v="3"/>
    <x v="3"/>
    <x v="3"/>
  </r>
  <r>
    <x v="0"/>
    <x v="0"/>
    <x v="0"/>
    <x v="10"/>
    <s v="TO CARD xxxx  THANK YOU"/>
    <n v="-108.57"/>
    <x v="1"/>
    <x v="1"/>
    <x v="1"/>
  </r>
  <r>
    <x v="0"/>
    <x v="0"/>
    <x v="0"/>
    <x v="10"/>
    <s v="TO CARD xxxx  THANK YOU"/>
    <n v="-29.08"/>
    <x v="1"/>
    <x v="1"/>
    <x v="1"/>
  </r>
  <r>
    <x v="0"/>
    <x v="0"/>
    <x v="0"/>
    <x v="10"/>
    <s v="TO CARD xxxx  THANK YOU"/>
    <n v="-9.65"/>
    <x v="1"/>
    <x v="1"/>
    <x v="1"/>
  </r>
  <r>
    <x v="0"/>
    <x v="0"/>
    <x v="0"/>
    <x v="10"/>
    <s v="TO CARD xxxx  THANK YOU"/>
    <n v="-16.059999999999999"/>
    <x v="1"/>
    <x v="1"/>
    <x v="1"/>
  </r>
  <r>
    <x v="0"/>
    <x v="0"/>
    <x v="0"/>
    <x v="11"/>
    <s v="TO CARD xxxx  THANK YOU"/>
    <n v="-0.6"/>
    <x v="1"/>
    <x v="1"/>
    <x v="1"/>
  </r>
  <r>
    <x v="0"/>
    <x v="0"/>
    <x v="0"/>
    <x v="12"/>
    <s v="MJ 8Denning TowerHouse Insurance"/>
    <n v="96.02"/>
    <x v="1"/>
    <x v="1"/>
    <x v="1"/>
  </r>
  <r>
    <x v="0"/>
    <x v="0"/>
    <x v="0"/>
    <x v="12"/>
    <s v="MJ 5B Tower H&amp;C Insurance"/>
    <n v="74.680000000000007"/>
    <x v="1"/>
    <x v="1"/>
    <x v="1"/>
  </r>
  <r>
    <x v="0"/>
    <x v="0"/>
    <x v="0"/>
    <x v="12"/>
    <s v="24 Panorama Tower H&amp;C Insurance"/>
    <n v="143.81"/>
    <x v="1"/>
    <x v="1"/>
    <x v="1"/>
  </r>
  <r>
    <x v="0"/>
    <x v="0"/>
    <x v="0"/>
    <x v="13"/>
    <s v="TO CARD xxxx  THANK YOU"/>
    <n v="-248.94"/>
    <x v="1"/>
    <x v="1"/>
    <x v="1"/>
  </r>
  <r>
    <x v="0"/>
    <x v="0"/>
    <x v="0"/>
    <x v="14"/>
    <s v="Electricity ContactEnrgy MJ 8Denning"/>
    <n v="168.69"/>
    <x v="1"/>
    <x v="1"/>
    <x v="1"/>
  </r>
  <r>
    <x v="0"/>
    <x v="0"/>
    <x v="0"/>
    <x v="14"/>
    <s v="MJ ANZ"/>
    <n v="1096.19"/>
    <x v="1"/>
    <x v="1"/>
    <x v="1"/>
  </r>
  <r>
    <x v="0"/>
    <x v="0"/>
    <x v="0"/>
    <x v="14"/>
    <s v="queenstown"/>
    <n v="792.22"/>
    <x v="1"/>
    <x v="1"/>
    <x v="1"/>
  </r>
  <r>
    <x v="0"/>
    <x v="0"/>
    <x v="0"/>
    <x v="14"/>
    <s v="TO CARD xxxx  THANK YOU"/>
    <n v="-634.28"/>
    <x v="1"/>
    <x v="1"/>
    <x v="1"/>
  </r>
  <r>
    <x v="0"/>
    <x v="0"/>
    <x v="0"/>
    <x v="14"/>
    <s v="FC12-3075-xxxx-02 StaffBidone MJ Alavi 64170"/>
    <n v="-73.489999999999995"/>
    <x v="0"/>
    <x v="0"/>
    <x v="0"/>
  </r>
  <r>
    <x v="0"/>
    <x v="0"/>
    <x v="0"/>
    <x v="14"/>
    <s v="TO CARD xxxx  THANK YOU"/>
    <n v="-4.16"/>
    <x v="1"/>
    <x v="1"/>
    <x v="1"/>
  </r>
  <r>
    <x v="0"/>
    <x v="0"/>
    <x v="0"/>
    <x v="15"/>
    <s v="TO CARD xxxx  THANK YOU"/>
    <n v="-9.09"/>
    <x v="1"/>
    <x v="1"/>
    <x v="1"/>
  </r>
  <r>
    <x v="0"/>
    <x v="0"/>
    <x v="0"/>
    <x v="16"/>
    <s v="TO CARD xxxx  THANK YOU"/>
    <n v="-16.21"/>
    <x v="1"/>
    <x v="1"/>
    <x v="1"/>
  </r>
  <r>
    <x v="0"/>
    <x v="0"/>
    <x v="0"/>
    <x v="16"/>
    <s v="MJ ASB NetFlix 8Denning"/>
    <n v="17.170000000000002"/>
    <x v="1"/>
    <x v="1"/>
    <x v="1"/>
  </r>
  <r>
    <x v="0"/>
    <x v="0"/>
    <x v="0"/>
    <x v="16"/>
    <s v="Mobile Sam Skinny"/>
    <n v="20.03"/>
    <x v="1"/>
    <x v="1"/>
    <x v="1"/>
  </r>
  <r>
    <x v="0"/>
    <x v="0"/>
    <x v="0"/>
    <x v="16"/>
    <s v="EFTPOS"/>
    <n v="-2.69"/>
    <x v="0"/>
    <x v="0"/>
    <x v="0"/>
  </r>
  <r>
    <x v="0"/>
    <x v="0"/>
    <x v="0"/>
    <x v="17"/>
    <s v="D/D xxxx-03 WATERCARE"/>
    <n v="-0.62"/>
    <x v="4"/>
    <x v="4"/>
    <x v="4"/>
  </r>
  <r>
    <x v="0"/>
    <x v="0"/>
    <x v="0"/>
    <x v="18"/>
    <s v="MJ ANZ"/>
    <n v="1184.25"/>
    <x v="1"/>
    <x v="1"/>
    <x v="1"/>
  </r>
  <r>
    <x v="0"/>
    <x v="0"/>
    <x v="0"/>
    <x v="18"/>
    <s v="TO CARD xxxx  THANK YOU"/>
    <n v="-554.52"/>
    <x v="1"/>
    <x v="1"/>
    <x v="1"/>
  </r>
  <r>
    <x v="0"/>
    <x v="0"/>
    <x v="0"/>
    <x v="18"/>
    <s v="akp65110y3cb 24PanoramaRo Rent myRent"/>
    <n v="1533.46"/>
    <x v="2"/>
    <x v="2"/>
    <x v="2"/>
  </r>
  <r>
    <x v="0"/>
    <x v="0"/>
    <x v="0"/>
    <x v="18"/>
    <s v="FC38-9016-xxxx-00 Sam KiwiBank"/>
    <n v="-410.32"/>
    <x v="1"/>
    <x v="1"/>
    <x v="1"/>
  </r>
  <r>
    <x v="0"/>
    <x v="0"/>
    <x v="0"/>
    <x v="18"/>
    <s v="TO CARD xxxx  THANK YOU"/>
    <n v="-97.07"/>
    <x v="1"/>
    <x v="1"/>
    <x v="1"/>
  </r>
  <r>
    <x v="0"/>
    <x v="0"/>
    <x v="0"/>
    <x v="19"/>
    <s v="TO CARD xxxx  THANK YOU"/>
    <n v="-5.31"/>
    <x v="1"/>
    <x v="1"/>
    <x v="1"/>
  </r>
  <r>
    <x v="0"/>
    <x v="0"/>
    <x v="0"/>
    <x v="19"/>
    <s v="TO CARD xxxx  THANK YOU"/>
    <n v="-13.53"/>
    <x v="1"/>
    <x v="1"/>
    <x v="1"/>
  </r>
  <r>
    <x v="0"/>
    <x v="0"/>
    <x v="0"/>
    <x v="19"/>
    <s v="FC01-1839-xxxx-01 819444DpsA2A Contact Ener 501461545"/>
    <n v="-134.4"/>
    <x v="4"/>
    <x v="5"/>
    <x v="5"/>
  </r>
  <r>
    <x v="0"/>
    <x v="0"/>
    <x v="0"/>
    <x v="20"/>
    <s v="TO CARD xxxx  THANK YOU"/>
    <n v="-18.739999999999998"/>
    <x v="1"/>
    <x v="1"/>
    <x v="1"/>
  </r>
  <r>
    <x v="0"/>
    <x v="0"/>
    <x v="0"/>
    <x v="21"/>
    <s v="TO CARD xxxx  THANK YOU"/>
    <n v="-1.54"/>
    <x v="1"/>
    <x v="1"/>
    <x v="1"/>
  </r>
  <r>
    <x v="0"/>
    <x v="0"/>
    <x v="0"/>
    <x v="22"/>
    <s v="TO CARD xxxx  THANK YOU"/>
    <n v="-48.27"/>
    <x v="1"/>
    <x v="1"/>
    <x v="1"/>
  </r>
  <r>
    <x v="0"/>
    <x v="0"/>
    <x v="0"/>
    <x v="23"/>
    <s v="MJ ANZ"/>
    <n v="260.45"/>
    <x v="1"/>
    <x v="1"/>
    <x v="1"/>
  </r>
  <r>
    <x v="0"/>
    <x v="0"/>
    <x v="0"/>
    <x v="24"/>
    <s v="TO CARD xxxx  THANK YOU"/>
    <n v="-102.36"/>
    <x v="1"/>
    <x v="1"/>
    <x v="1"/>
  </r>
  <r>
    <x v="0"/>
    <x v="0"/>
    <x v="0"/>
    <x v="24"/>
    <s v="MJ 8Denning TowerContent Insurance"/>
    <n v="47.35"/>
    <x v="1"/>
    <x v="1"/>
    <x v="1"/>
  </r>
  <r>
    <x v="0"/>
    <x v="0"/>
    <x v="0"/>
    <x v="24"/>
    <s v="MJ Apple Cloud Storage"/>
    <n v="15.09"/>
    <x v="1"/>
    <x v="1"/>
    <x v="1"/>
  </r>
  <r>
    <x v="0"/>
    <x v="0"/>
    <x v="0"/>
    <x v="24"/>
    <s v="TO CARD xxxx  THANK YOU"/>
    <n v="-23.73"/>
    <x v="1"/>
    <x v="1"/>
    <x v="1"/>
  </r>
  <r>
    <x v="0"/>
    <x v="0"/>
    <x v="0"/>
    <x v="24"/>
    <s v="FC38-9016-xxxx-00 Sam KiwiBank"/>
    <n v="-528.67999999999995"/>
    <x v="1"/>
    <x v="1"/>
    <x v="1"/>
  </r>
  <r>
    <x v="0"/>
    <x v="0"/>
    <x v="0"/>
    <x v="24"/>
    <s v="TO CARD xxxx  THANK YOU"/>
    <n v="-67.45"/>
    <x v="1"/>
    <x v="1"/>
    <x v="1"/>
  </r>
  <r>
    <x v="0"/>
    <x v="0"/>
    <x v="0"/>
    <x v="25"/>
    <s v="TO CARD xxxx  THANK YOU"/>
    <n v="-43.75"/>
    <x v="1"/>
    <x v="1"/>
    <x v="1"/>
  </r>
  <r>
    <x v="0"/>
    <x v="0"/>
    <x v="0"/>
    <x v="26"/>
    <s v="TO CARD xxxx  THANK YOU"/>
    <n v="-39.450000000000003"/>
    <x v="1"/>
    <x v="1"/>
    <x v="1"/>
  </r>
  <r>
    <x v="0"/>
    <x v="0"/>
    <x v="0"/>
    <x v="27"/>
    <s v="TO CARD xxxx  THANK YOU"/>
    <n v="-4.25"/>
    <x v="1"/>
    <x v="1"/>
    <x v="1"/>
  </r>
  <r>
    <x v="0"/>
    <x v="0"/>
    <x v="0"/>
    <x v="27"/>
    <s v="Water  MJ 8Denning"/>
    <n v="107.14"/>
    <x v="1"/>
    <x v="1"/>
    <x v="1"/>
  </r>
  <r>
    <x v="0"/>
    <x v="0"/>
    <x v="0"/>
    <x v="27"/>
    <s v="MJ Mobile US Phone Sam"/>
    <n v="1.0900000000000001"/>
    <x v="1"/>
    <x v="1"/>
    <x v="1"/>
  </r>
  <r>
    <x v="0"/>
    <x v="0"/>
    <x v="0"/>
    <x v="27"/>
    <s v="FC12-3075-xxxx-02 StaffBidone MJ Alavi 64170"/>
    <n v="-171.26"/>
    <x v="0"/>
    <x v="0"/>
    <x v="0"/>
  </r>
  <r>
    <x v="0"/>
    <x v="0"/>
    <x v="0"/>
    <x v="28"/>
    <s v="TO CARD xxxx  THANK YOU"/>
    <n v="-29.77"/>
    <x v="1"/>
    <x v="1"/>
    <x v="1"/>
  </r>
  <r>
    <x v="0"/>
    <x v="0"/>
    <x v="0"/>
    <x v="28"/>
    <s v="TO CARD xxxx  THANK YOU"/>
    <n v="-49.21"/>
    <x v="1"/>
    <x v="1"/>
    <x v="1"/>
  </r>
  <r>
    <x v="0"/>
    <x v="0"/>
    <x v="0"/>
    <x v="29"/>
    <s v="akpi80505007 24PanoramaRo Rent myRent"/>
    <n v="1835.86"/>
    <x v="2"/>
    <x v="2"/>
    <x v="2"/>
  </r>
  <r>
    <x v="0"/>
    <x v="0"/>
    <x v="0"/>
    <x v="29"/>
    <s v="FC38-9016-xxxx-00 Sam KiwiBank"/>
    <n v="-851.51"/>
    <x v="1"/>
    <x v="1"/>
    <x v="1"/>
  </r>
  <r>
    <x v="0"/>
    <x v="0"/>
    <x v="0"/>
    <x v="29"/>
    <s v="FC12-3075-xxxx-02 StaffBidone MJ Alavi 64170"/>
    <n v="-373.56"/>
    <x v="0"/>
    <x v="0"/>
    <x v="0"/>
  </r>
  <r>
    <x v="0"/>
    <x v="0"/>
    <x v="0"/>
    <x v="30"/>
    <s v="mam dad ticket perth"/>
    <n v="143.87"/>
    <x v="1"/>
    <x v="1"/>
    <x v="1"/>
  </r>
  <r>
    <x v="0"/>
    <x v="0"/>
    <x v="0"/>
    <x v="31"/>
    <s v="TO CARD xxxx  THANK YOU"/>
    <n v="-46.52"/>
    <x v="1"/>
    <x v="1"/>
    <x v="1"/>
  </r>
  <r>
    <x v="0"/>
    <x v="0"/>
    <x v="0"/>
    <x v="31"/>
    <s v="Mobile MJ Skinny"/>
    <n v="5.05"/>
    <x v="1"/>
    <x v="1"/>
    <x v="1"/>
  </r>
  <r>
    <x v="0"/>
    <x v="0"/>
    <x v="0"/>
    <x v="31"/>
    <s v="TO CARD xxxx  THANK YOU"/>
    <n v="-4.3600000000000003"/>
    <x v="1"/>
    <x v="1"/>
    <x v="1"/>
  </r>
  <r>
    <x v="0"/>
    <x v="0"/>
    <x v="0"/>
    <x v="32"/>
    <s v="AIA Insurance SamMJ"/>
    <n v="51.34"/>
    <x v="1"/>
    <x v="1"/>
    <x v="1"/>
  </r>
  <r>
    <x v="0"/>
    <x v="0"/>
    <x v="0"/>
    <x v="32"/>
    <m/>
    <n v="176.64"/>
    <x v="1"/>
    <x v="1"/>
    <x v="1"/>
  </r>
  <r>
    <x v="0"/>
    <x v="0"/>
    <x v="0"/>
    <x v="32"/>
    <s v="TO CARD xxxx  THANK YOU"/>
    <n v="-124.56"/>
    <x v="1"/>
    <x v="1"/>
    <x v="1"/>
  </r>
  <r>
    <x v="0"/>
    <x v="0"/>
    <x v="0"/>
    <x v="33"/>
    <s v="TO CARD xxxx  THANK YOU"/>
    <n v="-76.900000000000006"/>
    <x v="1"/>
    <x v="1"/>
    <x v="1"/>
  </r>
  <r>
    <x v="0"/>
    <x v="0"/>
    <x v="0"/>
    <x v="34"/>
    <s v="MJ 8Denning TowerHouse Insurance"/>
    <n v="79.66"/>
    <x v="1"/>
    <x v="1"/>
    <x v="1"/>
  </r>
  <r>
    <x v="0"/>
    <x v="0"/>
    <x v="0"/>
    <x v="34"/>
    <s v="MJ 5B Tower H&amp;C Insurance"/>
    <n v="42.77"/>
    <x v="1"/>
    <x v="1"/>
    <x v="1"/>
  </r>
  <r>
    <x v="0"/>
    <x v="0"/>
    <x v="0"/>
    <x v="34"/>
    <s v="24 Panorama Tower H&amp;C Insurance"/>
    <n v="94.4"/>
    <x v="1"/>
    <x v="1"/>
    <x v="1"/>
  </r>
  <r>
    <x v="0"/>
    <x v="0"/>
    <x v="0"/>
    <x v="35"/>
    <s v="TO CARD xxxx  THANK YOU"/>
    <n v="-13.4"/>
    <x v="1"/>
    <x v="1"/>
    <x v="1"/>
  </r>
  <r>
    <x v="0"/>
    <x v="0"/>
    <x v="0"/>
    <x v="35"/>
    <s v="FC01-1839-xxxx-01 834949DpsA2A Contact Ener 501461545"/>
    <n v="-104.84"/>
    <x v="4"/>
    <x v="5"/>
    <x v="5"/>
  </r>
  <r>
    <x v="0"/>
    <x v="0"/>
    <x v="0"/>
    <x v="35"/>
    <m/>
    <n v="122.06"/>
    <x v="1"/>
    <x v="1"/>
    <x v="1"/>
  </r>
  <r>
    <x v="0"/>
    <x v="0"/>
    <x v="0"/>
    <x v="36"/>
    <s v="TO CARD xxxx  THANK YOU"/>
    <n v="-1.99"/>
    <x v="1"/>
    <x v="1"/>
    <x v="1"/>
  </r>
  <r>
    <x v="0"/>
    <x v="0"/>
    <x v="0"/>
    <x v="36"/>
    <s v="FC12-3075-xxxx-02 StaffBidone MJ Alavi 64170"/>
    <n v="-14.66"/>
    <x v="0"/>
    <x v="0"/>
    <x v="0"/>
  </r>
  <r>
    <x v="0"/>
    <x v="0"/>
    <x v="0"/>
    <x v="37"/>
    <s v="TO CARD xxxx  THANK YOU"/>
    <n v="-75.08"/>
    <x v="1"/>
    <x v="1"/>
    <x v="1"/>
  </r>
  <r>
    <x v="0"/>
    <x v="0"/>
    <x v="0"/>
    <x v="38"/>
    <s v="Electricity ContactEnrgy MJ 8Denning"/>
    <n v="56.28"/>
    <x v="1"/>
    <x v="1"/>
    <x v="1"/>
  </r>
  <r>
    <x v="0"/>
    <x v="0"/>
    <x v="0"/>
    <x v="38"/>
    <s v="Mobile Sam Skinny"/>
    <n v="22.41"/>
    <x v="1"/>
    <x v="1"/>
    <x v="1"/>
  </r>
  <r>
    <x v="0"/>
    <x v="0"/>
    <x v="0"/>
    <x v="38"/>
    <s v="TO CARD xxxx  THANK YOU"/>
    <n v="-209.1"/>
    <x v="1"/>
    <x v="1"/>
    <x v="1"/>
  </r>
  <r>
    <x v="0"/>
    <x v="0"/>
    <x v="0"/>
    <x v="39"/>
    <s v="D/D xxxx-03 WATERCARE"/>
    <n v="-58.46"/>
    <x v="4"/>
    <x v="4"/>
    <x v="4"/>
  </r>
  <r>
    <x v="0"/>
    <x v="0"/>
    <x v="0"/>
    <x v="39"/>
    <s v="MJ ANZ"/>
    <n v="24.9"/>
    <x v="1"/>
    <x v="1"/>
    <x v="1"/>
  </r>
  <r>
    <x v="0"/>
    <x v="0"/>
    <x v="0"/>
    <x v="39"/>
    <m/>
    <n v="5.33"/>
    <x v="1"/>
    <x v="1"/>
    <x v="1"/>
  </r>
  <r>
    <x v="0"/>
    <x v="0"/>
    <x v="0"/>
    <x v="40"/>
    <s v="MJ ASB NetFlix 8Denning"/>
    <n v="8.1300000000000008"/>
    <x v="1"/>
    <x v="1"/>
    <x v="1"/>
  </r>
  <r>
    <x v="0"/>
    <x v="0"/>
    <x v="0"/>
    <x v="40"/>
    <s v="akpp5050ia80 24PanoramaRo Rent myRent"/>
    <n v="1143.6500000000001"/>
    <x v="2"/>
    <x v="2"/>
    <x v="2"/>
  </r>
  <r>
    <x v="0"/>
    <x v="0"/>
    <x v="0"/>
    <x v="40"/>
    <s v="TO CARD xxxx  THANK YOU"/>
    <n v="-201.97"/>
    <x v="1"/>
    <x v="1"/>
    <x v="1"/>
  </r>
  <r>
    <x v="0"/>
    <x v="0"/>
    <x v="0"/>
    <x v="40"/>
    <s v="FC38-9016-xxxx-00 Sam KiwiBank"/>
    <n v="-1406.75"/>
    <x v="1"/>
    <x v="1"/>
    <x v="1"/>
  </r>
  <r>
    <x v="0"/>
    <x v="0"/>
    <x v="0"/>
    <x v="41"/>
    <s v="TO CARD xxxx  THANK YOU"/>
    <n v="-2.96"/>
    <x v="1"/>
    <x v="1"/>
    <x v="1"/>
  </r>
  <r>
    <x v="0"/>
    <x v="0"/>
    <x v="0"/>
    <x v="42"/>
    <s v="Council Rate 8Denning"/>
    <n v="874.8"/>
    <x v="1"/>
    <x v="1"/>
    <x v="1"/>
  </r>
  <r>
    <x v="0"/>
    <x v="0"/>
    <x v="0"/>
    <x v="42"/>
    <s v="Council Rate 24 Panorama"/>
    <n v="777.74"/>
    <x v="1"/>
    <x v="1"/>
    <x v="1"/>
  </r>
  <r>
    <x v="0"/>
    <x v="0"/>
    <x v="0"/>
    <x v="42"/>
    <s v="Rate MJ 5B"/>
    <n v="932.66"/>
    <x v="1"/>
    <x v="1"/>
    <x v="1"/>
  </r>
  <r>
    <x v="0"/>
    <x v="0"/>
    <x v="0"/>
    <x v="42"/>
    <s v="FC38-9016-xxxx-00 Sam KiwiBank rates"/>
    <n v="-213.68"/>
    <x v="1"/>
    <x v="1"/>
    <x v="1"/>
  </r>
  <r>
    <x v="0"/>
    <x v="0"/>
    <x v="0"/>
    <x v="43"/>
    <s v="MJ ANZ"/>
    <n v="525.6"/>
    <x v="1"/>
    <x v="1"/>
    <x v="1"/>
  </r>
  <r>
    <x v="0"/>
    <x v="0"/>
    <x v="0"/>
    <x v="43"/>
    <s v="FC12-3075-xxxx-02 StaffBidone MJ Alavi 64170"/>
    <n v="-32.97"/>
    <x v="0"/>
    <x v="0"/>
    <x v="0"/>
  </r>
  <r>
    <x v="0"/>
    <x v="0"/>
    <x v="0"/>
    <x v="44"/>
    <s v="TO CARD xxxx  THANK YOU"/>
    <n v="-57.19"/>
    <x v="1"/>
    <x v="1"/>
    <x v="1"/>
  </r>
  <r>
    <x v="0"/>
    <x v="0"/>
    <x v="0"/>
    <x v="45"/>
    <s v="MJ 8Denning TowerContent Insurance"/>
    <n v="6.34"/>
    <x v="1"/>
    <x v="1"/>
    <x v="1"/>
  </r>
  <r>
    <x v="0"/>
    <x v="0"/>
    <x v="0"/>
    <x v="45"/>
    <s v="MJ Apple Cloud Storage"/>
    <n v="9.0500000000000007"/>
    <x v="1"/>
    <x v="1"/>
    <x v="1"/>
  </r>
  <r>
    <x v="0"/>
    <x v="0"/>
    <x v="0"/>
    <x v="46"/>
    <s v="TO CARD xxxx  THANK YOU"/>
    <n v="-66.72"/>
    <x v="1"/>
    <x v="1"/>
    <x v="1"/>
  </r>
  <r>
    <x v="0"/>
    <x v="0"/>
    <x v="0"/>
    <x v="47"/>
    <s v="Water  MJ 8Denning"/>
    <n v="70.72"/>
    <x v="1"/>
    <x v="1"/>
    <x v="1"/>
  </r>
  <r>
    <x v="0"/>
    <x v="0"/>
    <x v="0"/>
    <x v="47"/>
    <s v="MJ Mobile US Phone Sam"/>
    <n v="1.89"/>
    <x v="1"/>
    <x v="1"/>
    <x v="1"/>
  </r>
  <r>
    <x v="0"/>
    <x v="0"/>
    <x v="0"/>
    <x v="48"/>
    <s v="akpsh1c0io6s 24PanoramaRo Rent myRent"/>
    <n v="223.49"/>
    <x v="2"/>
    <x v="2"/>
    <x v="2"/>
  </r>
  <r>
    <x v="0"/>
    <x v="0"/>
    <x v="0"/>
    <x v="48"/>
    <s v="FC38-9016-xxxx-00 Sam KiwiBank"/>
    <n v="-195.56"/>
    <x v="1"/>
    <x v="1"/>
    <x v="1"/>
  </r>
  <r>
    <x v="0"/>
    <x v="0"/>
    <x v="0"/>
    <x v="49"/>
    <s v="TO CARD xxxx  THANK YOU"/>
    <n v="-4.08"/>
    <x v="1"/>
    <x v="1"/>
    <x v="1"/>
  </r>
  <r>
    <x v="0"/>
    <x v="0"/>
    <x v="0"/>
    <x v="50"/>
    <s v="Mobile MJ Skinny"/>
    <n v="16.649999999999999"/>
    <x v="1"/>
    <x v="1"/>
    <x v="1"/>
  </r>
  <r>
    <x v="0"/>
    <x v="0"/>
    <x v="0"/>
    <x v="51"/>
    <s v="FC01-1839-xxxx-01 854807DpsA2A Contact Ener 501461545"/>
    <n v="-193.44"/>
    <x v="4"/>
    <x v="5"/>
    <x v="5"/>
  </r>
  <r>
    <x v="0"/>
    <x v="0"/>
    <x v="0"/>
    <x v="52"/>
    <s v="AIA Insurance SamMJ"/>
    <n v="58.83"/>
    <x v="1"/>
    <x v="1"/>
    <x v="1"/>
  </r>
  <r>
    <x v="0"/>
    <x v="0"/>
    <x v="0"/>
    <x v="52"/>
    <s v="TO CARD xxxx  THANK YOU"/>
    <n v="-38.24"/>
    <x v="1"/>
    <x v="1"/>
    <x v="1"/>
  </r>
  <r>
    <x v="0"/>
    <x v="0"/>
    <x v="0"/>
    <x v="53"/>
    <s v="MJ ANZ"/>
    <n v="130.53"/>
    <x v="1"/>
    <x v="1"/>
    <x v="1"/>
  </r>
  <r>
    <x v="0"/>
    <x v="0"/>
    <x v="0"/>
    <x v="54"/>
    <s v="MJ 8Denning TowerHouse Insurance"/>
    <n v="33.340000000000003"/>
    <x v="1"/>
    <x v="1"/>
    <x v="1"/>
  </r>
  <r>
    <x v="0"/>
    <x v="0"/>
    <x v="0"/>
    <x v="54"/>
    <s v="MJ 5B Tower H&amp;C Insurance"/>
    <n v="122.98"/>
    <x v="1"/>
    <x v="1"/>
    <x v="1"/>
  </r>
  <r>
    <x v="0"/>
    <x v="0"/>
    <x v="0"/>
    <x v="54"/>
    <s v="24 Panorama Tower H&amp;C Insurance"/>
    <n v="117.39"/>
    <x v="1"/>
    <x v="1"/>
    <x v="1"/>
  </r>
  <r>
    <x v="0"/>
    <x v="0"/>
    <x v="0"/>
    <x v="54"/>
    <s v="Mobile Sam Skinny"/>
    <n v="11.67"/>
    <x v="1"/>
    <x v="1"/>
    <x v="1"/>
  </r>
  <r>
    <x v="0"/>
    <x v="0"/>
    <x v="0"/>
    <x v="55"/>
    <s v="Electricity ContactEnrgy MJ 8Denning"/>
    <n v="32.75"/>
    <x v="1"/>
    <x v="1"/>
    <x v="1"/>
  </r>
  <r>
    <x v="0"/>
    <x v="0"/>
    <x v="0"/>
    <x v="56"/>
    <s v="akpc60d0ik9c 24PanoramaRo Rent myRent"/>
    <n v="560.51"/>
    <x v="2"/>
    <x v="2"/>
    <x v="2"/>
  </r>
  <r>
    <x v="0"/>
    <x v="0"/>
    <x v="0"/>
    <x v="56"/>
    <s v="TO CARD xxxx  THANK YOU"/>
    <n v="-2815.3"/>
    <x v="1"/>
    <x v="1"/>
    <x v="1"/>
  </r>
  <r>
    <x v="0"/>
    <x v="0"/>
    <x v="0"/>
    <x v="56"/>
    <s v="EX CARD xxxx"/>
    <n v="1392.21"/>
    <x v="1"/>
    <x v="1"/>
    <x v="1"/>
  </r>
  <r>
    <x v="0"/>
    <x v="0"/>
    <x v="0"/>
    <x v="56"/>
    <s v="FC38-9016-xxxx-00 Sam KiwiBank"/>
    <n v="-694.06"/>
    <x v="1"/>
    <x v="1"/>
    <x v="1"/>
  </r>
  <r>
    <x v="0"/>
    <x v="0"/>
    <x v="0"/>
    <x v="57"/>
    <s v="MJ ASB NetFlix 8Denning"/>
    <n v="23.81"/>
    <x v="1"/>
    <x v="1"/>
    <x v="1"/>
  </r>
  <r>
    <x v="0"/>
    <x v="0"/>
    <x v="0"/>
    <x v="58"/>
    <s v="TO CARD xxxx  THANK YOU"/>
    <n v="-0.83"/>
    <x v="1"/>
    <x v="1"/>
    <x v="1"/>
  </r>
  <r>
    <x v="0"/>
    <x v="0"/>
    <x v="0"/>
    <x v="59"/>
    <s v="TO CARD xxxx  THANK YOU"/>
    <n v="-62.95"/>
    <x v="1"/>
    <x v="1"/>
    <x v="1"/>
  </r>
  <r>
    <x v="0"/>
    <x v="0"/>
    <x v="0"/>
    <x v="60"/>
    <s v="TO CARD xxxx  THANK YOU"/>
    <n v="-42.28"/>
    <x v="1"/>
    <x v="1"/>
    <x v="1"/>
  </r>
  <r>
    <x v="0"/>
    <x v="0"/>
    <x v="0"/>
    <x v="61"/>
    <s v="TO CARD xxxx  THANK YOU"/>
    <n v="-1.29"/>
    <x v="1"/>
    <x v="1"/>
    <x v="1"/>
  </r>
  <r>
    <x v="0"/>
    <x v="0"/>
    <x v="0"/>
    <x v="61"/>
    <s v="MJ ANZ"/>
    <n v="7.83"/>
    <x v="1"/>
    <x v="1"/>
    <x v="1"/>
  </r>
  <r>
    <x v="0"/>
    <x v="0"/>
    <x v="0"/>
    <x v="62"/>
    <s v="FC12-3075-xxxx-00 somaye taebi"/>
    <n v="-41.2"/>
    <x v="1"/>
    <x v="1"/>
    <x v="1"/>
  </r>
  <r>
    <x v="0"/>
    <x v="0"/>
    <x v="0"/>
    <x v="63"/>
    <s v="TO CARD xxxx  THANK YOU"/>
    <n v="-80.400000000000006"/>
    <x v="1"/>
    <x v="1"/>
    <x v="1"/>
  </r>
  <r>
    <x v="0"/>
    <x v="0"/>
    <x v="0"/>
    <x v="63"/>
    <s v="MJ 8Denning TowerContent Insurance"/>
    <n v="67.599999999999994"/>
    <x v="1"/>
    <x v="1"/>
    <x v="1"/>
  </r>
  <r>
    <x v="0"/>
    <x v="0"/>
    <x v="0"/>
    <x v="63"/>
    <s v="MJ Apple Cloud Storage"/>
    <n v="16.48"/>
    <x v="1"/>
    <x v="1"/>
    <x v="1"/>
  </r>
  <r>
    <x v="0"/>
    <x v="0"/>
    <x v="0"/>
    <x v="63"/>
    <s v="TO CARD xxxx  THANK YOU"/>
    <n v="-21.23"/>
    <x v="1"/>
    <x v="1"/>
    <x v="1"/>
  </r>
  <r>
    <x v="0"/>
    <x v="0"/>
    <x v="0"/>
    <x v="64"/>
    <s v="akpme200aimr 24PanoramaRo Rent myRent"/>
    <n v="1581.95"/>
    <x v="2"/>
    <x v="2"/>
    <x v="2"/>
  </r>
  <r>
    <x v="0"/>
    <x v="0"/>
    <x v="0"/>
    <x v="64"/>
    <s v="FC38-9016-xxxx-00 Sam KiwiBank"/>
    <n v="-75.959999999999994"/>
    <x v="1"/>
    <x v="1"/>
    <x v="1"/>
  </r>
  <r>
    <x v="0"/>
    <x v="0"/>
    <x v="0"/>
    <x v="64"/>
    <s v="MJ ANZ"/>
    <n v="124.72"/>
    <x v="1"/>
    <x v="1"/>
    <x v="1"/>
  </r>
  <r>
    <x v="0"/>
    <x v="0"/>
    <x v="0"/>
    <x v="64"/>
    <s v="MJ ANZ"/>
    <n v="18"/>
    <x v="1"/>
    <x v="1"/>
    <x v="1"/>
  </r>
  <r>
    <x v="0"/>
    <x v="0"/>
    <x v="0"/>
    <x v="64"/>
    <s v="TO CARD xxxx  THANK YOU"/>
    <n v="-5.8"/>
    <x v="1"/>
    <x v="1"/>
    <x v="1"/>
  </r>
  <r>
    <x v="0"/>
    <x v="0"/>
    <x v="0"/>
    <x v="65"/>
    <s v="Water  MJ 8Denning"/>
    <n v="139.33000000000001"/>
    <x v="1"/>
    <x v="1"/>
    <x v="1"/>
  </r>
  <r>
    <x v="0"/>
    <x v="0"/>
    <x v="0"/>
    <x v="65"/>
    <s v="MJ Mobile US Phone Sam"/>
    <n v="3.29"/>
    <x v="1"/>
    <x v="1"/>
    <x v="1"/>
  </r>
  <r>
    <x v="0"/>
    <x v="0"/>
    <x v="0"/>
    <x v="66"/>
    <s v="Mobile MJ Skinny"/>
    <n v="14.16"/>
    <x v="1"/>
    <x v="1"/>
    <x v="1"/>
  </r>
  <r>
    <x v="0"/>
    <x v="0"/>
    <x v="0"/>
    <x v="66"/>
    <s v="TO CARD xxxx  THANK YOU"/>
    <n v="-38.840000000000003"/>
    <x v="1"/>
    <x v="1"/>
    <x v="1"/>
  </r>
  <r>
    <x v="0"/>
    <x v="0"/>
    <x v="0"/>
    <x v="66"/>
    <s v="TO CARD xxxx  THANK YOU"/>
    <n v="-5.78"/>
    <x v="1"/>
    <x v="1"/>
    <x v="1"/>
  </r>
  <r>
    <x v="0"/>
    <x v="0"/>
    <x v="0"/>
    <x v="66"/>
    <s v="TO CARD xxxx  THANK YOU"/>
    <n v="-27.07"/>
    <x v="1"/>
    <x v="1"/>
    <x v="1"/>
  </r>
  <r>
    <x v="0"/>
    <x v="0"/>
    <x v="0"/>
    <x v="67"/>
    <s v="TO CARD xxxx  THANK YOU"/>
    <n v="-9.76"/>
    <x v="1"/>
    <x v="1"/>
    <x v="1"/>
  </r>
  <r>
    <x v="0"/>
    <x v="0"/>
    <x v="0"/>
    <x v="67"/>
    <s v="TO CARD xxxx  THANK YOU"/>
    <n v="-5.32"/>
    <x v="1"/>
    <x v="1"/>
    <x v="1"/>
  </r>
  <r>
    <x v="0"/>
    <x v="0"/>
    <x v="0"/>
    <x v="68"/>
    <s v="TO CARD xxxx  THANK YOU"/>
    <n v="-0.83"/>
    <x v="1"/>
    <x v="1"/>
    <x v="1"/>
  </r>
  <r>
    <x v="0"/>
    <x v="0"/>
    <x v="0"/>
    <x v="68"/>
    <s v="TO CARD xxxx  THANK YOU"/>
    <n v="-0.49"/>
    <x v="1"/>
    <x v="1"/>
    <x v="1"/>
  </r>
  <r>
    <x v="0"/>
    <x v="0"/>
    <x v="0"/>
    <x v="69"/>
    <s v="MJ ANZ"/>
    <n v="666.61"/>
    <x v="1"/>
    <x v="1"/>
    <x v="1"/>
  </r>
  <r>
    <x v="0"/>
    <x v="0"/>
    <x v="0"/>
    <x v="69"/>
    <s v="TO CARD xxxx  THANK YOU"/>
    <n v="-147.66"/>
    <x v="1"/>
    <x v="1"/>
    <x v="1"/>
  </r>
  <r>
    <x v="0"/>
    <x v="0"/>
    <x v="0"/>
    <x v="69"/>
    <s v="FC12-3075-xxxx-02 StaffBidone MJ Alavi 64170"/>
    <n v="-139.66"/>
    <x v="0"/>
    <x v="0"/>
    <x v="0"/>
  </r>
  <r>
    <x v="0"/>
    <x v="0"/>
    <x v="0"/>
    <x v="69"/>
    <m/>
    <n v="2206.4"/>
    <x v="1"/>
    <x v="1"/>
    <x v="1"/>
  </r>
  <r>
    <x v="0"/>
    <x v="0"/>
    <x v="0"/>
    <x v="70"/>
    <s v="AIA Insurance SamMJ"/>
    <n v="57.42"/>
    <x v="1"/>
    <x v="1"/>
    <x v="1"/>
  </r>
  <r>
    <x v="0"/>
    <x v="0"/>
    <x v="0"/>
    <x v="70"/>
    <s v="IMT AUD 1744.00 GoldCoast  Ali"/>
    <n v="-178.28"/>
    <x v="3"/>
    <x v="6"/>
    <x v="6"/>
  </r>
  <r>
    <x v="0"/>
    <x v="0"/>
    <x v="0"/>
    <x v="71"/>
    <s v="Mobile Sam Skinny"/>
    <n v="10.86"/>
    <x v="1"/>
    <x v="1"/>
    <x v="1"/>
  </r>
  <r>
    <x v="0"/>
    <x v="0"/>
    <x v="0"/>
    <x v="72"/>
    <s v="NTRFFEE  2xxxx3"/>
    <n v="-27.02"/>
    <x v="5"/>
    <x v="7"/>
    <x v="7"/>
  </r>
  <r>
    <x v="0"/>
    <x v="0"/>
    <x v="0"/>
    <x v="72"/>
    <s v="TO CARD xxxx  THANK YOU"/>
    <n v="-11.57"/>
    <x v="1"/>
    <x v="1"/>
    <x v="1"/>
  </r>
  <r>
    <x v="0"/>
    <x v="0"/>
    <x v="0"/>
    <x v="73"/>
    <s v="MJ 8Denning TowerHouse Insurance"/>
    <n v="26.88"/>
    <x v="1"/>
    <x v="1"/>
    <x v="1"/>
  </r>
  <r>
    <x v="0"/>
    <x v="0"/>
    <x v="0"/>
    <x v="73"/>
    <s v="24 Panorama Tower H&amp;C Insurance"/>
    <n v="78.52"/>
    <x v="1"/>
    <x v="1"/>
    <x v="1"/>
  </r>
  <r>
    <x v="0"/>
    <x v="0"/>
    <x v="0"/>
    <x v="73"/>
    <s v="MJ 5B Tower H&amp;C Insurance"/>
    <n v="16.600000000000001"/>
    <x v="1"/>
    <x v="1"/>
    <x v="1"/>
  </r>
  <r>
    <x v="0"/>
    <x v="0"/>
    <x v="0"/>
    <x v="74"/>
    <s v="akpw60l0lwp7 24PanoramaRo Rent myRent"/>
    <n v="1745.88"/>
    <x v="2"/>
    <x v="2"/>
    <x v="2"/>
  </r>
  <r>
    <x v="0"/>
    <x v="0"/>
    <x v="0"/>
    <x v="74"/>
    <s v="FC38-9016-xxxx-00 Sam KiwiBank"/>
    <n v="-181.46"/>
    <x v="1"/>
    <x v="1"/>
    <x v="1"/>
  </r>
  <r>
    <x v="0"/>
    <x v="0"/>
    <x v="0"/>
    <x v="74"/>
    <s v="MJ ANZ"/>
    <n v="88.4"/>
    <x v="1"/>
    <x v="1"/>
    <x v="1"/>
  </r>
  <r>
    <x v="0"/>
    <x v="0"/>
    <x v="0"/>
    <x v="75"/>
    <s v="Electricity ContactEnrgy MJ 8Denning"/>
    <n v="67.94"/>
    <x v="1"/>
    <x v="1"/>
    <x v="1"/>
  </r>
  <r>
    <x v="0"/>
    <x v="0"/>
    <x v="0"/>
    <x v="76"/>
    <s v="EFTPOS"/>
    <n v="-12.22"/>
    <x v="3"/>
    <x v="8"/>
    <x v="8"/>
  </r>
  <r>
    <x v="0"/>
    <x v="0"/>
    <x v="0"/>
    <x v="77"/>
    <s v="FC38-9016-xxxx-00 Sam KiwiBank"/>
    <n v="-223.07"/>
    <x v="1"/>
    <x v="1"/>
    <x v="1"/>
  </r>
  <r>
    <x v="0"/>
    <x v="0"/>
    <x v="0"/>
    <x v="78"/>
    <s v="MJ ASB NetFlix 8Denning"/>
    <n v="18.79"/>
    <x v="1"/>
    <x v="1"/>
    <x v="1"/>
  </r>
  <r>
    <x v="0"/>
    <x v="0"/>
    <x v="0"/>
    <x v="79"/>
    <s v="TO CARD xxxx  THANK YOU"/>
    <n v="-39.44"/>
    <x v="1"/>
    <x v="1"/>
    <x v="1"/>
  </r>
  <r>
    <x v="0"/>
    <x v="0"/>
    <x v="0"/>
    <x v="79"/>
    <s v="MJ ANZ"/>
    <n v="6.25"/>
    <x v="1"/>
    <x v="1"/>
    <x v="1"/>
  </r>
  <r>
    <x v="0"/>
    <x v="0"/>
    <x v="0"/>
    <x v="80"/>
    <s v="FC03-0584-xxxx-03 996535870623 rego rego"/>
    <n v="-9.24"/>
    <x v="6"/>
    <x v="9"/>
    <x v="9"/>
  </r>
  <r>
    <x v="0"/>
    <x v="0"/>
    <x v="0"/>
    <x v="81"/>
    <s v="TO CARD xxxx  THANK YOU"/>
    <n v="-12.25"/>
    <x v="1"/>
    <x v="1"/>
    <x v="1"/>
  </r>
  <r>
    <x v="0"/>
    <x v="0"/>
    <x v="0"/>
    <x v="82"/>
    <s v="akphp0q0299v 24PanoramaRo Rent myRent"/>
    <n v="689.25"/>
    <x v="2"/>
    <x v="2"/>
    <x v="2"/>
  </r>
  <r>
    <x v="0"/>
    <x v="0"/>
    <x v="0"/>
    <x v="82"/>
    <s v="TO CARD xxxx  THANK YOU"/>
    <n v="-18.190000000000001"/>
    <x v="1"/>
    <x v="1"/>
    <x v="1"/>
  </r>
  <r>
    <x v="0"/>
    <x v="0"/>
    <x v="0"/>
    <x v="82"/>
    <s v="FC38-9016-xxxx-00 Sam KiwiBank"/>
    <n v="-215.11"/>
    <x v="1"/>
    <x v="1"/>
    <x v="1"/>
  </r>
  <r>
    <x v="0"/>
    <x v="0"/>
    <x v="0"/>
    <x v="82"/>
    <s v="MJ ANZ"/>
    <n v="73.540000000000006"/>
    <x v="1"/>
    <x v="1"/>
    <x v="1"/>
  </r>
  <r>
    <x v="0"/>
    <x v="0"/>
    <x v="0"/>
    <x v="83"/>
    <s v="Mobile MJ Skinny"/>
    <n v="11.88"/>
    <x v="1"/>
    <x v="1"/>
    <x v="1"/>
  </r>
  <r>
    <x v="0"/>
    <x v="0"/>
    <x v="0"/>
    <x v="83"/>
    <s v="MJ 8Denning TowerContent Insurance"/>
    <n v="10.26"/>
    <x v="1"/>
    <x v="1"/>
    <x v="1"/>
  </r>
  <r>
    <x v="0"/>
    <x v="0"/>
    <x v="0"/>
    <x v="83"/>
    <s v="MJ Apple Cloud Storage"/>
    <n v="22.96"/>
    <x v="1"/>
    <x v="1"/>
    <x v="1"/>
  </r>
  <r>
    <x v="0"/>
    <x v="0"/>
    <x v="0"/>
    <x v="83"/>
    <s v="TO CARD xxxx  THANK YOU"/>
    <n v="-3.72"/>
    <x v="1"/>
    <x v="1"/>
    <x v="1"/>
  </r>
  <r>
    <x v="0"/>
    <x v="0"/>
    <x v="0"/>
    <x v="83"/>
    <s v="FC38-9016-xxxx-00 Sam KiwiBank"/>
    <n v="-68.36"/>
    <x v="1"/>
    <x v="1"/>
    <x v="1"/>
  </r>
  <r>
    <x v="0"/>
    <x v="0"/>
    <x v="0"/>
    <x v="84"/>
    <s v="TO CARD xxxx  THANK YOU"/>
    <n v="-91.49"/>
    <x v="1"/>
    <x v="1"/>
    <x v="1"/>
  </r>
  <r>
    <x v="0"/>
    <x v="0"/>
    <x v="0"/>
    <x v="84"/>
    <s v="Water  MJ 8Denning"/>
    <n v="53"/>
    <x v="1"/>
    <x v="1"/>
    <x v="1"/>
  </r>
  <r>
    <x v="0"/>
    <x v="0"/>
    <x v="0"/>
    <x v="84"/>
    <s v="MJ Mobile US Phone Sam"/>
    <n v="14.03"/>
    <x v="1"/>
    <x v="1"/>
    <x v="1"/>
  </r>
  <r>
    <x v="0"/>
    <x v="0"/>
    <x v="0"/>
    <x v="85"/>
    <s v="FC12-3075-xxxx-02 StaffBidone MJ Alavi 64170"/>
    <n v="-149.15"/>
    <x v="0"/>
    <x v="0"/>
    <x v="0"/>
  </r>
  <r>
    <x v="0"/>
    <x v="0"/>
    <x v="0"/>
    <x v="86"/>
    <s v="MJ ANZ"/>
    <n v="57.16"/>
    <x v="1"/>
    <x v="1"/>
    <x v="1"/>
  </r>
  <r>
    <x v="0"/>
    <x v="0"/>
    <x v="0"/>
    <x v="87"/>
    <s v="TO CARD xxxx  THANK YOU"/>
    <n v="-61.81"/>
    <x v="1"/>
    <x v="1"/>
    <x v="1"/>
  </r>
  <r>
    <x v="0"/>
    <x v="0"/>
    <x v="0"/>
    <x v="88"/>
    <s v="AIA Insurance SamMJ"/>
    <n v="4.6100000000000003"/>
    <x v="1"/>
    <x v="1"/>
    <x v="1"/>
  </r>
  <r>
    <x v="0"/>
    <x v="0"/>
    <x v="0"/>
    <x v="88"/>
    <s v="Mobile Sam Skinny"/>
    <n v="4.5"/>
    <x v="1"/>
    <x v="1"/>
    <x v="1"/>
  </r>
  <r>
    <x v="0"/>
    <x v="0"/>
    <x v="0"/>
    <x v="88"/>
    <s v="TO CARD xxxx  THANK YOU"/>
    <n v="-12.9"/>
    <x v="1"/>
    <x v="1"/>
    <x v="1"/>
  </r>
  <r>
    <x v="0"/>
    <x v="0"/>
    <x v="0"/>
    <x v="89"/>
    <s v="TO CARD xxxx  THANK YOU"/>
    <n v="-50.8"/>
    <x v="1"/>
    <x v="1"/>
    <x v="1"/>
  </r>
  <r>
    <x v="0"/>
    <x v="0"/>
    <x v="0"/>
    <x v="90"/>
    <s v="akpuh050mary 24PanoramaRo Rent myRent"/>
    <n v="1217.69"/>
    <x v="2"/>
    <x v="2"/>
    <x v="2"/>
  </r>
  <r>
    <x v="0"/>
    <x v="0"/>
    <x v="0"/>
    <x v="90"/>
    <s v="TO CARD xxxx  THANK YOU"/>
    <n v="-4.5199999999999996"/>
    <x v="1"/>
    <x v="1"/>
    <x v="1"/>
  </r>
  <r>
    <x v="0"/>
    <x v="0"/>
    <x v="0"/>
    <x v="90"/>
    <s v="FC38-9016-xxxx-00 Sam KiwiBank"/>
    <n v="-753.85"/>
    <x v="1"/>
    <x v="1"/>
    <x v="1"/>
  </r>
  <r>
    <x v="0"/>
    <x v="0"/>
    <x v="0"/>
    <x v="91"/>
    <m/>
    <n v="325.39"/>
    <x v="1"/>
    <x v="1"/>
    <x v="1"/>
  </r>
  <r>
    <x v="0"/>
    <x v="0"/>
    <x v="0"/>
    <x v="91"/>
    <s v="FC12-3075-xxxx-02 StaffBidone MJ Alavi 64170"/>
    <n v="-348.98"/>
    <x v="0"/>
    <x v="0"/>
    <x v="0"/>
  </r>
  <r>
    <x v="0"/>
    <x v="0"/>
    <x v="0"/>
    <x v="92"/>
    <s v=" SkinnyMobile 0220215566 01428115-af7"/>
    <n v="-19.04"/>
    <x v="7"/>
    <x v="10"/>
    <x v="10"/>
  </r>
  <r>
    <x v="0"/>
    <x v="0"/>
    <x v="0"/>
    <x v="92"/>
    <s v="MJ 8Denning TowerHouse Insurance"/>
    <n v="49.53"/>
    <x v="1"/>
    <x v="1"/>
    <x v="1"/>
  </r>
  <r>
    <x v="0"/>
    <x v="0"/>
    <x v="0"/>
    <x v="92"/>
    <s v="24 Panorama Tower H&amp;C Insurance"/>
    <n v="114.03"/>
    <x v="1"/>
    <x v="1"/>
    <x v="1"/>
  </r>
  <r>
    <x v="0"/>
    <x v="0"/>
    <x v="0"/>
    <x v="92"/>
    <s v="MJ 5B Tower H&amp;C Insurance"/>
    <n v="42.45"/>
    <x v="1"/>
    <x v="1"/>
    <x v="1"/>
  </r>
  <r>
    <x v="0"/>
    <x v="0"/>
    <x v="0"/>
    <x v="92"/>
    <s v="SeyedAlavi K88359840190 K88359840190"/>
    <n v="104.85"/>
    <x v="4"/>
    <x v="11"/>
    <x v="11"/>
  </r>
  <r>
    <x v="0"/>
    <x v="0"/>
    <x v="0"/>
    <x v="93"/>
    <s v="Electricity ContactEnrgy MJ 8Denning"/>
    <n v="85.65"/>
    <x v="1"/>
    <x v="1"/>
    <x v="1"/>
  </r>
  <r>
    <x v="0"/>
    <x v="0"/>
    <x v="0"/>
    <x v="93"/>
    <s v="FC38-9016-xxxx-00 Sam KiwiBank"/>
    <n v="-356.88"/>
    <x v="1"/>
    <x v="1"/>
    <x v="1"/>
  </r>
  <r>
    <x v="0"/>
    <x v="0"/>
    <x v="0"/>
    <x v="94"/>
    <s v="FC12-3075-xxxx-02 StaffBidone MJ Alavi 64170"/>
    <n v="-149.19"/>
    <x v="0"/>
    <x v="0"/>
    <x v="0"/>
  </r>
  <r>
    <x v="0"/>
    <x v="0"/>
    <x v="0"/>
    <x v="95"/>
    <s v="TO CARD 1588  THANK YOU"/>
    <n v="-0.82"/>
    <x v="1"/>
    <x v="1"/>
    <x v="1"/>
  </r>
  <r>
    <x v="0"/>
    <x v="0"/>
    <x v="0"/>
    <x v="96"/>
    <s v="MJ ASB NetFlix 8Denning"/>
    <n v="15.94"/>
    <x v="1"/>
    <x v="1"/>
    <x v="1"/>
  </r>
  <r>
    <x v="0"/>
    <x v="0"/>
    <x v="0"/>
    <x v="96"/>
    <s v="TO CARD 1588  THANK YOU"/>
    <n v="-7.58"/>
    <x v="1"/>
    <x v="1"/>
    <x v="1"/>
  </r>
  <r>
    <x v="0"/>
    <x v="0"/>
    <x v="0"/>
    <x v="97"/>
    <s v="TO CARD 1588  THANK YOU"/>
    <n v="-2.62"/>
    <x v="1"/>
    <x v="1"/>
    <x v="1"/>
  </r>
  <r>
    <x v="0"/>
    <x v="0"/>
    <x v="0"/>
    <x v="97"/>
    <s v="TO CARD 1588  THANK YOU"/>
    <n v="-17.93"/>
    <x v="1"/>
    <x v="1"/>
    <x v="1"/>
  </r>
  <r>
    <x v="0"/>
    <x v="0"/>
    <x v="0"/>
    <x v="98"/>
    <s v="TO CARD 1588  THANK YOU"/>
    <n v="-170.04"/>
    <x v="1"/>
    <x v="1"/>
    <x v="1"/>
  </r>
  <r>
    <x v="0"/>
    <x v="0"/>
    <x v="0"/>
    <x v="98"/>
    <s v="TO CARD 1588  THANK YOU"/>
    <n v="-9.18"/>
    <x v="1"/>
    <x v="1"/>
    <x v="1"/>
  </r>
  <r>
    <x v="0"/>
    <x v="0"/>
    <x v="0"/>
    <x v="98"/>
    <m/>
    <n v="114.67"/>
    <x v="1"/>
    <x v="1"/>
    <x v="1"/>
  </r>
  <r>
    <x v="0"/>
    <x v="0"/>
    <x v="0"/>
    <x v="99"/>
    <s v="TO CARD 1588  THANK YOU"/>
    <n v="-71.78"/>
    <x v="1"/>
    <x v="1"/>
    <x v="1"/>
  </r>
  <r>
    <x v="0"/>
    <x v="0"/>
    <x v="0"/>
    <x v="100"/>
    <s v="akpot0k0s53z 24PanoramaRo Rent myRent"/>
    <n v="1532.45"/>
    <x v="2"/>
    <x v="2"/>
    <x v="2"/>
  </r>
  <r>
    <x v="0"/>
    <x v="0"/>
    <x v="0"/>
    <x v="100"/>
    <s v="TO CARD 1588  THANK YOU"/>
    <n v="-238.95"/>
    <x v="1"/>
    <x v="1"/>
    <x v="1"/>
  </r>
  <r>
    <x v="0"/>
    <x v="0"/>
    <x v="0"/>
    <x v="100"/>
    <s v="FC12-3075-xxxx-02 StaffBidone MJ Alavi 64170"/>
    <n v="-187.52"/>
    <x v="0"/>
    <x v="0"/>
    <x v="0"/>
  </r>
  <r>
    <x v="0"/>
    <x v="0"/>
    <x v="0"/>
    <x v="100"/>
    <s v="FC38-9016-xxxx-00 Sam KiwiBank"/>
    <n v="-282.23"/>
    <x v="1"/>
    <x v="1"/>
    <x v="1"/>
  </r>
  <r>
    <x v="0"/>
    <x v="0"/>
    <x v="0"/>
    <x v="100"/>
    <s v="FC38-9016-xxxx-00 Sam KiwiBank"/>
    <n v="-525.13"/>
    <x v="1"/>
    <x v="1"/>
    <x v="1"/>
  </r>
  <r>
    <x v="0"/>
    <x v="0"/>
    <x v="0"/>
    <x v="101"/>
    <s v="TO CARD 1588  THANK YOU"/>
    <n v="-3.93"/>
    <x v="1"/>
    <x v="1"/>
    <x v="1"/>
  </r>
  <r>
    <x v="0"/>
    <x v="0"/>
    <x v="0"/>
    <x v="101"/>
    <s v="Mobile MJ Skinny"/>
    <n v="6.18"/>
    <x v="1"/>
    <x v="1"/>
    <x v="1"/>
  </r>
  <r>
    <x v="0"/>
    <x v="0"/>
    <x v="0"/>
    <x v="102"/>
    <s v="TO CARD 1588  THANK YOU"/>
    <n v="-50.3"/>
    <x v="1"/>
    <x v="1"/>
    <x v="1"/>
  </r>
  <r>
    <x v="0"/>
    <x v="0"/>
    <x v="0"/>
    <x v="103"/>
    <s v="TO CARD 1588  THANK YOU"/>
    <n v="-21.59"/>
    <x v="1"/>
    <x v="1"/>
    <x v="1"/>
  </r>
  <r>
    <x v="0"/>
    <x v="0"/>
    <x v="0"/>
    <x v="104"/>
    <s v="MJ 8Denning TowerContent Insurance"/>
    <n v="28.86"/>
    <x v="1"/>
    <x v="1"/>
    <x v="1"/>
  </r>
  <r>
    <x v="0"/>
    <x v="0"/>
    <x v="0"/>
    <x v="104"/>
    <s v="MJ Apple Cloud Storage"/>
    <n v="12.23"/>
    <x v="1"/>
    <x v="1"/>
    <x v="1"/>
  </r>
  <r>
    <x v="0"/>
    <x v="0"/>
    <x v="0"/>
    <x v="105"/>
    <s v="Water  MJ 8Denning"/>
    <n v="86.58"/>
    <x v="1"/>
    <x v="1"/>
    <x v="1"/>
  </r>
  <r>
    <x v="0"/>
    <x v="0"/>
    <x v="0"/>
    <x v="105"/>
    <s v="MJ Mobile US Phone Sam"/>
    <n v="2.46"/>
    <x v="1"/>
    <x v="1"/>
    <x v="1"/>
  </r>
  <r>
    <x v="0"/>
    <x v="0"/>
    <x v="0"/>
    <x v="105"/>
    <s v="TO CARD 1588  THANK YOU"/>
    <n v="-132.9"/>
    <x v="1"/>
    <x v="1"/>
    <x v="1"/>
  </r>
  <r>
    <x v="0"/>
    <x v="0"/>
    <x v="0"/>
    <x v="105"/>
    <s v="TO CARD 1588  THANK YOU"/>
    <n v="-23.78"/>
    <x v="1"/>
    <x v="1"/>
    <x v="1"/>
  </r>
  <r>
    <x v="0"/>
    <x v="0"/>
    <x v="0"/>
    <x v="106"/>
    <s v="TO CARD 1588  THANK YOU"/>
    <n v="-3.93"/>
    <x v="1"/>
    <x v="1"/>
    <x v="1"/>
  </r>
  <r>
    <x v="0"/>
    <x v="0"/>
    <x v="0"/>
    <x v="106"/>
    <m/>
    <n v="197.79"/>
    <x v="1"/>
    <x v="1"/>
    <x v="1"/>
  </r>
  <r>
    <x v="0"/>
    <x v="0"/>
    <x v="0"/>
    <x v="106"/>
    <s v="MJ ANZ"/>
    <n v="395.48"/>
    <x v="1"/>
    <x v="1"/>
    <x v="1"/>
  </r>
  <r>
    <x v="0"/>
    <x v="0"/>
    <x v="0"/>
    <x v="106"/>
    <s v="TO CARD 1588  THANK YOU"/>
    <n v="-306.82"/>
    <x v="1"/>
    <x v="1"/>
    <x v="1"/>
  </r>
  <r>
    <x v="0"/>
    <x v="0"/>
    <x v="0"/>
    <x v="107"/>
    <s v="TO CARD 1588  THANK YOU"/>
    <n v="-153.1"/>
    <x v="1"/>
    <x v="1"/>
    <x v="1"/>
  </r>
  <r>
    <x v="0"/>
    <x v="0"/>
    <x v="0"/>
    <x v="107"/>
    <s v="TO CARD 1588  THANK YOU"/>
    <n v="-0.03"/>
    <x v="1"/>
    <x v="1"/>
    <x v="1"/>
  </r>
  <r>
    <x v="0"/>
    <x v="0"/>
    <x v="0"/>
    <x v="108"/>
    <s v="Mobile Sam Skinny"/>
    <n v="0.7"/>
    <x v="1"/>
    <x v="1"/>
    <x v="1"/>
  </r>
  <r>
    <x v="0"/>
    <x v="0"/>
    <x v="0"/>
    <x v="109"/>
    <s v="TO CARD 1588  THANK YOU"/>
    <n v="-47.04"/>
    <x v="1"/>
    <x v="1"/>
    <x v="1"/>
  </r>
  <r>
    <x v="0"/>
    <x v="0"/>
    <x v="0"/>
    <x v="110"/>
    <s v="TO CARD 1588  THANK YOU"/>
    <n v="-25.42"/>
    <x v="1"/>
    <x v="1"/>
    <x v="1"/>
  </r>
  <r>
    <x v="0"/>
    <x v="0"/>
    <x v="0"/>
    <x v="111"/>
    <s v="AIA Insurance SamMJ"/>
    <n v="65.069999999999993"/>
    <x v="1"/>
    <x v="1"/>
    <x v="1"/>
  </r>
  <r>
    <x v="0"/>
    <x v="0"/>
    <x v="0"/>
    <x v="111"/>
    <s v="akph10806ts8 24PanoramaRo Rent myRent"/>
    <n v="1623.06"/>
    <x v="2"/>
    <x v="2"/>
    <x v="2"/>
  </r>
  <r>
    <x v="0"/>
    <x v="0"/>
    <x v="0"/>
    <x v="111"/>
    <s v="FC12-3075-xxxx-02 StaffBidone MJ Alavi 64170"/>
    <n v="-184.52"/>
    <x v="0"/>
    <x v="0"/>
    <x v="0"/>
  </r>
  <r>
    <x v="0"/>
    <x v="0"/>
    <x v="0"/>
    <x v="111"/>
    <s v="FC38-9016-xxxx-00 Sam KiwiBank"/>
    <n v="-751.49"/>
    <x v="1"/>
    <x v="1"/>
    <x v="1"/>
  </r>
  <r>
    <x v="0"/>
    <x v="0"/>
    <x v="0"/>
    <x v="112"/>
    <s v="TO CARD 1588  THANK YOU"/>
    <n v="-12.08"/>
    <x v="1"/>
    <x v="1"/>
    <x v="1"/>
  </r>
  <r>
    <x v="0"/>
    <x v="0"/>
    <x v="0"/>
    <x v="113"/>
    <s v="TO CARD 1588  THANK YOU"/>
    <n v="-6.84"/>
    <x v="1"/>
    <x v="1"/>
    <x v="1"/>
  </r>
  <r>
    <x v="0"/>
    <x v="0"/>
    <x v="0"/>
    <x v="113"/>
    <s v="FC38-9016-xxxx-00 Sam KiwiBank"/>
    <n v="-28.38"/>
    <x v="1"/>
    <x v="1"/>
    <x v="1"/>
  </r>
  <r>
    <x v="0"/>
    <x v="0"/>
    <x v="0"/>
    <x v="114"/>
    <s v="MJ 5B Tower H&amp;C Insurance"/>
    <n v="62.11"/>
    <x v="1"/>
    <x v="1"/>
    <x v="1"/>
  </r>
  <r>
    <x v="0"/>
    <x v="0"/>
    <x v="0"/>
    <x v="114"/>
    <s v="MJ 8Denning TowerHouse Insurance"/>
    <n v="3.14"/>
    <x v="1"/>
    <x v="1"/>
    <x v="1"/>
  </r>
  <r>
    <x v="0"/>
    <x v="0"/>
    <x v="0"/>
    <x v="114"/>
    <s v="24 Panorama Tower H&amp;C Insurance"/>
    <n v="97.13"/>
    <x v="1"/>
    <x v="1"/>
    <x v="1"/>
  </r>
  <r>
    <x v="0"/>
    <x v="0"/>
    <x v="0"/>
    <x v="114"/>
    <s v="TO CARD 1588  THANK YOU"/>
    <n v="-1.0900000000000001"/>
    <x v="1"/>
    <x v="1"/>
    <x v="1"/>
  </r>
  <r>
    <x v="0"/>
    <x v="0"/>
    <x v="0"/>
    <x v="115"/>
    <s v="TO CARD 1588  THANK YOU"/>
    <n v="-1.64"/>
    <x v="1"/>
    <x v="1"/>
    <x v="1"/>
  </r>
  <r>
    <x v="0"/>
    <x v="0"/>
    <x v="0"/>
    <x v="115"/>
    <s v="TO CARD 1588  THANK YOU"/>
    <n v="-29.42"/>
    <x v="1"/>
    <x v="1"/>
    <x v="1"/>
  </r>
  <r>
    <x v="0"/>
    <x v="0"/>
    <x v="0"/>
    <x v="116"/>
    <s v="Electricity ContactEnrgy MJ 8Denning"/>
    <n v="13.19"/>
    <x v="1"/>
    <x v="1"/>
    <x v="1"/>
  </r>
  <r>
    <x v="0"/>
    <x v="0"/>
    <x v="0"/>
    <x v="116"/>
    <s v="FC38-9016-xxxx-00 Sam KiwiBank"/>
    <n v="-109.14"/>
    <x v="1"/>
    <x v="1"/>
    <x v="1"/>
  </r>
  <r>
    <x v="0"/>
    <x v="0"/>
    <x v="0"/>
    <x v="117"/>
    <s v="TO CARD 1588  THANK YOU"/>
    <n v="-122.49"/>
    <x v="1"/>
    <x v="1"/>
    <x v="1"/>
  </r>
  <r>
    <x v="0"/>
    <x v="0"/>
    <x v="0"/>
    <x v="117"/>
    <m/>
    <n v="58.7"/>
    <x v="1"/>
    <x v="1"/>
    <x v="1"/>
  </r>
  <r>
    <x v="0"/>
    <x v="0"/>
    <x v="0"/>
    <x v="117"/>
    <s v="TO CARD 1588  THANK YOU"/>
    <n v="-1.8"/>
    <x v="1"/>
    <x v="1"/>
    <x v="1"/>
  </r>
  <r>
    <x v="0"/>
    <x v="0"/>
    <x v="0"/>
    <x v="117"/>
    <s v="TO CARD 1588  THANK YOU"/>
    <n v="-60.9"/>
    <x v="1"/>
    <x v="1"/>
    <x v="1"/>
  </r>
  <r>
    <x v="0"/>
    <x v="0"/>
    <x v="0"/>
    <x v="117"/>
    <s v="TO CARD 1588  THANK YOU"/>
    <n v="-7.21"/>
    <x v="1"/>
    <x v="1"/>
    <x v="1"/>
  </r>
  <r>
    <x v="0"/>
    <x v="0"/>
    <x v="0"/>
    <x v="118"/>
    <s v="TO CARD 1588  THANK YOU"/>
    <n v="-17.190000000000001"/>
    <x v="1"/>
    <x v="1"/>
    <x v="1"/>
  </r>
  <r>
    <x v="0"/>
    <x v="0"/>
    <x v="0"/>
    <x v="118"/>
    <s v="SeyedAlavi K55897677604 K55897677604"/>
    <n v="163.5"/>
    <x v="4"/>
    <x v="11"/>
    <x v="11"/>
  </r>
  <r>
    <x v="0"/>
    <x v="0"/>
    <x v="0"/>
    <x v="119"/>
    <s v="MJ ASB NetFlix 8Denning"/>
    <n v="3.86"/>
    <x v="1"/>
    <x v="1"/>
    <x v="1"/>
  </r>
  <r>
    <x v="0"/>
    <x v="0"/>
    <x v="0"/>
    <x v="119"/>
    <s v="TO CARD 1588  THANK YOU"/>
    <n v="-79.040000000000006"/>
    <x v="1"/>
    <x v="1"/>
    <x v="1"/>
  </r>
  <r>
    <x v="0"/>
    <x v="0"/>
    <x v="0"/>
    <x v="120"/>
    <s v="TO CARD 1588  THANK YOU"/>
    <n v="-26.67"/>
    <x v="1"/>
    <x v="1"/>
    <x v="1"/>
  </r>
  <r>
    <x v="0"/>
    <x v="0"/>
    <x v="0"/>
    <x v="121"/>
    <s v="TO CARD 1588  THANK YOU"/>
    <n v="-117.7"/>
    <x v="1"/>
    <x v="1"/>
    <x v="1"/>
  </r>
  <r>
    <x v="0"/>
    <x v="0"/>
    <x v="0"/>
    <x v="122"/>
    <s v="akpht070n92j 24PanoramaRo Rent myRent"/>
    <n v="144.85"/>
    <x v="2"/>
    <x v="2"/>
    <x v="2"/>
  </r>
  <r>
    <x v="0"/>
    <x v="0"/>
    <x v="0"/>
    <x v="122"/>
    <s v="TO 12-3637- xxxx-00"/>
    <n v="-1390.94"/>
    <x v="1"/>
    <x v="1"/>
    <x v="1"/>
  </r>
  <r>
    <x v="0"/>
    <x v="0"/>
    <x v="0"/>
    <x v="122"/>
    <s v="EX 12-3637- xxxx-00"/>
    <n v="95.79"/>
    <x v="1"/>
    <x v="1"/>
    <x v="1"/>
  </r>
  <r>
    <x v="0"/>
    <x v="0"/>
    <x v="0"/>
    <x v="122"/>
    <s v="FC38-9016-xxxx-00 Sam KiwiBank"/>
    <n v="-237.08"/>
    <x v="1"/>
    <x v="1"/>
    <x v="1"/>
  </r>
  <r>
    <x v="0"/>
    <x v="0"/>
    <x v="0"/>
    <x v="123"/>
    <s v="TO CARD 1588  THANK YOU"/>
    <n v="-11.45"/>
    <x v="1"/>
    <x v="1"/>
    <x v="1"/>
  </r>
  <r>
    <x v="0"/>
    <x v="0"/>
    <x v="0"/>
    <x v="124"/>
    <s v="TO CARD 1588  THANK YOU"/>
    <n v="-78.400000000000006"/>
    <x v="1"/>
    <x v="1"/>
    <x v="1"/>
  </r>
  <r>
    <x v="0"/>
    <x v="0"/>
    <x v="0"/>
    <x v="124"/>
    <s v="Mobile MJ Skinny"/>
    <n v="13.94"/>
    <x v="1"/>
    <x v="1"/>
    <x v="1"/>
  </r>
  <r>
    <x v="0"/>
    <x v="0"/>
    <x v="0"/>
    <x v="125"/>
    <s v="TO CARD 1588  THANK YOU"/>
    <n v="-18.899999999999999"/>
    <x v="1"/>
    <x v="1"/>
    <x v="1"/>
  </r>
  <r>
    <x v="0"/>
    <x v="0"/>
    <x v="0"/>
    <x v="125"/>
    <s v="FC31-2840-0034296-01 996537920414 mj mj"/>
    <n v="-2.2599999999999998"/>
    <x v="4"/>
    <x v="12"/>
    <x v="12"/>
  </r>
  <r>
    <x v="0"/>
    <x v="0"/>
    <x v="0"/>
    <x v="126"/>
    <s v="MJ 8Denning TowerContent Insurance"/>
    <n v="30.09"/>
    <x v="1"/>
    <x v="1"/>
    <x v="1"/>
  </r>
  <r>
    <x v="0"/>
    <x v="0"/>
    <x v="0"/>
    <x v="126"/>
    <s v="MJ Apple Cloud Storage"/>
    <n v="23.52"/>
    <x v="1"/>
    <x v="1"/>
    <x v="1"/>
  </r>
  <r>
    <x v="0"/>
    <x v="0"/>
    <x v="0"/>
    <x v="126"/>
    <s v="MJ ANZ"/>
    <n v="1822.28"/>
    <x v="1"/>
    <x v="1"/>
    <x v="1"/>
  </r>
  <r>
    <x v="0"/>
    <x v="0"/>
    <x v="0"/>
    <x v="126"/>
    <s v="TO CARD 1588  THANK YOU"/>
    <n v="-723.91"/>
    <x v="1"/>
    <x v="1"/>
    <x v="1"/>
  </r>
  <r>
    <x v="0"/>
    <x v="0"/>
    <x v="0"/>
    <x v="126"/>
    <s v="FC12-3075-xxxx-02 StaffBidone MJ Alavi 64170"/>
    <n v="-178.19"/>
    <x v="0"/>
    <x v="0"/>
    <x v="0"/>
  </r>
  <r>
    <x v="0"/>
    <x v="0"/>
    <x v="0"/>
    <x v="126"/>
    <s v="TO CARD 1588  THANK YOU"/>
    <n v="-74.34"/>
    <x v="1"/>
    <x v="1"/>
    <x v="1"/>
  </r>
  <r>
    <x v="0"/>
    <x v="0"/>
    <x v="0"/>
    <x v="126"/>
    <s v="TO 12-3637- xxxx-00"/>
    <n v="-234.94"/>
    <x v="1"/>
    <x v="1"/>
    <x v="1"/>
  </r>
  <r>
    <x v="0"/>
    <x v="0"/>
    <x v="0"/>
    <x v="126"/>
    <s v="FC38-9016-xxxx-00 Sam KiwiBank"/>
    <n v="-438"/>
    <x v="1"/>
    <x v="1"/>
    <x v="1"/>
  </r>
  <r>
    <x v="0"/>
    <x v="0"/>
    <x v="0"/>
    <x v="127"/>
    <s v="FC38-9016-xxxx-00 Sam KiwiBank"/>
    <n v="-25.72"/>
    <x v="1"/>
    <x v="1"/>
    <x v="1"/>
  </r>
  <r>
    <x v="0"/>
    <x v="0"/>
    <x v="0"/>
    <x v="127"/>
    <s v="TO CARD 1588  THANK YOU"/>
    <n v="-3.19"/>
    <x v="1"/>
    <x v="1"/>
    <x v="1"/>
  </r>
  <r>
    <x v="0"/>
    <x v="0"/>
    <x v="0"/>
    <x v="127"/>
    <s v="TO CARD 1588  THANK YOU"/>
    <n v="-23.22"/>
    <x v="1"/>
    <x v="1"/>
    <x v="1"/>
  </r>
  <r>
    <x v="0"/>
    <x v="0"/>
    <x v="0"/>
    <x v="127"/>
    <s v="EX 12-3637- xxxx-00"/>
    <n v="64.06"/>
    <x v="1"/>
    <x v="1"/>
    <x v="1"/>
  </r>
  <r>
    <x v="0"/>
    <x v="0"/>
    <x v="0"/>
    <x v="127"/>
    <s v="TO CARD 1588  THANK YOU"/>
    <n v="-37.67"/>
    <x v="1"/>
    <x v="1"/>
    <x v="1"/>
  </r>
  <r>
    <x v="0"/>
    <x v="0"/>
    <x v="0"/>
    <x v="127"/>
    <s v="EX 12-3637- xxxx-00"/>
    <n v="63.44"/>
    <x v="1"/>
    <x v="1"/>
    <x v="1"/>
  </r>
  <r>
    <x v="0"/>
    <x v="0"/>
    <x v="0"/>
    <x v="127"/>
    <s v="EFTPOS"/>
    <n v="-2.75"/>
    <x v="0"/>
    <x v="0"/>
    <x v="0"/>
  </r>
  <r>
    <x v="0"/>
    <x v="0"/>
    <x v="0"/>
    <x v="127"/>
    <s v="TO CARD 1588  THANK YOU"/>
    <n v="-26.57"/>
    <x v="1"/>
    <x v="1"/>
    <x v="1"/>
  </r>
  <r>
    <x v="0"/>
    <x v="0"/>
    <x v="0"/>
    <x v="128"/>
    <s v="Water  MJ 8Denning"/>
    <n v="148.49"/>
    <x v="1"/>
    <x v="1"/>
    <x v="1"/>
  </r>
  <r>
    <x v="0"/>
    <x v="0"/>
    <x v="0"/>
    <x v="128"/>
    <s v="MJ Mobile US Phone Sam"/>
    <n v="7"/>
    <x v="1"/>
    <x v="1"/>
    <x v="1"/>
  </r>
  <r>
    <x v="0"/>
    <x v="0"/>
    <x v="0"/>
    <x v="129"/>
    <s v="TO 12-3637- xxxx-00"/>
    <n v="-105.66"/>
    <x v="1"/>
    <x v="1"/>
    <x v="1"/>
  </r>
  <r>
    <x v="0"/>
    <x v="0"/>
    <x v="0"/>
    <x v="130"/>
    <s v="Mobile Sam Skinny"/>
    <n v="21.5"/>
    <x v="1"/>
    <x v="1"/>
    <x v="1"/>
  </r>
  <r>
    <x v="0"/>
    <x v="0"/>
    <x v="0"/>
    <x v="130"/>
    <s v="TO CARD 1588  THANK YOU"/>
    <n v="-14.95"/>
    <x v="1"/>
    <x v="1"/>
    <x v="1"/>
  </r>
  <r>
    <x v="0"/>
    <x v="0"/>
    <x v="0"/>
    <x v="131"/>
    <s v="akp6w070o5hw 24PanoramaRo Rent myRent"/>
    <n v="1358.78"/>
    <x v="2"/>
    <x v="2"/>
    <x v="2"/>
  </r>
  <r>
    <x v="0"/>
    <x v="0"/>
    <x v="0"/>
    <x v="131"/>
    <s v="TO CARD 1588  THANK YOU"/>
    <n v="-148.6"/>
    <x v="1"/>
    <x v="1"/>
    <x v="1"/>
  </r>
  <r>
    <x v="0"/>
    <x v="0"/>
    <x v="0"/>
    <x v="131"/>
    <s v="TO 12-3637- xxxx-00"/>
    <n v="-232.11"/>
    <x v="1"/>
    <x v="1"/>
    <x v="1"/>
  </r>
  <r>
    <x v="0"/>
    <x v="0"/>
    <x v="0"/>
    <x v="131"/>
    <s v="FC38-9016-xxxx-00 Sam KiwiBank"/>
    <n v="-1277.82"/>
    <x v="1"/>
    <x v="1"/>
    <x v="1"/>
  </r>
  <r>
    <x v="0"/>
    <x v="0"/>
    <x v="0"/>
    <x v="131"/>
    <s v="EX 12-3637- xxxx-00"/>
    <n v="112.98"/>
    <x v="1"/>
    <x v="1"/>
    <x v="1"/>
  </r>
  <r>
    <x v="0"/>
    <x v="0"/>
    <x v="0"/>
    <x v="131"/>
    <s v="TO CARD 1588  THANK YOU"/>
    <n v="-3.73"/>
    <x v="1"/>
    <x v="1"/>
    <x v="1"/>
  </r>
  <r>
    <x v="0"/>
    <x v="0"/>
    <x v="0"/>
    <x v="132"/>
    <s v="AIA Insurance SamMJ"/>
    <n v="62.09"/>
    <x v="1"/>
    <x v="1"/>
    <x v="1"/>
  </r>
  <r>
    <x v="0"/>
    <x v="0"/>
    <x v="0"/>
    <x v="132"/>
    <s v="TO CARD 1588  THANK YOU"/>
    <n v="-7.12"/>
    <x v="1"/>
    <x v="1"/>
    <x v="1"/>
  </r>
  <r>
    <x v="0"/>
    <x v="0"/>
    <x v="0"/>
    <x v="132"/>
    <s v="TO 12-3637- xxxx-00"/>
    <n v="-80.34"/>
    <x v="1"/>
    <x v="1"/>
    <x v="1"/>
  </r>
  <r>
    <x v="0"/>
    <x v="0"/>
    <x v="0"/>
    <x v="133"/>
    <s v="TO CARD 1588  THANK YOU"/>
    <n v="-20.16"/>
    <x v="1"/>
    <x v="1"/>
    <x v="1"/>
  </r>
  <r>
    <x v="0"/>
    <x v="0"/>
    <x v="0"/>
    <x v="134"/>
    <s v="EX 12-3637- xxxx-00 anz"/>
    <n v="355.31"/>
    <x v="1"/>
    <x v="1"/>
    <x v="1"/>
  </r>
  <r>
    <x v="0"/>
    <x v="0"/>
    <x v="0"/>
    <x v="134"/>
    <s v="EX 12-3637- xxxx-00"/>
    <n v="0.28000000000000003"/>
    <x v="1"/>
    <x v="1"/>
    <x v="1"/>
  </r>
  <r>
    <x v="0"/>
    <x v="0"/>
    <x v="0"/>
    <x v="135"/>
    <s v="MJ 8Denning TowerHouse Insurance"/>
    <n v="136.57"/>
    <x v="1"/>
    <x v="1"/>
    <x v="1"/>
  </r>
  <r>
    <x v="0"/>
    <x v="0"/>
    <x v="0"/>
    <x v="135"/>
    <s v="24 Panorama Tower H&amp;C Insurance"/>
    <n v="155.58000000000001"/>
    <x v="1"/>
    <x v="1"/>
    <x v="1"/>
  </r>
  <r>
    <x v="0"/>
    <x v="0"/>
    <x v="0"/>
    <x v="135"/>
    <s v="MJ 5B Tower H&amp;C Insurance"/>
    <n v="17.84"/>
    <x v="1"/>
    <x v="1"/>
    <x v="1"/>
  </r>
  <r>
    <x v="0"/>
    <x v="0"/>
    <x v="0"/>
    <x v="135"/>
    <s v="TO CARD 1588  THANK YOU"/>
    <n v="-52.99"/>
    <x v="1"/>
    <x v="1"/>
    <x v="1"/>
  </r>
  <r>
    <x v="0"/>
    <x v="0"/>
    <x v="0"/>
    <x v="136"/>
    <s v="MJ ANZ"/>
    <n v="1340.79"/>
    <x v="1"/>
    <x v="1"/>
    <x v="1"/>
  </r>
  <r>
    <x v="0"/>
    <x v="0"/>
    <x v="0"/>
    <x v="136"/>
    <s v="TO CARD 1588  THANK YOU"/>
    <n v="-15.7"/>
    <x v="1"/>
    <x v="1"/>
    <x v="1"/>
  </r>
  <r>
    <x v="0"/>
    <x v="0"/>
    <x v="0"/>
    <x v="136"/>
    <s v="FC38-9016-xxxx-00 Sam KiwiBank"/>
    <n v="-201.49"/>
    <x v="1"/>
    <x v="1"/>
    <x v="1"/>
  </r>
  <r>
    <x v="0"/>
    <x v="0"/>
    <x v="0"/>
    <x v="137"/>
    <s v="Electricity ContactEnrgy MJ 8Denning"/>
    <n v="227.23"/>
    <x v="1"/>
    <x v="1"/>
    <x v="1"/>
  </r>
  <r>
    <x v="0"/>
    <x v="0"/>
    <x v="0"/>
    <x v="137"/>
    <s v="TO CARD 1588  THANK YOU"/>
    <n v="-35.22"/>
    <x v="1"/>
    <x v="1"/>
    <x v="1"/>
  </r>
  <r>
    <x v="0"/>
    <x v="0"/>
    <x v="0"/>
    <x v="137"/>
    <s v="TO 12-3637- xxxx-00"/>
    <n v="-150.06"/>
    <x v="1"/>
    <x v="1"/>
    <x v="1"/>
  </r>
  <r>
    <x v="0"/>
    <x v="0"/>
    <x v="0"/>
    <x v="137"/>
    <s v="EX 12-3637- xxxx-00"/>
    <n v="5.3"/>
    <x v="1"/>
    <x v="1"/>
    <x v="1"/>
  </r>
  <r>
    <x v="0"/>
    <x v="0"/>
    <x v="0"/>
    <x v="137"/>
    <s v="FC12-3075-xxxx-02 StaffBidone MJ Alavi 64170"/>
    <n v="-247.37"/>
    <x v="0"/>
    <x v="0"/>
    <x v="0"/>
  </r>
  <r>
    <x v="0"/>
    <x v="0"/>
    <x v="0"/>
    <x v="138"/>
    <s v="EX 12-3637- xxxx-00"/>
    <n v="4.37"/>
    <x v="1"/>
    <x v="1"/>
    <x v="1"/>
  </r>
  <r>
    <x v="0"/>
    <x v="0"/>
    <x v="0"/>
    <x v="138"/>
    <s v="FC38-9016-xxxx-00 Sam KiwiBank"/>
    <n v="-37.11"/>
    <x v="1"/>
    <x v="1"/>
    <x v="1"/>
  </r>
  <r>
    <x v="0"/>
    <x v="0"/>
    <x v="0"/>
    <x v="139"/>
    <s v="TO CARD 1588  THANK YOU"/>
    <n v="-16.989999999999998"/>
    <x v="1"/>
    <x v="1"/>
    <x v="1"/>
  </r>
  <r>
    <x v="0"/>
    <x v="0"/>
    <x v="0"/>
    <x v="140"/>
    <s v="MJ ASB NetFlix 8Denning"/>
    <n v="15.48"/>
    <x v="1"/>
    <x v="1"/>
    <x v="1"/>
  </r>
  <r>
    <x v="0"/>
    <x v="0"/>
    <x v="0"/>
    <x v="141"/>
    <s v="akp5r2m0h08b 24PanoramaRo Rent myRent"/>
    <n v="15.55"/>
    <x v="2"/>
    <x v="2"/>
    <x v="2"/>
  </r>
  <r>
    <x v="0"/>
    <x v="0"/>
    <x v="0"/>
    <x v="141"/>
    <s v="FC38-9016-xxxx-00 Sam KiwiBank"/>
    <n v="-211.85"/>
    <x v="1"/>
    <x v="1"/>
    <x v="1"/>
  </r>
  <r>
    <x v="0"/>
    <x v="0"/>
    <x v="0"/>
    <x v="141"/>
    <s v="MJ ANZ"/>
    <n v="119.33"/>
    <x v="1"/>
    <x v="1"/>
    <x v="1"/>
  </r>
  <r>
    <x v="0"/>
    <x v="0"/>
    <x v="0"/>
    <x v="142"/>
    <s v="BY Seyed ALAVI TO CARD 1588"/>
    <n v="-46.1"/>
    <x v="1"/>
    <x v="1"/>
    <x v="1"/>
  </r>
  <r>
    <x v="0"/>
    <x v="0"/>
    <x v="0"/>
    <x v="142"/>
    <s v="TO 12-3637- xxxx-00"/>
    <n v="-434.29"/>
    <x v="1"/>
    <x v="1"/>
    <x v="1"/>
  </r>
  <r>
    <x v="0"/>
    <x v="0"/>
    <x v="0"/>
    <x v="142"/>
    <s v="EX 12-3637- xxxx-00"/>
    <n v="41.74"/>
    <x v="1"/>
    <x v="1"/>
    <x v="1"/>
  </r>
  <r>
    <x v="0"/>
    <x v="0"/>
    <x v="0"/>
    <x v="142"/>
    <s v="TO CARD 1588  THANK YOU"/>
    <n v="-26.7"/>
    <x v="1"/>
    <x v="1"/>
    <x v="1"/>
  </r>
  <r>
    <x v="0"/>
    <x v="0"/>
    <x v="0"/>
    <x v="142"/>
    <s v="FC12-3075-xxxx-00 somaye taebi"/>
    <n v="-17.87"/>
    <x v="1"/>
    <x v="1"/>
    <x v="1"/>
  </r>
  <r>
    <x v="0"/>
    <x v="0"/>
    <x v="0"/>
    <x v="142"/>
    <s v="FC01-0451-0097059-00 StatementNo 2635832 WM1211508"/>
    <n v="-0.77"/>
    <x v="4"/>
    <x v="12"/>
    <x v="12"/>
  </r>
  <r>
    <x v="0"/>
    <x v="0"/>
    <x v="0"/>
    <x v="142"/>
    <s v="EX 12-3637- xxxx-00"/>
    <n v="37.950000000000003"/>
    <x v="1"/>
    <x v="1"/>
    <x v="1"/>
  </r>
  <r>
    <x v="0"/>
    <x v="0"/>
    <x v="0"/>
    <x v="142"/>
    <s v="TO CARD 1588  THANK YOU"/>
    <n v="-10.94"/>
    <x v="1"/>
    <x v="1"/>
    <x v="1"/>
  </r>
  <r>
    <x v="0"/>
    <x v="0"/>
    <x v="0"/>
    <x v="142"/>
    <s v="TO CARD 1588  THANK YOU"/>
    <n v="-8.48"/>
    <x v="1"/>
    <x v="1"/>
    <x v="1"/>
  </r>
  <r>
    <x v="0"/>
    <x v="0"/>
    <x v="0"/>
    <x v="143"/>
    <s v="TO CARD 1588  THANK YOU"/>
    <n v="-28.91"/>
    <x v="1"/>
    <x v="1"/>
    <x v="1"/>
  </r>
  <r>
    <x v="0"/>
    <x v="0"/>
    <x v="0"/>
    <x v="143"/>
    <s v="Mobile MJ Skinny"/>
    <n v="0.1"/>
    <x v="1"/>
    <x v="1"/>
    <x v="1"/>
  </r>
  <r>
    <x v="0"/>
    <x v="0"/>
    <x v="0"/>
    <x v="144"/>
    <s v="TO CARD 1588  THANK YOU"/>
    <n v="-0.67"/>
    <x v="1"/>
    <x v="1"/>
    <x v="1"/>
  </r>
  <r>
    <x v="0"/>
    <x v="0"/>
    <x v="0"/>
    <x v="145"/>
    <s v="EX 12-3637- xxxx-00"/>
    <n v="58.75"/>
    <x v="1"/>
    <x v="1"/>
    <x v="1"/>
  </r>
  <r>
    <x v="0"/>
    <x v="0"/>
    <x v="0"/>
    <x v="145"/>
    <s v="TO CARD 1588  THANK YOU"/>
    <n v="-0.55000000000000004"/>
    <x v="1"/>
    <x v="1"/>
    <x v="1"/>
  </r>
  <r>
    <x v="0"/>
    <x v="0"/>
    <x v="0"/>
    <x v="146"/>
    <s v="MJ ANZ"/>
    <n v="428.6"/>
    <x v="1"/>
    <x v="1"/>
    <x v="1"/>
  </r>
  <r>
    <x v="0"/>
    <x v="0"/>
    <x v="0"/>
    <x v="147"/>
    <s v="FC12-3075-xxxx-02 StaffBidone MJ Alavi 64170"/>
    <n v="-347.5"/>
    <x v="0"/>
    <x v="0"/>
    <x v="0"/>
  </r>
  <r>
    <x v="0"/>
    <x v="0"/>
    <x v="0"/>
    <x v="147"/>
    <s v="TO 12-3637- xxxx-00"/>
    <n v="-24.11"/>
    <x v="1"/>
    <x v="1"/>
    <x v="1"/>
  </r>
  <r>
    <x v="0"/>
    <x v="0"/>
    <x v="0"/>
    <x v="147"/>
    <s v="TO CARD 1588  THANK YOU"/>
    <n v="-6.49"/>
    <x v="1"/>
    <x v="1"/>
    <x v="1"/>
  </r>
  <r>
    <x v="0"/>
    <x v="0"/>
    <x v="0"/>
    <x v="148"/>
    <s v="MJ 8Denning TowerContent Insurance"/>
    <n v="43.62"/>
    <x v="1"/>
    <x v="1"/>
    <x v="1"/>
  </r>
  <r>
    <x v="0"/>
    <x v="0"/>
    <x v="0"/>
    <x v="148"/>
    <s v="MJ Apple Cloud Storage"/>
    <n v="6.4"/>
    <x v="1"/>
    <x v="1"/>
    <x v="1"/>
  </r>
  <r>
    <x v="0"/>
    <x v="0"/>
    <x v="0"/>
    <x v="148"/>
    <s v="TO CARD 1588  THANK YOU"/>
    <n v="-65.13"/>
    <x v="1"/>
    <x v="1"/>
    <x v="1"/>
  </r>
  <r>
    <x v="0"/>
    <x v="0"/>
    <x v="0"/>
    <x v="149"/>
    <s v="Mobile Sam Skinny"/>
    <n v="13.81"/>
    <x v="1"/>
    <x v="1"/>
    <x v="1"/>
  </r>
  <r>
    <x v="0"/>
    <x v="0"/>
    <x v="0"/>
    <x v="149"/>
    <s v="TO CARD 1588  THANK YOU"/>
    <n v="-16.03"/>
    <x v="1"/>
    <x v="1"/>
    <x v="1"/>
  </r>
  <r>
    <x v="0"/>
    <x v="0"/>
    <x v="0"/>
    <x v="149"/>
    <s v="EX 12-3637- xxxx-00"/>
    <n v="75.05"/>
    <x v="1"/>
    <x v="1"/>
    <x v="1"/>
  </r>
  <r>
    <x v="0"/>
    <x v="0"/>
    <x v="0"/>
    <x v="149"/>
    <s v="TO CARD 1588  THANK YOU"/>
    <n v="-15.84"/>
    <x v="1"/>
    <x v="1"/>
    <x v="1"/>
  </r>
  <r>
    <x v="0"/>
    <x v="0"/>
    <x v="0"/>
    <x v="150"/>
    <s v="Water  MJ 8Denning"/>
    <n v="23.76"/>
    <x v="1"/>
    <x v="1"/>
    <x v="1"/>
  </r>
  <r>
    <x v="0"/>
    <x v="0"/>
    <x v="0"/>
    <x v="150"/>
    <s v="MJ Mobile US Phone Sam"/>
    <n v="14.49"/>
    <x v="1"/>
    <x v="1"/>
    <x v="1"/>
  </r>
  <r>
    <x v="0"/>
    <x v="0"/>
    <x v="0"/>
    <x v="151"/>
    <s v="TO CARD 1588  THANK YOU"/>
    <n v="-8.7200000000000006"/>
    <x v="1"/>
    <x v="1"/>
    <x v="1"/>
  </r>
  <r>
    <x v="0"/>
    <x v="0"/>
    <x v="0"/>
    <x v="152"/>
    <s v="akpi4060fbtd 24PanoramaRo Rent myRent"/>
    <n v="1253.07"/>
    <x v="2"/>
    <x v="2"/>
    <x v="2"/>
  </r>
  <r>
    <x v="0"/>
    <x v="0"/>
    <x v="0"/>
    <x v="152"/>
    <s v="FC38-9016-xxxx-00 Sam KiwiBank"/>
    <n v="-1125.02"/>
    <x v="1"/>
    <x v="1"/>
    <x v="1"/>
  </r>
  <r>
    <x v="0"/>
    <x v="0"/>
    <x v="0"/>
    <x v="152"/>
    <s v="TO CARD 1588  THANK YOU"/>
    <n v="-46.33"/>
    <x v="1"/>
    <x v="1"/>
    <x v="1"/>
  </r>
  <r>
    <x v="0"/>
    <x v="0"/>
    <x v="0"/>
    <x v="152"/>
    <s v="TO CARD 1588  THANK YOU"/>
    <n v="-63.39"/>
    <x v="1"/>
    <x v="1"/>
    <x v="1"/>
  </r>
  <r>
    <x v="0"/>
    <x v="0"/>
    <x v="0"/>
    <x v="152"/>
    <s v="EX 12-3637- xxxx-00"/>
    <n v="25.58"/>
    <x v="1"/>
    <x v="1"/>
    <x v="1"/>
  </r>
  <r>
    <x v="0"/>
    <x v="0"/>
    <x v="0"/>
    <x v="152"/>
    <s v="FC38-9016-xxxx-00 Sam KiwiBank"/>
    <n v="-113.37"/>
    <x v="1"/>
    <x v="1"/>
    <x v="1"/>
  </r>
  <r>
    <x v="0"/>
    <x v="0"/>
    <x v="0"/>
    <x v="153"/>
    <s v="TO CARD 1588  THANK YOU"/>
    <n v="-2.2599999999999998"/>
    <x v="1"/>
    <x v="1"/>
    <x v="1"/>
  </r>
  <r>
    <x v="0"/>
    <x v="0"/>
    <x v="0"/>
    <x v="154"/>
    <s v="TO CARD 1588  THANK YOU"/>
    <n v="-12.5"/>
    <x v="1"/>
    <x v="1"/>
    <x v="1"/>
  </r>
  <r>
    <x v="0"/>
    <x v="0"/>
    <x v="0"/>
    <x v="155"/>
    <s v="AIA Insurance SamMJ"/>
    <n v="76.83"/>
    <x v="1"/>
    <x v="1"/>
    <x v="1"/>
  </r>
  <r>
    <x v="0"/>
    <x v="0"/>
    <x v="0"/>
    <x v="156"/>
    <s v="TO CARD 1588  THANK YOU"/>
    <n v="-0.59"/>
    <x v="1"/>
    <x v="1"/>
    <x v="1"/>
  </r>
  <r>
    <x v="0"/>
    <x v="0"/>
    <x v="0"/>
    <x v="156"/>
    <s v="MJ ANZ"/>
    <n v="53.18"/>
    <x v="1"/>
    <x v="1"/>
    <x v="1"/>
  </r>
  <r>
    <x v="0"/>
    <x v="0"/>
    <x v="0"/>
    <x v="156"/>
    <s v="FC12-3075-xxxx-02 StaffBidone MJ Alavi 64170"/>
    <n v="-234.91"/>
    <x v="0"/>
    <x v="0"/>
    <x v="0"/>
  </r>
  <r>
    <x v="0"/>
    <x v="0"/>
    <x v="0"/>
    <x v="156"/>
    <s v="TO CARD 1588  THANK YOU"/>
    <n v="-27.37"/>
    <x v="1"/>
    <x v="1"/>
    <x v="1"/>
  </r>
  <r>
    <x v="0"/>
    <x v="0"/>
    <x v="0"/>
    <x v="157"/>
    <s v="TO CARD 1588  THANK YOU"/>
    <n v="-0.66"/>
    <x v="1"/>
    <x v="1"/>
    <x v="1"/>
  </r>
  <r>
    <x v="0"/>
    <x v="0"/>
    <x v="0"/>
    <x v="157"/>
    <s v="TO CARD 1588  THANK YOU"/>
    <n v="-9.8800000000000008"/>
    <x v="1"/>
    <x v="1"/>
    <x v="1"/>
  </r>
  <r>
    <x v="0"/>
    <x v="0"/>
    <x v="0"/>
    <x v="158"/>
    <s v="MJ 8Denning TowerHouse Insurance"/>
    <n v="116.4"/>
    <x v="1"/>
    <x v="1"/>
    <x v="1"/>
  </r>
  <r>
    <x v="0"/>
    <x v="0"/>
    <x v="0"/>
    <x v="158"/>
    <s v="24 Panorama Tower H&amp;C Insurance"/>
    <n v="86.93"/>
    <x v="1"/>
    <x v="1"/>
    <x v="1"/>
  </r>
  <r>
    <x v="0"/>
    <x v="0"/>
    <x v="0"/>
    <x v="158"/>
    <s v="MJ 5B Tower H&amp;C Insurance"/>
    <n v="47.53"/>
    <x v="1"/>
    <x v="1"/>
    <x v="1"/>
  </r>
  <r>
    <x v="0"/>
    <x v="0"/>
    <x v="0"/>
    <x v="159"/>
    <s v="TO 12-3637- xxxx-00"/>
    <n v="-60.72"/>
    <x v="1"/>
    <x v="1"/>
    <x v="1"/>
  </r>
  <r>
    <x v="0"/>
    <x v="0"/>
    <x v="0"/>
    <x v="159"/>
    <s v="EX 12-3637- xxxx-00"/>
    <n v="17.41"/>
    <x v="1"/>
    <x v="1"/>
    <x v="1"/>
  </r>
  <r>
    <x v="0"/>
    <x v="0"/>
    <x v="0"/>
    <x v="159"/>
    <s v="FC38-9016-xxxx-00 Sam KiwiBank"/>
    <n v="-274.35000000000002"/>
    <x v="1"/>
    <x v="1"/>
    <x v="1"/>
  </r>
  <r>
    <x v="0"/>
    <x v="0"/>
    <x v="0"/>
    <x v="159"/>
    <s v="TO CARD 1588  THANK YOU"/>
    <n v="-24.19"/>
    <x v="1"/>
    <x v="1"/>
    <x v="1"/>
  </r>
  <r>
    <x v="0"/>
    <x v="0"/>
    <x v="0"/>
    <x v="160"/>
    <s v="EX 12-3637- xxxx-00"/>
    <n v="126.85"/>
    <x v="1"/>
    <x v="1"/>
    <x v="1"/>
  </r>
  <r>
    <x v="0"/>
    <x v="0"/>
    <x v="0"/>
    <x v="160"/>
    <s v="BILL PAYMENT TO Sam KiwiBank"/>
    <n v="-33.82"/>
    <x v="1"/>
    <x v="1"/>
    <x v="1"/>
  </r>
  <r>
    <x v="0"/>
    <x v="0"/>
    <x v="0"/>
    <x v="160"/>
    <s v="Electricity ContactEnrgy MJ 8Denning"/>
    <n v="36.869999999999997"/>
    <x v="1"/>
    <x v="1"/>
    <x v="1"/>
  </r>
  <r>
    <x v="0"/>
    <x v="0"/>
    <x v="0"/>
    <x v="160"/>
    <s v="TO 12-3637- xxxx-00"/>
    <n v="-210.74"/>
    <x v="1"/>
    <x v="1"/>
    <x v="1"/>
  </r>
  <r>
    <x v="0"/>
    <x v="0"/>
    <x v="0"/>
    <x v="160"/>
    <s v="EX 12-3637- xxxx-00"/>
    <n v="79.41"/>
    <x v="1"/>
    <x v="1"/>
    <x v="1"/>
  </r>
  <r>
    <x v="0"/>
    <x v="0"/>
    <x v="0"/>
    <x v="160"/>
    <s v="BILL PAYMENT TO Sam KiwiBank"/>
    <n v="-248.91"/>
    <x v="1"/>
    <x v="1"/>
    <x v="1"/>
  </r>
  <r>
    <x v="0"/>
    <x v="0"/>
    <x v="0"/>
    <x v="161"/>
    <s v="TO CARD 1588  THANK YOU"/>
    <n v="-45.66"/>
    <x v="1"/>
    <x v="1"/>
    <x v="1"/>
  </r>
  <r>
    <x v="0"/>
    <x v="0"/>
    <x v="0"/>
    <x v="162"/>
    <s v="akpxz0c0yz57 24PanoramaRo Rent myRent"/>
    <n v="187.39"/>
    <x v="2"/>
    <x v="2"/>
    <x v="2"/>
  </r>
  <r>
    <x v="0"/>
    <x v="0"/>
    <x v="0"/>
    <x v="162"/>
    <s v="TO CARD 1588  THANK YOU"/>
    <n v="-157.13"/>
    <x v="1"/>
    <x v="1"/>
    <x v="1"/>
  </r>
  <r>
    <x v="0"/>
    <x v="0"/>
    <x v="0"/>
    <x v="162"/>
    <s v="BILL PAYMENT TO Sam KiwiBank"/>
    <n v="-1169.33"/>
    <x v="1"/>
    <x v="1"/>
    <x v="1"/>
  </r>
  <r>
    <x v="0"/>
    <x v="0"/>
    <x v="0"/>
    <x v="162"/>
    <s v="MJ ANZ"/>
    <n v="317.86"/>
    <x v="1"/>
    <x v="1"/>
    <x v="1"/>
  </r>
  <r>
    <x v="0"/>
    <x v="0"/>
    <x v="0"/>
    <x v="162"/>
    <s v="TO 12-3637- xxxx-00"/>
    <n v="-422.79"/>
    <x v="1"/>
    <x v="1"/>
    <x v="1"/>
  </r>
  <r>
    <x v="0"/>
    <x v="0"/>
    <x v="0"/>
    <x v="163"/>
    <s v="TO CARD 1588  THANK YOU"/>
    <n v="-4.0199999999999996"/>
    <x v="1"/>
    <x v="1"/>
    <x v="1"/>
  </r>
  <r>
    <x v="0"/>
    <x v="0"/>
    <x v="0"/>
    <x v="164"/>
    <s v="MJ ASB NetFlix 8Denning"/>
    <n v="6.66"/>
    <x v="1"/>
    <x v="1"/>
    <x v="1"/>
  </r>
  <r>
    <x v="0"/>
    <x v="0"/>
    <x v="0"/>
    <x v="164"/>
    <s v="Mobile MJ Skinny"/>
    <n v="12.86"/>
    <x v="1"/>
    <x v="1"/>
    <x v="1"/>
  </r>
  <r>
    <x v="0"/>
    <x v="0"/>
    <x v="0"/>
    <x v="165"/>
    <s v="TO CARD 1588  THANK YOU"/>
    <n v="-7.78"/>
    <x v="1"/>
    <x v="1"/>
    <x v="1"/>
  </r>
  <r>
    <x v="0"/>
    <x v="0"/>
    <x v="0"/>
    <x v="166"/>
    <s v="TO CARD 1588  THANK YOU"/>
    <n v="-94.7"/>
    <x v="1"/>
    <x v="1"/>
    <x v="1"/>
  </r>
  <r>
    <x v="0"/>
    <x v="0"/>
    <x v="0"/>
    <x v="167"/>
    <s v="EX 12-3637- xxxx-00"/>
    <n v="134.56"/>
    <x v="1"/>
    <x v="1"/>
    <x v="1"/>
  </r>
  <r>
    <x v="0"/>
    <x v="0"/>
    <x v="0"/>
    <x v="167"/>
    <s v="BILL PAYMENT TO Sam KiwiBank"/>
    <n v="-111.5"/>
    <x v="1"/>
    <x v="1"/>
    <x v="1"/>
  </r>
  <r>
    <x v="0"/>
    <x v="0"/>
    <x v="0"/>
    <x v="167"/>
    <s v="EX 12-3637- xxxx-00"/>
    <n v="195.03"/>
    <x v="1"/>
    <x v="1"/>
    <x v="1"/>
  </r>
  <r>
    <x v="0"/>
    <x v="0"/>
    <x v="0"/>
    <x v="167"/>
    <s v="TO CARD 1588  THANK YOU"/>
    <n v="-9.2200000000000006"/>
    <x v="1"/>
    <x v="1"/>
    <x v="1"/>
  </r>
  <r>
    <x v="0"/>
    <x v="0"/>
    <x v="0"/>
    <x v="167"/>
    <s v="BILL PAYMENT TO Sam KiwiBank"/>
    <n v="-33.590000000000003"/>
    <x v="1"/>
    <x v="1"/>
    <x v="1"/>
  </r>
  <r>
    <x v="0"/>
    <x v="0"/>
    <x v="0"/>
    <x v="168"/>
    <s v="MJ ANZ"/>
    <n v="139.18"/>
    <x v="1"/>
    <x v="1"/>
    <x v="1"/>
  </r>
  <r>
    <x v="0"/>
    <x v="0"/>
    <x v="0"/>
    <x v="169"/>
    <s v="TO CARD 1588  THANK YOU"/>
    <n v="-8.65"/>
    <x v="1"/>
    <x v="1"/>
    <x v="1"/>
  </r>
  <r>
    <x v="0"/>
    <x v="0"/>
    <x v="0"/>
    <x v="170"/>
    <s v="TO CARD 1588  THANK YOU"/>
    <n v="-12.88"/>
    <x v="1"/>
    <x v="1"/>
    <x v="1"/>
  </r>
  <r>
    <x v="0"/>
    <x v="0"/>
    <x v="0"/>
    <x v="171"/>
    <s v="TO CARD 1588  THANK YOU"/>
    <n v="-58.37"/>
    <x v="1"/>
    <x v="1"/>
    <x v="1"/>
  </r>
  <r>
    <x v="0"/>
    <x v="0"/>
    <x v="0"/>
    <x v="171"/>
    <s v="Mobile Sam Skinny"/>
    <n v="15.09"/>
    <x v="1"/>
    <x v="1"/>
    <x v="1"/>
  </r>
  <r>
    <x v="0"/>
    <x v="0"/>
    <x v="0"/>
    <x v="171"/>
    <s v="TO CARD 1588  THANK YOU"/>
    <n v="-6.69"/>
    <x v="1"/>
    <x v="1"/>
    <x v="1"/>
  </r>
  <r>
    <x v="0"/>
    <x v="0"/>
    <x v="0"/>
    <x v="171"/>
    <s v="TO CARD 1588  THANK YOU"/>
    <n v="-77.010000000000005"/>
    <x v="1"/>
    <x v="1"/>
    <x v="1"/>
  </r>
  <r>
    <x v="0"/>
    <x v="0"/>
    <x v="0"/>
    <x v="172"/>
    <s v="MJ 8Denning TowerContent Insurance"/>
    <n v="58.14"/>
    <x v="1"/>
    <x v="1"/>
    <x v="1"/>
  </r>
  <r>
    <x v="0"/>
    <x v="0"/>
    <x v="0"/>
    <x v="172"/>
    <s v="MJ Apple Cloud Storage"/>
    <n v="15.24"/>
    <x v="1"/>
    <x v="1"/>
    <x v="1"/>
  </r>
  <r>
    <x v="0"/>
    <x v="0"/>
    <x v="0"/>
    <x v="172"/>
    <s v="TO CARD 1588  THANK YOU"/>
    <n v="-43.99"/>
    <x v="1"/>
    <x v="1"/>
    <x v="1"/>
  </r>
  <r>
    <x v="0"/>
    <x v="0"/>
    <x v="0"/>
    <x v="173"/>
    <m/>
    <n v="20.46"/>
    <x v="1"/>
    <x v="1"/>
    <x v="1"/>
  </r>
  <r>
    <x v="0"/>
    <x v="0"/>
    <x v="0"/>
    <x v="173"/>
    <s v="TO CARD 1588  THANK YOU"/>
    <n v="-245.47"/>
    <x v="1"/>
    <x v="1"/>
    <x v="1"/>
  </r>
  <r>
    <x v="0"/>
    <x v="0"/>
    <x v="0"/>
    <x v="174"/>
    <s v="MJ Mobile US Phone Sam"/>
    <n v="7.29"/>
    <x v="1"/>
    <x v="1"/>
    <x v="1"/>
  </r>
  <r>
    <x v="0"/>
    <x v="0"/>
    <x v="0"/>
    <x v="174"/>
    <s v="Water  MJ 8Denning"/>
    <n v="13.29"/>
    <x v="1"/>
    <x v="1"/>
    <x v="1"/>
  </r>
  <r>
    <x v="0"/>
    <x v="0"/>
    <x v="0"/>
    <x v="174"/>
    <s v="akp0x0h08x06 24PanoramaRo Rent myRent"/>
    <n v="17.23"/>
    <x v="2"/>
    <x v="2"/>
    <x v="2"/>
  </r>
  <r>
    <x v="0"/>
    <x v="0"/>
    <x v="0"/>
    <x v="174"/>
    <s v="BILL PAYMENT TO Sam KiwiBank"/>
    <n v="-1823.42"/>
    <x v="1"/>
    <x v="1"/>
    <x v="1"/>
  </r>
  <r>
    <x v="0"/>
    <x v="0"/>
    <x v="0"/>
    <x v="175"/>
    <s v="TO CARD 1588  THANK YOU"/>
    <n v="-8.58"/>
    <x v="1"/>
    <x v="1"/>
    <x v="1"/>
  </r>
  <r>
    <x v="0"/>
    <x v="0"/>
    <x v="0"/>
    <x v="176"/>
    <s v="TO CARD 1588  THANK YOU"/>
    <n v="-11.19"/>
    <x v="1"/>
    <x v="1"/>
    <x v="1"/>
  </r>
  <r>
    <x v="0"/>
    <x v="0"/>
    <x v="0"/>
    <x v="176"/>
    <s v="TO CARD 1588  THANK YOU"/>
    <n v="-29.45"/>
    <x v="1"/>
    <x v="1"/>
    <x v="1"/>
  </r>
  <r>
    <x v="0"/>
    <x v="0"/>
    <x v="0"/>
    <x v="177"/>
    <s v="TO CARD 1588  THANK YOU"/>
    <n v="-23.44"/>
    <x v="1"/>
    <x v="1"/>
    <x v="1"/>
  </r>
  <r>
    <x v="0"/>
    <x v="0"/>
    <x v="0"/>
    <x v="177"/>
    <s v="TO CARD 1588  THANK YOU"/>
    <n v="-51.78"/>
    <x v="1"/>
    <x v="1"/>
    <x v="1"/>
  </r>
  <r>
    <x v="0"/>
    <x v="0"/>
    <x v="0"/>
    <x v="177"/>
    <m/>
    <n v="134.37"/>
    <x v="1"/>
    <x v="1"/>
    <x v="1"/>
  </r>
  <r>
    <x v="0"/>
    <x v="0"/>
    <x v="0"/>
    <x v="178"/>
    <s v="TO CARD 1588  THANK YOU"/>
    <n v="-44"/>
    <x v="1"/>
    <x v="1"/>
    <x v="1"/>
  </r>
  <r>
    <x v="0"/>
    <x v="0"/>
    <x v="0"/>
    <x v="179"/>
    <s v="AIA Insurance SamMJ"/>
    <n v="105.54"/>
    <x v="1"/>
    <x v="1"/>
    <x v="1"/>
  </r>
  <r>
    <x v="0"/>
    <x v="0"/>
    <x v="0"/>
    <x v="179"/>
    <s v="TO CARD 1588  THANK YOU"/>
    <n v="-8.24"/>
    <x v="1"/>
    <x v="1"/>
    <x v="1"/>
  </r>
  <r>
    <x v="0"/>
    <x v="0"/>
    <x v="0"/>
    <x v="180"/>
    <s v="TO CARD 1588  THANK YOU"/>
    <n v="-12.59"/>
    <x v="1"/>
    <x v="1"/>
    <x v="1"/>
  </r>
  <r>
    <x v="0"/>
    <x v="0"/>
    <x v="0"/>
    <x v="181"/>
    <s v="MJ 8Denning TowerHouse Insurance"/>
    <n v="74.41"/>
    <x v="1"/>
    <x v="1"/>
    <x v="1"/>
  </r>
  <r>
    <x v="0"/>
    <x v="0"/>
    <x v="0"/>
    <x v="181"/>
    <s v="24 Panorama Tower H&amp;C Insurance"/>
    <n v="0.56000000000000005"/>
    <x v="1"/>
    <x v="1"/>
    <x v="1"/>
  </r>
  <r>
    <x v="0"/>
    <x v="0"/>
    <x v="0"/>
    <x v="181"/>
    <s v="MJ 5B Tower H&amp;C Insurance"/>
    <n v="24.96"/>
    <x v="1"/>
    <x v="1"/>
    <x v="1"/>
  </r>
  <r>
    <x v="0"/>
    <x v="0"/>
    <x v="0"/>
    <x v="182"/>
    <s v="TO CARD 1588  THANK YOU"/>
    <n v="-42.22"/>
    <x v="1"/>
    <x v="1"/>
    <x v="1"/>
  </r>
  <r>
    <x v="0"/>
    <x v="0"/>
    <x v="0"/>
    <x v="183"/>
    <s v="TO 12-3637- xxxx-00"/>
    <n v="-136.97"/>
    <x v="1"/>
    <x v="1"/>
    <x v="1"/>
  </r>
  <r>
    <x v="0"/>
    <x v="0"/>
    <x v="0"/>
    <x v="183"/>
    <s v="BILL PAYMENT TO Sam KiwiBank"/>
    <n v="-84.66"/>
    <x v="1"/>
    <x v="1"/>
    <x v="1"/>
  </r>
  <r>
    <x v="0"/>
    <x v="0"/>
    <x v="0"/>
    <x v="183"/>
    <s v="Electricity ContactEnrgy MJ 8Denning"/>
    <n v="54.01"/>
    <x v="1"/>
    <x v="1"/>
    <x v="1"/>
  </r>
  <r>
    <x v="0"/>
    <x v="0"/>
    <x v="0"/>
    <x v="183"/>
    <s v="akphi040jwmu 24PanoramaRo Rent myRent"/>
    <n v="1558.99"/>
    <x v="2"/>
    <x v="2"/>
    <x v="2"/>
  </r>
  <r>
    <x v="0"/>
    <x v="0"/>
    <x v="0"/>
    <x v="183"/>
    <s v="BILL PAYMENT TO Sam KiwiBank"/>
    <n v="-74.319999999999993"/>
    <x v="1"/>
    <x v="1"/>
    <x v="1"/>
  </r>
  <r>
    <x v="0"/>
    <x v="0"/>
    <x v="0"/>
    <x v="184"/>
    <s v="TO CARD 1588  THANK YOU"/>
    <n v="-0.71"/>
    <x v="1"/>
    <x v="1"/>
    <x v="1"/>
  </r>
  <r>
    <x v="0"/>
    <x v="0"/>
    <x v="0"/>
    <x v="185"/>
    <s v="Mobile MJ Skinny"/>
    <n v="1.17"/>
    <x v="1"/>
    <x v="1"/>
    <x v="1"/>
  </r>
  <r>
    <x v="0"/>
    <x v="0"/>
    <x v="0"/>
    <x v="186"/>
    <s v="MJ ASB NetFlix 8Denning"/>
    <n v="20.99"/>
    <x v="1"/>
    <x v="1"/>
    <x v="1"/>
  </r>
  <r>
    <x v="0"/>
    <x v="0"/>
    <x v="0"/>
    <x v="187"/>
    <s v="TO CARD 1588  THANK YOU"/>
    <n v="-19.11"/>
    <x v="1"/>
    <x v="1"/>
    <x v="1"/>
  </r>
  <r>
    <x v="0"/>
    <x v="0"/>
    <x v="0"/>
    <x v="188"/>
    <s v="EX 12-3637- xxxx-00"/>
    <n v="31.4"/>
    <x v="1"/>
    <x v="1"/>
    <x v="1"/>
  </r>
  <r>
    <x v="0"/>
    <x v="0"/>
    <x v="0"/>
    <x v="188"/>
    <s v="BY Seyed ALAVI TO CARD 1588"/>
    <n v="-10.33"/>
    <x v="1"/>
    <x v="1"/>
    <x v="1"/>
  </r>
  <r>
    <x v="0"/>
    <x v="0"/>
    <x v="0"/>
    <x v="188"/>
    <s v="TO CARD 1588  THANK YOU"/>
    <n v="-29.49"/>
    <x v="1"/>
    <x v="1"/>
    <x v="1"/>
  </r>
  <r>
    <x v="0"/>
    <x v="0"/>
    <x v="0"/>
    <x v="189"/>
    <s v="TO CARD 1588  THANK YOU"/>
    <n v="-3.27"/>
    <x v="1"/>
    <x v="1"/>
    <x v="1"/>
  </r>
  <r>
    <x v="0"/>
    <x v="0"/>
    <x v="0"/>
    <x v="189"/>
    <s v="TO CARD 1588  THANK YOU"/>
    <n v="-0.42"/>
    <x v="1"/>
    <x v="1"/>
    <x v="1"/>
  </r>
  <r>
    <x v="0"/>
    <x v="0"/>
    <x v="0"/>
    <x v="189"/>
    <s v="Mobile Sam Skinny"/>
    <n v="13.92"/>
    <x v="1"/>
    <x v="1"/>
    <x v="1"/>
  </r>
  <r>
    <x v="0"/>
    <x v="0"/>
    <x v="0"/>
    <x v="190"/>
    <s v="TO CARD 1588  THANK YOU"/>
    <n v="-40.69"/>
    <x v="1"/>
    <x v="1"/>
    <x v="1"/>
  </r>
  <r>
    <x v="0"/>
    <x v="0"/>
    <x v="0"/>
    <x v="191"/>
    <s v="EX 12-3637- xxxx-00"/>
    <n v="20.78"/>
    <x v="1"/>
    <x v="1"/>
    <x v="1"/>
  </r>
  <r>
    <x v="0"/>
    <x v="0"/>
    <x v="0"/>
    <x v="191"/>
    <s v="TO CARD 1588  THANK YOU"/>
    <n v="-24.51"/>
    <x v="1"/>
    <x v="1"/>
    <x v="1"/>
  </r>
  <r>
    <x v="0"/>
    <x v="0"/>
    <x v="0"/>
    <x v="191"/>
    <s v="MJ ANZ"/>
    <n v="219.41"/>
    <x v="1"/>
    <x v="1"/>
    <x v="1"/>
  </r>
  <r>
    <x v="0"/>
    <x v="0"/>
    <x v="0"/>
    <x v="191"/>
    <s v="TO CARD 1588  THANK YOU"/>
    <n v="-28.64"/>
    <x v="1"/>
    <x v="1"/>
    <x v="1"/>
  </r>
  <r>
    <x v="0"/>
    <x v="0"/>
    <x v="0"/>
    <x v="192"/>
    <s v="TO CARD 1588  THANK YOU"/>
    <n v="-2.0699999999999998"/>
    <x v="1"/>
    <x v="1"/>
    <x v="1"/>
  </r>
  <r>
    <x v="0"/>
    <x v="0"/>
    <x v="0"/>
    <x v="192"/>
    <s v="MJ Apple Cloud Storage"/>
    <n v="16.37"/>
    <x v="1"/>
    <x v="1"/>
    <x v="1"/>
  </r>
  <r>
    <x v="0"/>
    <x v="0"/>
    <x v="0"/>
    <x v="192"/>
    <s v="MJ 8Denning TowerContent Insurance"/>
    <n v="14.22"/>
    <x v="1"/>
    <x v="1"/>
    <x v="1"/>
  </r>
  <r>
    <x v="0"/>
    <x v="0"/>
    <x v="0"/>
    <x v="192"/>
    <s v="akpua2o07dxl 24PanoramaRo Rent myRent"/>
    <n v="501.53"/>
    <x v="2"/>
    <x v="2"/>
    <x v="2"/>
  </r>
  <r>
    <x v="0"/>
    <x v="0"/>
    <x v="0"/>
    <x v="192"/>
    <s v="TO CARD 1588  THANK YOU"/>
    <n v="-11.95"/>
    <x v="1"/>
    <x v="1"/>
    <x v="1"/>
  </r>
  <r>
    <x v="0"/>
    <x v="0"/>
    <x v="0"/>
    <x v="192"/>
    <s v="BILL PAYMENT TO Sam KiwiBank"/>
    <n v="-1832.92"/>
    <x v="1"/>
    <x v="1"/>
    <x v="1"/>
  </r>
  <r>
    <x v="0"/>
    <x v="0"/>
    <x v="0"/>
    <x v="193"/>
    <s v="TO CARD 1588  THANK YOU"/>
    <n v="-26.98"/>
    <x v="1"/>
    <x v="1"/>
    <x v="1"/>
  </r>
  <r>
    <x v="0"/>
    <x v="0"/>
    <x v="0"/>
    <x v="193"/>
    <m/>
    <n v="91398.45"/>
    <x v="1"/>
    <x v="1"/>
    <x v="1"/>
  </r>
  <r>
    <x v="0"/>
    <x v="0"/>
    <x v="0"/>
    <x v="194"/>
    <s v="TO CARD 1588  THANK YOU"/>
    <n v="-0.38"/>
    <x v="1"/>
    <x v="1"/>
    <x v="1"/>
  </r>
  <r>
    <x v="0"/>
    <x v="0"/>
    <x v="0"/>
    <x v="194"/>
    <s v="BILL PAYMENT TO Sam KiwiBank"/>
    <n v="-71933.02"/>
    <x v="1"/>
    <x v="1"/>
    <x v="1"/>
  </r>
  <r>
    <x v="0"/>
    <x v="0"/>
    <x v="0"/>
    <x v="194"/>
    <s v="Water  MJ 8Denning"/>
    <n v="143.6"/>
    <x v="1"/>
    <x v="1"/>
    <x v="1"/>
  </r>
  <r>
    <x v="0"/>
    <x v="0"/>
    <x v="0"/>
    <x v="194"/>
    <s v="MJ Mobile US Phone Sam"/>
    <n v="16.82"/>
    <x v="1"/>
    <x v="1"/>
    <x v="1"/>
  </r>
  <r>
    <x v="0"/>
    <x v="0"/>
    <x v="0"/>
    <x v="195"/>
    <s v="TO CARD 1588  THANK YOU"/>
    <n v="-291.76"/>
    <x v="1"/>
    <x v="1"/>
    <x v="1"/>
  </r>
  <r>
    <x v="0"/>
    <x v="0"/>
    <x v="0"/>
    <x v="196"/>
    <s v="TO CARD 1588  THANK YOU"/>
    <n v="-2"/>
    <x v="1"/>
    <x v="1"/>
    <x v="1"/>
  </r>
  <r>
    <x v="0"/>
    <x v="0"/>
    <x v="0"/>
    <x v="197"/>
    <s v="TO CARD 1588  THANK YOU"/>
    <n v="-0.19"/>
    <x v="1"/>
    <x v="1"/>
    <x v="1"/>
  </r>
  <r>
    <x v="0"/>
    <x v="0"/>
    <x v="0"/>
    <x v="197"/>
    <m/>
    <n v="728.44"/>
    <x v="1"/>
    <x v="1"/>
    <x v="1"/>
  </r>
  <r>
    <x v="0"/>
    <x v="0"/>
    <x v="0"/>
    <x v="197"/>
    <s v="IMT USD 250.00 BOA  Sam Taebi"/>
    <n v="-491.64"/>
    <x v="1"/>
    <x v="1"/>
    <x v="1"/>
  </r>
  <r>
    <x v="0"/>
    <x v="0"/>
    <x v="0"/>
    <x v="197"/>
    <s v="TO CARD 1588  THANK YOU"/>
    <n v="-3.13"/>
    <x v="1"/>
    <x v="1"/>
    <x v="1"/>
  </r>
  <r>
    <x v="0"/>
    <x v="0"/>
    <x v="0"/>
    <x v="198"/>
    <s v="NTRFFEE  240110003840"/>
    <n v="-10.28"/>
    <x v="5"/>
    <x v="7"/>
    <x v="7"/>
  </r>
  <r>
    <x v="0"/>
    <x v="0"/>
    <x v="0"/>
    <x v="198"/>
    <s v="TO CARD 1588  THANK YOU"/>
    <n v="-2.96"/>
    <x v="1"/>
    <x v="1"/>
    <x v="1"/>
  </r>
  <r>
    <x v="0"/>
    <x v="0"/>
    <x v="0"/>
    <x v="199"/>
    <s v="MJ ANZ"/>
    <n v="439.32"/>
    <x v="1"/>
    <x v="1"/>
    <x v="1"/>
  </r>
  <r>
    <x v="0"/>
    <x v="0"/>
    <x v="0"/>
    <x v="199"/>
    <s v="BILL PAYMENT TO StaffBidone MJ Alavi 64170"/>
    <n v="-300.83"/>
    <x v="0"/>
    <x v="0"/>
    <x v="0"/>
  </r>
  <r>
    <x v="0"/>
    <x v="0"/>
    <x v="0"/>
    <x v="200"/>
    <s v="TO CARD 1588  THANK YOU"/>
    <n v="-114.42"/>
    <x v="1"/>
    <x v="1"/>
    <x v="1"/>
  </r>
  <r>
    <x v="0"/>
    <x v="0"/>
    <x v="0"/>
    <x v="201"/>
    <s v="AIA Insurance SamMJ"/>
    <n v="119.56"/>
    <x v="1"/>
    <x v="1"/>
    <x v="1"/>
  </r>
  <r>
    <x v="0"/>
    <x v="0"/>
    <x v="0"/>
    <x v="202"/>
    <m/>
    <n v="293"/>
    <x v="1"/>
    <x v="1"/>
    <x v="1"/>
  </r>
  <r>
    <x v="0"/>
    <x v="0"/>
    <x v="0"/>
    <x v="203"/>
    <s v="D/D IIT 111811989 252205952"/>
    <n v="-527.49"/>
    <x v="5"/>
    <x v="7"/>
    <x v="13"/>
  </r>
  <r>
    <x v="0"/>
    <x v="0"/>
    <x v="0"/>
    <x v="204"/>
    <s v="TO CARD 1588  THANK YOU"/>
    <n v="-0.56999999999999995"/>
    <x v="1"/>
    <x v="1"/>
    <x v="1"/>
  </r>
  <r>
    <x v="0"/>
    <x v="0"/>
    <x v="0"/>
    <x v="204"/>
    <s v="TO CARD 1588  THANK YOU"/>
    <n v="-0.95"/>
    <x v="1"/>
    <x v="1"/>
    <x v="1"/>
  </r>
  <r>
    <x v="0"/>
    <x v="0"/>
    <x v="0"/>
    <x v="205"/>
    <s v="TO CARD 1588  THANK YOU"/>
    <n v="-11.8"/>
    <x v="1"/>
    <x v="1"/>
    <x v="1"/>
  </r>
  <r>
    <x v="0"/>
    <x v="0"/>
    <x v="0"/>
    <x v="205"/>
    <s v="akpt522058ic 24PanoramaRo Rent myRent"/>
    <n v="522.66"/>
    <x v="2"/>
    <x v="2"/>
    <x v="2"/>
  </r>
  <r>
    <x v="0"/>
    <x v="0"/>
    <x v="0"/>
    <x v="205"/>
    <s v="BILL PAYMENT TO Sam KiwiBank"/>
    <n v="-1739.58"/>
    <x v="1"/>
    <x v="1"/>
    <x v="1"/>
  </r>
  <r>
    <x v="0"/>
    <x v="0"/>
    <x v="0"/>
    <x v="206"/>
    <s v="MJ 8Denning TowerHouse Insurance"/>
    <n v="171.27"/>
    <x v="1"/>
    <x v="1"/>
    <x v="1"/>
  </r>
  <r>
    <x v="0"/>
    <x v="0"/>
    <x v="0"/>
    <x v="206"/>
    <s v="24 Panorama Tower H&amp;C Insurance"/>
    <n v="79.7"/>
    <x v="1"/>
    <x v="1"/>
    <x v="1"/>
  </r>
  <r>
    <x v="0"/>
    <x v="0"/>
    <x v="0"/>
    <x v="206"/>
    <s v="MJ 5B Tower H&amp;C Insurance"/>
    <n v="81.38"/>
    <x v="1"/>
    <x v="1"/>
    <x v="1"/>
  </r>
  <r>
    <x v="0"/>
    <x v="0"/>
    <x v="0"/>
    <x v="206"/>
    <s v="TO 12-3637- xxxx-00"/>
    <n v="-245.82"/>
    <x v="1"/>
    <x v="1"/>
    <x v="1"/>
  </r>
  <r>
    <x v="0"/>
    <x v="0"/>
    <x v="0"/>
    <x v="207"/>
    <s v="TO CARD 1588  THANK YOU"/>
    <n v="-0.06"/>
    <x v="1"/>
    <x v="1"/>
    <x v="1"/>
  </r>
  <r>
    <x v="0"/>
    <x v="0"/>
    <x v="0"/>
    <x v="207"/>
    <s v="Mobile MJ Skinny"/>
    <n v="1.33"/>
    <x v="1"/>
    <x v="1"/>
    <x v="1"/>
  </r>
  <r>
    <x v="0"/>
    <x v="0"/>
    <x v="0"/>
    <x v="208"/>
    <s v="Electricity ContactEnrgy MJ 8Denning"/>
    <n v="279.16000000000003"/>
    <x v="1"/>
    <x v="1"/>
    <x v="1"/>
  </r>
  <r>
    <x v="0"/>
    <x v="0"/>
    <x v="0"/>
    <x v="208"/>
    <s v="TO 12-3637- xxxx-00"/>
    <n v="-53.96"/>
    <x v="1"/>
    <x v="1"/>
    <x v="1"/>
  </r>
  <r>
    <x v="0"/>
    <x v="0"/>
    <x v="0"/>
    <x v="209"/>
    <s v="EFTPOS"/>
    <n v="-10.5"/>
    <x v="0"/>
    <x v="0"/>
    <x v="0"/>
  </r>
  <r>
    <x v="0"/>
    <x v="0"/>
    <x v="0"/>
    <x v="210"/>
    <s v="EX 12-3637- xxxx-00"/>
    <n v="250.94"/>
    <x v="1"/>
    <x v="1"/>
    <x v="1"/>
  </r>
  <r>
    <x v="0"/>
    <x v="0"/>
    <x v="0"/>
    <x v="210"/>
    <s v="BILL PAYMENT TO Sam KiwiBank"/>
    <n v="-45.52"/>
    <x v="1"/>
    <x v="1"/>
    <x v="1"/>
  </r>
  <r>
    <x v="0"/>
    <x v="0"/>
    <x v="0"/>
    <x v="211"/>
    <s v="EX 12-3637- xxxx-00"/>
    <n v="49.26"/>
    <x v="1"/>
    <x v="1"/>
    <x v="1"/>
  </r>
  <r>
    <x v="0"/>
    <x v="0"/>
    <x v="0"/>
    <x v="211"/>
    <s v="TO CARD 1588  THANK YOU"/>
    <n v="-23.28"/>
    <x v="1"/>
    <x v="1"/>
    <x v="1"/>
  </r>
  <r>
    <x v="0"/>
    <x v="0"/>
    <x v="0"/>
    <x v="212"/>
    <s v="MJ ASB NetFlix 8Denning"/>
    <n v="10.24"/>
    <x v="1"/>
    <x v="1"/>
    <x v="1"/>
  </r>
  <r>
    <x v="0"/>
    <x v="0"/>
    <x v="0"/>
    <x v="212"/>
    <s v="TO 12-3637- xxxx-00"/>
    <n v="-3.15"/>
    <x v="1"/>
    <x v="1"/>
    <x v="1"/>
  </r>
  <r>
    <x v="0"/>
    <x v="0"/>
    <x v="0"/>
    <x v="212"/>
    <s v="MJ ANZ"/>
    <n v="22.87"/>
    <x v="1"/>
    <x v="1"/>
    <x v="1"/>
  </r>
  <r>
    <x v="0"/>
    <x v="0"/>
    <x v="0"/>
    <x v="213"/>
    <s v="TO CARD 1588  THANK YOU"/>
    <n v="-8.43"/>
    <x v="1"/>
    <x v="1"/>
    <x v="1"/>
  </r>
  <r>
    <x v="0"/>
    <x v="0"/>
    <x v="0"/>
    <x v="213"/>
    <s v="BILL PAYMENT TO somaye taebi"/>
    <n v="-40.28"/>
    <x v="1"/>
    <x v="1"/>
    <x v="1"/>
  </r>
  <r>
    <x v="0"/>
    <x v="0"/>
    <x v="0"/>
    <x v="214"/>
    <s v="EX 12-3637- xxxx-00"/>
    <n v="67.61"/>
    <x v="1"/>
    <x v="1"/>
    <x v="1"/>
  </r>
  <r>
    <x v="0"/>
    <x v="0"/>
    <x v="0"/>
    <x v="215"/>
    <s v="Mobile Sam Skinny"/>
    <n v="5.72"/>
    <x v="1"/>
    <x v="1"/>
    <x v="1"/>
  </r>
  <r>
    <x v="0"/>
    <x v="0"/>
    <x v="0"/>
    <x v="216"/>
    <s v="TO CARD 1588  THANK YOU"/>
    <n v="-31.16"/>
    <x v="1"/>
    <x v="1"/>
    <x v="1"/>
  </r>
  <r>
    <x v="0"/>
    <x v="0"/>
    <x v="0"/>
    <x v="217"/>
    <s v="akpwl0n0aw57 24PanoramaRo Rent myRent"/>
    <n v="116.83"/>
    <x v="2"/>
    <x v="2"/>
    <x v="2"/>
  </r>
  <r>
    <x v="0"/>
    <x v="0"/>
    <x v="0"/>
    <x v="217"/>
    <s v="BILL PAYMENT TO Sam KiwiBank"/>
    <n v="-631.79"/>
    <x v="1"/>
    <x v="1"/>
    <x v="1"/>
  </r>
  <r>
    <x v="0"/>
    <x v="0"/>
    <x v="0"/>
    <x v="217"/>
    <s v="TO 12-3637- xxxx-00"/>
    <n v="-124.39"/>
    <x v="1"/>
    <x v="1"/>
    <x v="1"/>
  </r>
  <r>
    <x v="0"/>
    <x v="0"/>
    <x v="0"/>
    <x v="217"/>
    <s v="MJ ANZ"/>
    <n v="209.57"/>
    <x v="1"/>
    <x v="1"/>
    <x v="1"/>
  </r>
  <r>
    <x v="0"/>
    <x v="0"/>
    <x v="0"/>
    <x v="217"/>
    <s v="TO 12-3637- xxxx-00"/>
    <n v="-18.07"/>
    <x v="1"/>
    <x v="1"/>
    <x v="1"/>
  </r>
  <r>
    <x v="0"/>
    <x v="0"/>
    <x v="0"/>
    <x v="218"/>
    <s v="TO CARD 1588  THANK YOU"/>
    <n v="-6.2"/>
    <x v="1"/>
    <x v="1"/>
    <x v="1"/>
  </r>
  <r>
    <x v="0"/>
    <x v="0"/>
    <x v="0"/>
    <x v="219"/>
    <s v="TO CARD 1588  THANK YOU"/>
    <n v="-35.869999999999997"/>
    <x v="1"/>
    <x v="1"/>
    <x v="1"/>
  </r>
  <r>
    <x v="0"/>
    <x v="0"/>
    <x v="0"/>
    <x v="220"/>
    <s v="EFTPOS"/>
    <n v="-2.0499999999999998"/>
    <x v="0"/>
    <x v="0"/>
    <x v="0"/>
  </r>
  <r>
    <x v="0"/>
    <x v="0"/>
    <x v="0"/>
    <x v="220"/>
    <s v="EFTPOS"/>
    <n v="-5.46"/>
    <x v="3"/>
    <x v="8"/>
    <x v="8"/>
  </r>
  <r>
    <x v="0"/>
    <x v="0"/>
    <x v="0"/>
    <x v="220"/>
    <s v="EX 12-3637- xxxx-00"/>
    <n v="109"/>
    <x v="1"/>
    <x v="1"/>
    <x v="1"/>
  </r>
  <r>
    <x v="0"/>
    <x v="0"/>
    <x v="0"/>
    <x v="221"/>
    <s v="MJ 8Denning TowerContent Insurance"/>
    <n v="13.84"/>
    <x v="1"/>
    <x v="1"/>
    <x v="1"/>
  </r>
  <r>
    <x v="0"/>
    <x v="0"/>
    <x v="0"/>
    <x v="221"/>
    <s v="MJ Apple Cloud Storage"/>
    <n v="8.48"/>
    <x v="1"/>
    <x v="1"/>
    <x v="1"/>
  </r>
  <r>
    <x v="0"/>
    <x v="0"/>
    <x v="0"/>
    <x v="221"/>
    <s v="TO CARD 1588  THANK YOU"/>
    <n v="-6.93"/>
    <x v="1"/>
    <x v="1"/>
    <x v="1"/>
  </r>
  <r>
    <x v="0"/>
    <x v="0"/>
    <x v="0"/>
    <x v="221"/>
    <s v="EX 12-3637- xxxx-00"/>
    <n v="69.239999999999995"/>
    <x v="1"/>
    <x v="1"/>
    <x v="1"/>
  </r>
  <r>
    <x v="0"/>
    <x v="0"/>
    <x v="0"/>
    <x v="222"/>
    <s v="Water  MJ 8Denning"/>
    <n v="100.23"/>
    <x v="1"/>
    <x v="1"/>
    <x v="1"/>
  </r>
  <r>
    <x v="0"/>
    <x v="0"/>
    <x v="0"/>
    <x v="222"/>
    <s v="MJ Mobile US Phone Sam"/>
    <n v="1.38"/>
    <x v="1"/>
    <x v="1"/>
    <x v="1"/>
  </r>
  <r>
    <x v="0"/>
    <x v="0"/>
    <x v="0"/>
    <x v="222"/>
    <s v="TO CARD 1588  THANK YOU"/>
    <n v="-76.48"/>
    <x v="1"/>
    <x v="1"/>
    <x v="1"/>
  </r>
  <r>
    <x v="0"/>
    <x v="0"/>
    <x v="0"/>
    <x v="223"/>
    <s v="EX 12-3637- xxxx-00"/>
    <n v="63.41"/>
    <x v="1"/>
    <x v="1"/>
    <x v="1"/>
  </r>
  <r>
    <x v="0"/>
    <x v="0"/>
    <x v="0"/>
    <x v="224"/>
    <s v="TO CARD 1588  THANK YOU"/>
    <n v="-14.55"/>
    <x v="1"/>
    <x v="1"/>
    <x v="1"/>
  </r>
  <r>
    <x v="0"/>
    <x v="0"/>
    <x v="0"/>
    <x v="224"/>
    <s v="TO CARD 1588  THANK YOU"/>
    <n v="-12.61"/>
    <x v="1"/>
    <x v="1"/>
    <x v="1"/>
  </r>
  <r>
    <x v="0"/>
    <x v="0"/>
    <x v="0"/>
    <x v="225"/>
    <s v="TO CARD 1588  THANK YOU"/>
    <n v="-32.520000000000003"/>
    <x v="1"/>
    <x v="1"/>
    <x v="1"/>
  </r>
  <r>
    <x v="0"/>
    <x v="0"/>
    <x v="0"/>
    <x v="225"/>
    <s v="BILL PAYMENT TO Sam KiwiBank"/>
    <n v="-71.27"/>
    <x v="1"/>
    <x v="1"/>
    <x v="1"/>
  </r>
  <r>
    <x v="0"/>
    <x v="0"/>
    <x v="0"/>
    <x v="226"/>
    <s v="TO CARD 1588  THANK YOU"/>
    <n v="-19.86"/>
    <x v="1"/>
    <x v="1"/>
    <x v="1"/>
  </r>
  <r>
    <x v="0"/>
    <x v="0"/>
    <x v="0"/>
    <x v="226"/>
    <s v="AIA Insurance SamMJ"/>
    <n v="4.33"/>
    <x v="1"/>
    <x v="1"/>
    <x v="1"/>
  </r>
  <r>
    <x v="0"/>
    <x v="0"/>
    <x v="0"/>
    <x v="227"/>
    <s v="akpep050b8aj 24PanoramaRo Rent myRent"/>
    <n v="1866.08"/>
    <x v="2"/>
    <x v="2"/>
    <x v="2"/>
  </r>
  <r>
    <x v="0"/>
    <x v="0"/>
    <x v="0"/>
    <x v="227"/>
    <s v="BILL PAYMENT TO Sam KiwiBank"/>
    <n v="-521.98"/>
    <x v="1"/>
    <x v="1"/>
    <x v="1"/>
  </r>
  <r>
    <x v="0"/>
    <x v="0"/>
    <x v="0"/>
    <x v="227"/>
    <s v="TO 12-3637- xxxx-00"/>
    <n v="-47.31"/>
    <x v="1"/>
    <x v="1"/>
    <x v="1"/>
  </r>
  <r>
    <x v="0"/>
    <x v="0"/>
    <x v="0"/>
    <x v="228"/>
    <s v="TO CARD 1588  THANK YOU"/>
    <n v="-14.69"/>
    <x v="1"/>
    <x v="1"/>
    <x v="1"/>
  </r>
  <r>
    <x v="0"/>
    <x v="0"/>
    <x v="0"/>
    <x v="229"/>
    <s v="TO CARD 1588  THANK YOU"/>
    <n v="-4.68"/>
    <x v="1"/>
    <x v="1"/>
    <x v="1"/>
  </r>
  <r>
    <x v="0"/>
    <x v="0"/>
    <x v="0"/>
    <x v="229"/>
    <s v="Mobile MJ Skinny"/>
    <n v="14.17"/>
    <x v="1"/>
    <x v="1"/>
    <x v="1"/>
  </r>
  <r>
    <x v="0"/>
    <x v="0"/>
    <x v="0"/>
    <x v="229"/>
    <s v="TO CARD 1588  THANK YOU"/>
    <n v="-3.69"/>
    <x v="1"/>
    <x v="1"/>
    <x v="1"/>
  </r>
  <r>
    <x v="0"/>
    <x v="0"/>
    <x v="0"/>
    <x v="229"/>
    <s v="TO CARD 1588  THANK YOU"/>
    <n v="-6.09"/>
    <x v="1"/>
    <x v="1"/>
    <x v="1"/>
  </r>
  <r>
    <x v="0"/>
    <x v="0"/>
    <x v="0"/>
    <x v="230"/>
    <s v="MJ 8Denning TowerHouse Insurance"/>
    <n v="42.02"/>
    <x v="1"/>
    <x v="1"/>
    <x v="1"/>
  </r>
  <r>
    <x v="0"/>
    <x v="0"/>
    <x v="0"/>
    <x v="230"/>
    <s v="24 Panorama Tower H&amp;C Insurance"/>
    <n v="16.14"/>
    <x v="1"/>
    <x v="1"/>
    <x v="1"/>
  </r>
  <r>
    <x v="0"/>
    <x v="0"/>
    <x v="0"/>
    <x v="230"/>
    <s v="MJ 5B Tower H&amp;C Insurance"/>
    <n v="53.31"/>
    <x v="1"/>
    <x v="1"/>
    <x v="1"/>
  </r>
  <r>
    <x v="0"/>
    <x v="0"/>
    <x v="0"/>
    <x v="230"/>
    <s v="EFTPOS"/>
    <n v="-7.78"/>
    <x v="0"/>
    <x v="0"/>
    <x v="0"/>
  </r>
  <r>
    <x v="0"/>
    <x v="0"/>
    <x v="0"/>
    <x v="230"/>
    <s v="EFTPOS"/>
    <n v="-1.1299999999999999"/>
    <x v="0"/>
    <x v="0"/>
    <x v="0"/>
  </r>
  <r>
    <x v="0"/>
    <x v="0"/>
    <x v="0"/>
    <x v="230"/>
    <s v="EFTPOS"/>
    <n v="-15.11"/>
    <x v="0"/>
    <x v="0"/>
    <x v="0"/>
  </r>
  <r>
    <x v="0"/>
    <x v="0"/>
    <x v="0"/>
    <x v="230"/>
    <s v="EFTPOS"/>
    <n v="-14.56"/>
    <x v="0"/>
    <x v="0"/>
    <x v="0"/>
  </r>
  <r>
    <x v="0"/>
    <x v="0"/>
    <x v="0"/>
    <x v="230"/>
    <s v="EFTPOS"/>
    <n v="-4.57"/>
    <x v="0"/>
    <x v="0"/>
    <x v="0"/>
  </r>
  <r>
    <x v="0"/>
    <x v="0"/>
    <x v="0"/>
    <x v="230"/>
    <s v="TO CARD 1588  THANK YOU"/>
    <n v="-232.04"/>
    <x v="1"/>
    <x v="1"/>
    <x v="1"/>
  </r>
  <r>
    <x v="0"/>
    <x v="0"/>
    <x v="0"/>
    <x v="231"/>
    <s v="BILL PAYMENT TO StaffBidone MJ Alavi 64170"/>
    <n v="-27.21"/>
    <x v="0"/>
    <x v="0"/>
    <x v="0"/>
  </r>
  <r>
    <x v="0"/>
    <x v="0"/>
    <x v="0"/>
    <x v="231"/>
    <s v="TO CARD 1588  THANK YOU"/>
    <n v="-141.69999999999999"/>
    <x v="1"/>
    <x v="1"/>
    <x v="1"/>
  </r>
  <r>
    <x v="0"/>
    <x v="0"/>
    <x v="0"/>
    <x v="232"/>
    <s v="Electricity ContactEnrgy MJ 8Denning"/>
    <n v="188.08"/>
    <x v="1"/>
    <x v="1"/>
    <x v="1"/>
  </r>
  <r>
    <x v="0"/>
    <x v="0"/>
    <x v="0"/>
    <x v="232"/>
    <s v="BILL PAYMENT TO StaffBidone MJ Alavi 64170"/>
    <n v="-282.87"/>
    <x v="0"/>
    <x v="0"/>
    <x v="0"/>
  </r>
  <r>
    <x v="0"/>
    <x v="0"/>
    <x v="0"/>
    <x v="232"/>
    <s v="EX 12-3637- xxxx-00"/>
    <n v="188.31"/>
    <x v="1"/>
    <x v="1"/>
    <x v="1"/>
  </r>
  <r>
    <x v="0"/>
    <x v="0"/>
    <x v="0"/>
    <x v="232"/>
    <s v="TO CARD 1588  THANK YOU"/>
    <n v="-31.05"/>
    <x v="1"/>
    <x v="1"/>
    <x v="1"/>
  </r>
  <r>
    <x v="0"/>
    <x v="0"/>
    <x v="0"/>
    <x v="233"/>
    <s v="MJ ANZ"/>
    <n v="251.16"/>
    <x v="1"/>
    <x v="1"/>
    <x v="1"/>
  </r>
  <r>
    <x v="0"/>
    <x v="0"/>
    <x v="0"/>
    <x v="234"/>
    <s v="TO CARD 1588  THANK YOU"/>
    <n v="-1.1399999999999999"/>
    <x v="1"/>
    <x v="1"/>
    <x v="1"/>
  </r>
  <r>
    <x v="0"/>
    <x v="0"/>
    <x v="0"/>
    <x v="234"/>
    <s v="TO CARD 1588  THANK YOU"/>
    <n v="-0.48"/>
    <x v="1"/>
    <x v="1"/>
    <x v="1"/>
  </r>
  <r>
    <x v="0"/>
    <x v="0"/>
    <x v="0"/>
    <x v="235"/>
    <s v="TO CARD 1588  THANK YOU"/>
    <n v="-2.56"/>
    <x v="1"/>
    <x v="1"/>
    <x v="1"/>
  </r>
  <r>
    <x v="0"/>
    <x v="0"/>
    <x v="0"/>
    <x v="236"/>
    <s v="MJ ASB NetFlix 8Denning"/>
    <n v="1.93"/>
    <x v="1"/>
    <x v="1"/>
    <x v="1"/>
  </r>
  <r>
    <x v="0"/>
    <x v="0"/>
    <x v="0"/>
    <x v="237"/>
    <s v="Mobile Sam Skinny"/>
    <n v="20.37"/>
    <x v="1"/>
    <x v="1"/>
    <x v="1"/>
  </r>
  <r>
    <x v="0"/>
    <x v="0"/>
    <x v="0"/>
    <x v="237"/>
    <s v="TO CARD 1588  THANK YOU"/>
    <n v="-4.79"/>
    <x v="1"/>
    <x v="1"/>
    <x v="1"/>
  </r>
  <r>
    <x v="0"/>
    <x v="0"/>
    <x v="0"/>
    <x v="238"/>
    <s v="BILL PAYMENT TO Sam KiwiBank"/>
    <n v="-110.42"/>
    <x v="1"/>
    <x v="1"/>
    <x v="1"/>
  </r>
  <r>
    <x v="0"/>
    <x v="0"/>
    <x v="0"/>
    <x v="238"/>
    <s v="TO CARD 1588  THANK YOU"/>
    <n v="-13.41"/>
    <x v="1"/>
    <x v="1"/>
    <x v="1"/>
  </r>
  <r>
    <x v="0"/>
    <x v="0"/>
    <x v="0"/>
    <x v="239"/>
    <s v="akp6l010qt7r 24PanoramaRo Rent myRent"/>
    <n v="465.77"/>
    <x v="2"/>
    <x v="2"/>
    <x v="2"/>
  </r>
  <r>
    <x v="0"/>
    <x v="0"/>
    <x v="0"/>
    <x v="239"/>
    <s v="BILL PAYMENT TO Sam KiwiBank"/>
    <n v="-718.19"/>
    <x v="1"/>
    <x v="1"/>
    <x v="1"/>
  </r>
  <r>
    <x v="0"/>
    <x v="0"/>
    <x v="0"/>
    <x v="240"/>
    <s v="TO CARD 1588  THANK YOU"/>
    <n v="-1.54"/>
    <x v="1"/>
    <x v="1"/>
    <x v="1"/>
  </r>
  <r>
    <x v="0"/>
    <x v="0"/>
    <x v="0"/>
    <x v="240"/>
    <s v="TO CARD 1588  THANK YOU"/>
    <n v="-11.43"/>
    <x v="1"/>
    <x v="1"/>
    <x v="1"/>
  </r>
  <r>
    <x v="0"/>
    <x v="0"/>
    <x v="0"/>
    <x v="241"/>
    <s v="TO CARD 1588  THANK YOU"/>
    <n v="-33.020000000000003"/>
    <x v="1"/>
    <x v="1"/>
    <x v="1"/>
  </r>
  <r>
    <x v="0"/>
    <x v="0"/>
    <x v="0"/>
    <x v="241"/>
    <s v="TO CARD 1588  THANK YOU"/>
    <n v="-122.85"/>
    <x v="1"/>
    <x v="1"/>
    <x v="1"/>
  </r>
  <r>
    <x v="0"/>
    <x v="0"/>
    <x v="0"/>
    <x v="242"/>
    <s v="TO CARD 1588  THANK YOU"/>
    <n v="-6.02"/>
    <x v="1"/>
    <x v="1"/>
    <x v="1"/>
  </r>
  <r>
    <x v="0"/>
    <x v="0"/>
    <x v="0"/>
    <x v="242"/>
    <s v="TO CARD 1588  THANK YOU"/>
    <n v="-10.18"/>
    <x v="1"/>
    <x v="1"/>
    <x v="1"/>
  </r>
  <r>
    <x v="0"/>
    <x v="0"/>
    <x v="0"/>
    <x v="243"/>
    <s v="EFTPOS"/>
    <n v="-21.17"/>
    <x v="0"/>
    <x v="0"/>
    <x v="0"/>
  </r>
  <r>
    <x v="0"/>
    <x v="0"/>
    <x v="0"/>
    <x v="244"/>
    <s v="MJ 8Denning TowerContent Insurance"/>
    <n v="39.46"/>
    <x v="1"/>
    <x v="1"/>
    <x v="1"/>
  </r>
  <r>
    <x v="0"/>
    <x v="0"/>
    <x v="0"/>
    <x v="244"/>
    <s v="MJ Apple Cloud Storage"/>
    <n v="18.61"/>
    <x v="1"/>
    <x v="1"/>
    <x v="1"/>
  </r>
  <r>
    <x v="0"/>
    <x v="0"/>
    <x v="0"/>
    <x v="244"/>
    <s v="TO CARD 1588  THANK YOU"/>
    <n v="-120.82"/>
    <x v="1"/>
    <x v="1"/>
    <x v="1"/>
  </r>
  <r>
    <x v="0"/>
    <x v="0"/>
    <x v="0"/>
    <x v="245"/>
    <s v="MJ Mobile US Phone Sam"/>
    <n v="17.39"/>
    <x v="1"/>
    <x v="1"/>
    <x v="1"/>
  </r>
  <r>
    <x v="0"/>
    <x v="0"/>
    <x v="0"/>
    <x v="245"/>
    <s v="Water  MJ 8Denning"/>
    <n v="28.55"/>
    <x v="1"/>
    <x v="1"/>
    <x v="1"/>
  </r>
  <r>
    <x v="0"/>
    <x v="0"/>
    <x v="0"/>
    <x v="245"/>
    <s v="MJ ANZ"/>
    <n v="153.08000000000001"/>
    <x v="1"/>
    <x v="1"/>
    <x v="1"/>
  </r>
  <r>
    <x v="0"/>
    <x v="0"/>
    <x v="0"/>
    <x v="246"/>
    <s v="TO CARD 1588  THANK YOU"/>
    <n v="-8.7100000000000009"/>
    <x v="1"/>
    <x v="1"/>
    <x v="1"/>
  </r>
  <r>
    <x v="0"/>
    <x v="0"/>
    <x v="0"/>
    <x v="246"/>
    <s v="TO CARD 1588  THANK YOU"/>
    <n v="-2.14"/>
    <x v="1"/>
    <x v="1"/>
    <x v="1"/>
  </r>
  <r>
    <x v="0"/>
    <x v="0"/>
    <x v="0"/>
    <x v="247"/>
    <s v="TO CARD 1588  THANK YOU"/>
    <n v="-31.73"/>
    <x v="1"/>
    <x v="1"/>
    <x v="1"/>
  </r>
  <r>
    <x v="0"/>
    <x v="0"/>
    <x v="0"/>
    <x v="248"/>
    <s v="TO CARD 1588  THANK YOU"/>
    <n v="-37.619999999999997"/>
    <x v="1"/>
    <x v="1"/>
    <x v="1"/>
  </r>
  <r>
    <x v="0"/>
    <x v="0"/>
    <x v="0"/>
    <x v="248"/>
    <s v="EFTPOS"/>
    <n v="-1.53"/>
    <x v="0"/>
    <x v="0"/>
    <x v="0"/>
  </r>
  <r>
    <x v="0"/>
    <x v="0"/>
    <x v="0"/>
    <x v="248"/>
    <s v="EFTPOS"/>
    <n v="-2.14"/>
    <x v="0"/>
    <x v="0"/>
    <x v="0"/>
  </r>
  <r>
    <x v="0"/>
    <x v="0"/>
    <x v="0"/>
    <x v="248"/>
    <s v="EFTPOS"/>
    <n v="-3.92"/>
    <x v="0"/>
    <x v="0"/>
    <x v="0"/>
  </r>
  <r>
    <x v="0"/>
    <x v="0"/>
    <x v="0"/>
    <x v="248"/>
    <s v="EFTPOS"/>
    <n v="-75.08"/>
    <x v="0"/>
    <x v="0"/>
    <x v="0"/>
  </r>
  <r>
    <x v="0"/>
    <x v="0"/>
    <x v="0"/>
    <x v="249"/>
    <s v="AIA Insurance SamMJ"/>
    <n v="45.02"/>
    <x v="1"/>
    <x v="1"/>
    <x v="1"/>
  </r>
  <r>
    <x v="0"/>
    <x v="0"/>
    <x v="0"/>
    <x v="249"/>
    <s v="akpoi120mtpj 24PanoramaRo Rent myRent"/>
    <n v="179.97"/>
    <x v="2"/>
    <x v="2"/>
    <x v="2"/>
  </r>
  <r>
    <x v="0"/>
    <x v="0"/>
    <x v="0"/>
    <x v="249"/>
    <s v="BILL PAYMENT TO StaffBidone MJ Alavi 64170"/>
    <n v="-59.64"/>
    <x v="0"/>
    <x v="0"/>
    <x v="0"/>
  </r>
  <r>
    <x v="0"/>
    <x v="0"/>
    <x v="0"/>
    <x v="249"/>
    <s v="BILL PAYMENT TO Sam KiwiBank"/>
    <n v="-1421.87"/>
    <x v="1"/>
    <x v="1"/>
    <x v="1"/>
  </r>
  <r>
    <x v="0"/>
    <x v="0"/>
    <x v="0"/>
    <x v="250"/>
    <s v="TO CARD 1588  THANK YOU"/>
    <n v="-1.57"/>
    <x v="1"/>
    <x v="1"/>
    <x v="1"/>
  </r>
  <r>
    <x v="0"/>
    <x v="0"/>
    <x v="0"/>
    <x v="251"/>
    <s v="Mobile MJ Skinny"/>
    <n v="11.66"/>
    <x v="1"/>
    <x v="1"/>
    <x v="1"/>
  </r>
  <r>
    <x v="0"/>
    <x v="0"/>
    <x v="0"/>
    <x v="252"/>
    <s v="TO CARD 1588  THANK YOU"/>
    <n v="-15.22"/>
    <x v="1"/>
    <x v="1"/>
    <x v="1"/>
  </r>
  <r>
    <x v="0"/>
    <x v="0"/>
    <x v="0"/>
    <x v="252"/>
    <s v="MJ 5B Tower H&amp;C Insurance"/>
    <n v="49.65"/>
    <x v="1"/>
    <x v="1"/>
    <x v="1"/>
  </r>
  <r>
    <x v="0"/>
    <x v="0"/>
    <x v="0"/>
    <x v="252"/>
    <s v="MJ 8Denning TowerHouse Insurance"/>
    <n v="145.02000000000001"/>
    <x v="1"/>
    <x v="1"/>
    <x v="1"/>
  </r>
  <r>
    <x v="0"/>
    <x v="0"/>
    <x v="0"/>
    <x v="252"/>
    <s v="24 Panorama Tower H&amp;C Insurance"/>
    <n v="22.77"/>
    <x v="1"/>
    <x v="1"/>
    <x v="1"/>
  </r>
  <r>
    <x v="0"/>
    <x v="0"/>
    <x v="0"/>
    <x v="253"/>
    <s v="TO CARD 1588  THANK YOU"/>
    <n v="-113.28"/>
    <x v="1"/>
    <x v="1"/>
    <x v="1"/>
  </r>
  <r>
    <x v="0"/>
    <x v="0"/>
    <x v="0"/>
    <x v="253"/>
    <s v="TO CARD 1588  THANK YOU"/>
    <n v="-21.31"/>
    <x v="1"/>
    <x v="1"/>
    <x v="1"/>
  </r>
  <r>
    <x v="0"/>
    <x v="0"/>
    <x v="0"/>
    <x v="254"/>
    <s v="Electricity ContactEnrgy MJ 8Denning"/>
    <n v="125.89"/>
    <x v="1"/>
    <x v="1"/>
    <x v="1"/>
  </r>
  <r>
    <x v="0"/>
    <x v="0"/>
    <x v="0"/>
    <x v="255"/>
    <s v="TO CARD 1588  THANK YOU"/>
    <n v="-24.52"/>
    <x v="1"/>
    <x v="1"/>
    <x v="1"/>
  </r>
  <r>
    <x v="0"/>
    <x v="0"/>
    <x v="0"/>
    <x v="256"/>
    <s v="MJ ASB NetFlix 8Denning"/>
    <n v="14.93"/>
    <x v="1"/>
    <x v="1"/>
    <x v="1"/>
  </r>
  <r>
    <x v="0"/>
    <x v="0"/>
    <x v="0"/>
    <x v="256"/>
    <s v="Mobile Sam Skinny"/>
    <n v="25.15"/>
    <x v="1"/>
    <x v="1"/>
    <x v="1"/>
  </r>
  <r>
    <x v="0"/>
    <x v="0"/>
    <x v="0"/>
    <x v="256"/>
    <s v="TO CARD 1588  THANK YOU"/>
    <n v="-1.22"/>
    <x v="1"/>
    <x v="1"/>
    <x v="1"/>
  </r>
  <r>
    <x v="0"/>
    <x v="0"/>
    <x v="0"/>
    <x v="257"/>
    <s v="TO CARD 1588  THANK YOU"/>
    <n v="-2.9"/>
    <x v="1"/>
    <x v="1"/>
    <x v="1"/>
  </r>
  <r>
    <x v="0"/>
    <x v="0"/>
    <x v="0"/>
    <x v="257"/>
    <s v="akpws0h069w3 24PanoramaRo Rent myRent"/>
    <n v="1452.87"/>
    <x v="2"/>
    <x v="2"/>
    <x v="2"/>
  </r>
  <r>
    <x v="0"/>
    <x v="0"/>
    <x v="0"/>
    <x v="258"/>
    <s v="TO CARD 1588  THANK YOU"/>
    <n v="-2.36"/>
    <x v="1"/>
    <x v="1"/>
    <x v="1"/>
  </r>
  <r>
    <x v="0"/>
    <x v="0"/>
    <x v="0"/>
    <x v="259"/>
    <s v="EFTPOS"/>
    <n v="-11.8"/>
    <x v="6"/>
    <x v="9"/>
    <x v="14"/>
  </r>
  <r>
    <x v="0"/>
    <x v="0"/>
    <x v="1"/>
    <x v="122"/>
    <s v="EX 12-3057- xxxxx-01"/>
    <n v="549.80999999999995"/>
    <x v="1"/>
    <x v="1"/>
    <x v="1"/>
  </r>
  <r>
    <x v="0"/>
    <x v="0"/>
    <x v="1"/>
    <x v="122"/>
    <s v="TO 12-3057- xxxxx-01"/>
    <n v="-494.15"/>
    <x v="1"/>
    <x v="1"/>
    <x v="1"/>
  </r>
  <r>
    <x v="0"/>
    <x v="0"/>
    <x v="1"/>
    <x v="126"/>
    <s v="EX 12-3057- xxxxx-01"/>
    <n v="253.05"/>
    <x v="1"/>
    <x v="1"/>
    <x v="1"/>
  </r>
  <r>
    <x v="0"/>
    <x v="0"/>
    <x v="1"/>
    <x v="127"/>
    <s v="TO 12-3057- xxxxx-01"/>
    <n v="-40.06"/>
    <x v="1"/>
    <x v="1"/>
    <x v="1"/>
  </r>
  <r>
    <x v="0"/>
    <x v="0"/>
    <x v="1"/>
    <x v="127"/>
    <s v="TO 12-3057- xxxxx-01"/>
    <n v="-64.930000000000007"/>
    <x v="1"/>
    <x v="1"/>
    <x v="1"/>
  </r>
  <r>
    <x v="0"/>
    <x v="0"/>
    <x v="1"/>
    <x v="129"/>
    <s v="EX 12-3057- xxxxx-01"/>
    <n v="122.63"/>
    <x v="1"/>
    <x v="1"/>
    <x v="1"/>
  </r>
  <r>
    <x v="0"/>
    <x v="0"/>
    <x v="1"/>
    <x v="131"/>
    <s v="EX 12-3057- xxxxx-01"/>
    <n v="238.93"/>
    <x v="1"/>
    <x v="1"/>
    <x v="1"/>
  </r>
  <r>
    <x v="0"/>
    <x v="0"/>
    <x v="1"/>
    <x v="131"/>
    <s v="TO 12-3057- xxxxx-01"/>
    <n v="-73.45"/>
    <x v="1"/>
    <x v="1"/>
    <x v="1"/>
  </r>
  <r>
    <x v="0"/>
    <x v="0"/>
    <x v="1"/>
    <x v="132"/>
    <s v="EX 12-3057- xxxxx-01"/>
    <n v="60.37"/>
    <x v="1"/>
    <x v="1"/>
    <x v="1"/>
  </r>
  <r>
    <x v="0"/>
    <x v="0"/>
    <x v="1"/>
    <x v="134"/>
    <s v="TO 12-3057- xxxxx-01 anz"/>
    <n v="-338.2"/>
    <x v="1"/>
    <x v="1"/>
    <x v="1"/>
  </r>
  <r>
    <x v="0"/>
    <x v="0"/>
    <x v="1"/>
    <x v="134"/>
    <s v="TO 12-3057- xxxxx-01"/>
    <n v="-64.28"/>
    <x v="1"/>
    <x v="1"/>
    <x v="1"/>
  </r>
  <r>
    <x v="0"/>
    <x v="0"/>
    <x v="1"/>
    <x v="137"/>
    <s v="EX 12-3057- xxxxx-01"/>
    <n v="68.010000000000005"/>
    <x v="1"/>
    <x v="1"/>
    <x v="1"/>
  </r>
  <r>
    <x v="0"/>
    <x v="0"/>
    <x v="1"/>
    <x v="137"/>
    <s v="TO 12-3057- xxxxx-01"/>
    <n v="-21.21"/>
    <x v="1"/>
    <x v="1"/>
    <x v="1"/>
  </r>
  <r>
    <x v="0"/>
    <x v="0"/>
    <x v="1"/>
    <x v="138"/>
    <s v="TO 12-3057- xxxxx-01"/>
    <n v="-141.97"/>
    <x v="1"/>
    <x v="1"/>
    <x v="1"/>
  </r>
  <r>
    <x v="0"/>
    <x v="0"/>
    <x v="1"/>
    <x v="142"/>
    <s v="EX 12-3057- xxxxx-01"/>
    <n v="109.64"/>
    <x v="1"/>
    <x v="1"/>
    <x v="1"/>
  </r>
  <r>
    <x v="0"/>
    <x v="0"/>
    <x v="1"/>
    <x v="142"/>
    <s v="TO 12-3057- xxxxx-01"/>
    <n v="-90.1"/>
    <x v="1"/>
    <x v="1"/>
    <x v="1"/>
  </r>
  <r>
    <x v="0"/>
    <x v="0"/>
    <x v="1"/>
    <x v="142"/>
    <s v="TO 12-3057- xxxxx-01"/>
    <n v="-46.72"/>
    <x v="1"/>
    <x v="1"/>
    <x v="1"/>
  </r>
  <r>
    <x v="0"/>
    <x v="0"/>
    <x v="1"/>
    <x v="145"/>
    <s v="TO 12-3057- xxxxx-01"/>
    <n v="-2.2200000000000002"/>
    <x v="1"/>
    <x v="1"/>
    <x v="1"/>
  </r>
  <r>
    <x v="0"/>
    <x v="0"/>
    <x v="1"/>
    <x v="147"/>
    <s v="EX 12-3057- xxxxx-01"/>
    <n v="4.7699999999999996"/>
    <x v="1"/>
    <x v="1"/>
    <x v="1"/>
  </r>
  <r>
    <x v="0"/>
    <x v="0"/>
    <x v="1"/>
    <x v="149"/>
    <s v="TO 12-3057- xxxxx-01"/>
    <n v="-117.97"/>
    <x v="1"/>
    <x v="1"/>
    <x v="1"/>
  </r>
  <r>
    <x v="0"/>
    <x v="0"/>
    <x v="1"/>
    <x v="152"/>
    <s v="TO 12-3057- xxxxx-01"/>
    <n v="-2.46"/>
    <x v="1"/>
    <x v="1"/>
    <x v="1"/>
  </r>
  <r>
    <x v="0"/>
    <x v="0"/>
    <x v="1"/>
    <x v="159"/>
    <s v="EX 12-3057- xxxxx-01"/>
    <n v="433.9"/>
    <x v="1"/>
    <x v="1"/>
    <x v="1"/>
  </r>
  <r>
    <x v="0"/>
    <x v="0"/>
    <x v="1"/>
    <x v="159"/>
    <s v="TO 12-3057- xxxxx-01"/>
    <n v="-3.26"/>
    <x v="1"/>
    <x v="1"/>
    <x v="1"/>
  </r>
  <r>
    <x v="0"/>
    <x v="0"/>
    <x v="1"/>
    <x v="160"/>
    <s v="TO 12-3057- xxxxx-01"/>
    <n v="-88.74"/>
    <x v="1"/>
    <x v="1"/>
    <x v="1"/>
  </r>
  <r>
    <x v="0"/>
    <x v="0"/>
    <x v="1"/>
    <x v="160"/>
    <s v="EX 12-3057- xxxxx-01"/>
    <n v="228.76"/>
    <x v="1"/>
    <x v="1"/>
    <x v="1"/>
  </r>
  <r>
    <x v="0"/>
    <x v="0"/>
    <x v="1"/>
    <x v="160"/>
    <s v="TO 12-3057- xxxxx-01"/>
    <n v="-71.92"/>
    <x v="1"/>
    <x v="1"/>
    <x v="1"/>
  </r>
  <r>
    <x v="0"/>
    <x v="0"/>
    <x v="1"/>
    <x v="162"/>
    <s v="EX 12-3057- xxxxx-01"/>
    <n v="390.23"/>
    <x v="1"/>
    <x v="1"/>
    <x v="1"/>
  </r>
  <r>
    <x v="0"/>
    <x v="0"/>
    <x v="1"/>
    <x v="167"/>
    <s v="TO 12-3057- xxxxx-01"/>
    <n v="-80.05"/>
    <x v="1"/>
    <x v="1"/>
    <x v="1"/>
  </r>
  <r>
    <x v="0"/>
    <x v="0"/>
    <x v="1"/>
    <x v="167"/>
    <s v="TO 12-3057- xxxxx-01"/>
    <n v="-296.11"/>
    <x v="1"/>
    <x v="1"/>
    <x v="1"/>
  </r>
  <r>
    <x v="0"/>
    <x v="0"/>
    <x v="1"/>
    <x v="183"/>
    <s v="EX 12-3057- xxxxx-01"/>
    <n v="53.64"/>
    <x v="1"/>
    <x v="1"/>
    <x v="1"/>
  </r>
  <r>
    <x v="0"/>
    <x v="0"/>
    <x v="1"/>
    <x v="185"/>
    <s v="TO CARD 1588  THANK YOU"/>
    <n v="-37.32"/>
    <x v="1"/>
    <x v="1"/>
    <x v="1"/>
  </r>
  <r>
    <x v="0"/>
    <x v="0"/>
    <x v="1"/>
    <x v="188"/>
    <s v="TO 12-3057- xxxxx-01"/>
    <n v="-94.67"/>
    <x v="1"/>
    <x v="1"/>
    <x v="1"/>
  </r>
  <r>
    <x v="0"/>
    <x v="0"/>
    <x v="1"/>
    <x v="191"/>
    <s v="TO 12-3057- xxxxx-01"/>
    <n v="-30.93"/>
    <x v="1"/>
    <x v="1"/>
    <x v="1"/>
  </r>
  <r>
    <x v="0"/>
    <x v="0"/>
    <x v="1"/>
    <x v="206"/>
    <s v="EX 12-3057- xxxxx-01"/>
    <n v="386.73"/>
    <x v="1"/>
    <x v="1"/>
    <x v="1"/>
  </r>
  <r>
    <x v="0"/>
    <x v="0"/>
    <x v="1"/>
    <x v="208"/>
    <s v="EX 12-3057- xxxxx-01"/>
    <n v="125.63"/>
    <x v="1"/>
    <x v="1"/>
    <x v="1"/>
  </r>
  <r>
    <x v="0"/>
    <x v="0"/>
    <x v="1"/>
    <x v="210"/>
    <s v="TO 12-3057- xxxxx-01"/>
    <n v="-188.25"/>
    <x v="1"/>
    <x v="1"/>
    <x v="1"/>
  </r>
  <r>
    <x v="0"/>
    <x v="0"/>
    <x v="1"/>
    <x v="211"/>
    <s v="TO 12-3057- xxxxx-01"/>
    <n v="-51.18"/>
    <x v="1"/>
    <x v="1"/>
    <x v="1"/>
  </r>
  <r>
    <x v="0"/>
    <x v="0"/>
    <x v="1"/>
    <x v="212"/>
    <s v="EX 12-3057- xxxxx-01"/>
    <n v="55.88"/>
    <x v="1"/>
    <x v="1"/>
    <x v="1"/>
  </r>
  <r>
    <x v="0"/>
    <x v="0"/>
    <x v="1"/>
    <x v="214"/>
    <s v="TO CARD 1588  THANK YOU"/>
    <n v="-0.93"/>
    <x v="1"/>
    <x v="1"/>
    <x v="1"/>
  </r>
  <r>
    <x v="0"/>
    <x v="0"/>
    <x v="1"/>
    <x v="214"/>
    <s v="TO CARD 1588  THANK YOU"/>
    <n v="-8.15"/>
    <x v="1"/>
    <x v="1"/>
    <x v="1"/>
  </r>
  <r>
    <x v="0"/>
    <x v="0"/>
    <x v="1"/>
    <x v="214"/>
    <s v="TO 12-3057- xxxxx-01"/>
    <n v="-147.6"/>
    <x v="1"/>
    <x v="1"/>
    <x v="1"/>
  </r>
  <r>
    <x v="0"/>
    <x v="0"/>
    <x v="1"/>
    <x v="217"/>
    <s v="EX 12-3057- xxxxx-01"/>
    <n v="147.15"/>
    <x v="1"/>
    <x v="1"/>
    <x v="1"/>
  </r>
  <r>
    <x v="0"/>
    <x v="0"/>
    <x v="1"/>
    <x v="217"/>
    <s v="EX 12-3057- xxxxx-01"/>
    <n v="77.73"/>
    <x v="1"/>
    <x v="1"/>
    <x v="1"/>
  </r>
  <r>
    <x v="0"/>
    <x v="0"/>
    <x v="1"/>
    <x v="220"/>
    <s v="TO 12-3057- xxxxx-01"/>
    <n v="-15.1"/>
    <x v="1"/>
    <x v="1"/>
    <x v="1"/>
  </r>
  <r>
    <x v="0"/>
    <x v="0"/>
    <x v="1"/>
    <x v="221"/>
    <s v="TO 12-3057- xxxxx-01"/>
    <n v="-79.87"/>
    <x v="1"/>
    <x v="1"/>
    <x v="1"/>
  </r>
  <r>
    <x v="0"/>
    <x v="0"/>
    <x v="1"/>
    <x v="223"/>
    <s v="TO 12-3057- xxxxx-01"/>
    <n v="-146.32"/>
    <x v="1"/>
    <x v="1"/>
    <x v="1"/>
  </r>
  <r>
    <x v="0"/>
    <x v="0"/>
    <x v="1"/>
    <x v="227"/>
    <s v="EX 12-3057- xxxxx-01"/>
    <n v="17.239999999999998"/>
    <x v="1"/>
    <x v="1"/>
    <x v="1"/>
  </r>
  <r>
    <x v="0"/>
    <x v="0"/>
    <x v="1"/>
    <x v="232"/>
    <s v="TO 12-3057- xxxxx-01"/>
    <n v="-26.39"/>
    <x v="1"/>
    <x v="1"/>
    <x v="1"/>
  </r>
  <r>
    <x v="0"/>
    <x v="1"/>
    <x v="2"/>
    <x v="260"/>
    <s v="COUNTDOWN GREENLANE AUCKLAND"/>
    <n v="-10.68"/>
    <x v="0"/>
    <x v="0"/>
    <x v="0"/>
  </r>
  <r>
    <x v="0"/>
    <x v="1"/>
    <x v="2"/>
    <x v="260"/>
    <s v="BP CONNECT BOULEVARD AUCKLAND"/>
    <n v="-102.57"/>
    <x v="6"/>
    <x v="9"/>
    <x v="14"/>
  </r>
  <r>
    <x v="0"/>
    <x v="1"/>
    <x v="2"/>
    <x v="261"/>
    <s v="US MOBILE  US MOBILE WWW.USMOBILE. NY 9.07 US DOLLAR at a Conversion Rate  of 0.6212 (NZ$14.60)"/>
    <n v="-0.34"/>
    <x v="7"/>
    <x v="13"/>
    <x v="15"/>
  </r>
  <r>
    <x v="0"/>
    <x v="1"/>
    <x v="2"/>
    <x v="261"/>
    <s v="OFFSHORE SERVICE MARGINS"/>
    <n v="-0.23"/>
    <x v="5"/>
    <x v="7"/>
    <x v="7"/>
  </r>
  <r>
    <x v="0"/>
    <x v="1"/>
    <x v="2"/>
    <x v="260"/>
    <s v="DREAMERS CAFE EPSOM"/>
    <n v="-6.56"/>
    <x v="3"/>
    <x v="8"/>
    <x v="8"/>
  </r>
  <r>
    <x v="0"/>
    <x v="1"/>
    <x v="2"/>
    <x v="260"/>
    <s v="SKINNY AUCKLAND"/>
    <n v="-11.48"/>
    <x v="7"/>
    <x v="10"/>
    <x v="10"/>
  </r>
  <r>
    <x v="0"/>
    <x v="1"/>
    <x v="2"/>
    <x v="262"/>
    <s v="SKINNY AUCKLAND"/>
    <n v="-17.54"/>
    <x v="7"/>
    <x v="10"/>
    <x v="10"/>
  </r>
  <r>
    <x v="0"/>
    <x v="1"/>
    <x v="2"/>
    <x v="263"/>
    <s v="LE PETITE FOURCHETTE AUCKLAND"/>
    <n v="-10.4"/>
    <x v="3"/>
    <x v="8"/>
    <x v="8"/>
  </r>
  <r>
    <x v="0"/>
    <x v="1"/>
    <x v="2"/>
    <x v="2"/>
    <s v="PAYMENT RECEIVED THANK YOU"/>
    <n v="202.98"/>
    <x v="1"/>
    <x v="1"/>
    <x v="16"/>
  </r>
  <r>
    <x v="0"/>
    <x v="1"/>
    <x v="2"/>
    <x v="3"/>
    <s v="PAYMENT RECEIVED THANK YOU"/>
    <n v="47.74"/>
    <x v="1"/>
    <x v="1"/>
    <x v="16"/>
  </r>
  <r>
    <x v="0"/>
    <x v="1"/>
    <x v="2"/>
    <x v="264"/>
    <s v="Sprint Fit Newton"/>
    <n v="-63.33"/>
    <x v="3"/>
    <x v="14"/>
    <x v="17"/>
  </r>
  <r>
    <x v="0"/>
    <x v="1"/>
    <x v="2"/>
    <x v="264"/>
    <s v="Beach Cafe Pukekohe"/>
    <n v="-4.32"/>
    <x v="3"/>
    <x v="8"/>
    <x v="8"/>
  </r>
  <r>
    <x v="0"/>
    <x v="1"/>
    <x v="2"/>
    <x v="2"/>
    <s v="DBS Jetts Remuera North Harbour"/>
    <n v="-0.9"/>
    <x v="3"/>
    <x v="14"/>
    <x v="17"/>
  </r>
  <r>
    <x v="0"/>
    <x v="1"/>
    <x v="2"/>
    <x v="3"/>
    <s v="TOWER INSURANCE - EIS 093692079"/>
    <n v="-7.08"/>
    <x v="8"/>
    <x v="15"/>
    <x v="18"/>
  </r>
  <r>
    <x v="0"/>
    <x v="1"/>
    <x v="2"/>
    <x v="2"/>
    <s v="APPLE.COM/BILL SYDNEY"/>
    <n v="-24.94"/>
    <x v="7"/>
    <x v="16"/>
    <x v="19"/>
  </r>
  <r>
    <x v="0"/>
    <x v="1"/>
    <x v="2"/>
    <x v="4"/>
    <s v="PAYMENT RECEIVED THANK YOU"/>
    <n v="89.06"/>
    <x v="1"/>
    <x v="1"/>
    <x v="16"/>
  </r>
  <r>
    <x v="0"/>
    <x v="1"/>
    <x v="2"/>
    <x v="265"/>
    <s v="Kings Plant Barn Mount Welling"/>
    <n v="-24.43"/>
    <x v="4"/>
    <x v="12"/>
    <x v="12"/>
  </r>
  <r>
    <x v="0"/>
    <x v="1"/>
    <x v="2"/>
    <x v="5"/>
    <s v="PAYMENT RECEIVED THANK YOU"/>
    <n v="1.89"/>
    <x v="1"/>
    <x v="1"/>
    <x v="16"/>
  </r>
  <r>
    <x v="0"/>
    <x v="1"/>
    <x v="2"/>
    <x v="5"/>
    <s v="PAYMENT RECEIVED THANK YOU"/>
    <n v="23.63"/>
    <x v="1"/>
    <x v="1"/>
    <x v="16"/>
  </r>
  <r>
    <x v="0"/>
    <x v="1"/>
    <x v="2"/>
    <x v="6"/>
    <s v="PAYMENT RECEIVED THANK YOU"/>
    <n v="9.33"/>
    <x v="1"/>
    <x v="1"/>
    <x v="16"/>
  </r>
  <r>
    <x v="0"/>
    <x v="1"/>
    <x v="2"/>
    <x v="5"/>
    <s v="MYRENT AUCKLAND"/>
    <n v="-14.76"/>
    <x v="4"/>
    <x v="17"/>
    <x v="20"/>
  </r>
  <r>
    <x v="0"/>
    <x v="1"/>
    <x v="2"/>
    <x v="7"/>
    <s v="PAYMENT RECEIVED THANK YOU"/>
    <n v="25.02"/>
    <x v="1"/>
    <x v="1"/>
    <x v="16"/>
  </r>
  <r>
    <x v="0"/>
    <x v="1"/>
    <x v="2"/>
    <x v="6"/>
    <s v="VICTORY CHRISTIAN CHURCH AUCKLAND"/>
    <n v="-6.22"/>
    <x v="6"/>
    <x v="9"/>
    <x v="21"/>
  </r>
  <r>
    <x v="0"/>
    <x v="1"/>
    <x v="2"/>
    <x v="7"/>
    <s v="LE PETITE FOURCHETTE AUCKLAND"/>
    <n v="-16.079999999999998"/>
    <x v="3"/>
    <x v="8"/>
    <x v="8"/>
  </r>
  <r>
    <x v="0"/>
    <x v="1"/>
    <x v="2"/>
    <x v="7"/>
    <s v="MKT ROAD KITCHEN AUCKLAND"/>
    <n v="-2.1"/>
    <x v="3"/>
    <x v="8"/>
    <x v="8"/>
  </r>
  <r>
    <x v="0"/>
    <x v="1"/>
    <x v="2"/>
    <x v="8"/>
    <s v="DBS Jetts Remuera North Harbour"/>
    <n v="-4.1100000000000003"/>
    <x v="3"/>
    <x v="14"/>
    <x v="17"/>
  </r>
  <r>
    <x v="0"/>
    <x v="1"/>
    <x v="2"/>
    <x v="8"/>
    <s v="PAYMENT RECEIVED THANK YOU"/>
    <n v="12.52"/>
    <x v="1"/>
    <x v="1"/>
    <x v="16"/>
  </r>
  <r>
    <x v="0"/>
    <x v="1"/>
    <x v="2"/>
    <x v="10"/>
    <s v="PAYMENT RECEIVED THANK YOU"/>
    <n v="29.59"/>
    <x v="1"/>
    <x v="1"/>
    <x v="16"/>
  </r>
  <r>
    <x v="0"/>
    <x v="1"/>
    <x v="2"/>
    <x v="10"/>
    <s v="PAYMENT RECEIVED THANK YOU"/>
    <n v="24.82"/>
    <x v="1"/>
    <x v="1"/>
    <x v="16"/>
  </r>
  <r>
    <x v="0"/>
    <x v="1"/>
    <x v="2"/>
    <x v="10"/>
    <s v="PAYMENT RECEIVED THANK YOU"/>
    <n v="8.18"/>
    <x v="1"/>
    <x v="1"/>
    <x v="16"/>
  </r>
  <r>
    <x v="0"/>
    <x v="1"/>
    <x v="2"/>
    <x v="8"/>
    <s v="www.aliexpress.com WWW.ALIEXPRES"/>
    <n v="-10.36"/>
    <x v="9"/>
    <x v="18"/>
    <x v="22"/>
  </r>
  <r>
    <x v="0"/>
    <x v="1"/>
    <x v="2"/>
    <x v="10"/>
    <s v="PAYMENT RECEIVED THANK YOU"/>
    <n v="7.41"/>
    <x v="1"/>
    <x v="1"/>
    <x v="16"/>
  </r>
  <r>
    <x v="0"/>
    <x v="1"/>
    <x v="2"/>
    <x v="10"/>
    <s v="DREAMERS CAFE EPSOM"/>
    <n v="-16.11"/>
    <x v="3"/>
    <x v="8"/>
    <x v="8"/>
  </r>
  <r>
    <x v="0"/>
    <x v="1"/>
    <x v="2"/>
    <x v="10"/>
    <s v="HESARISUPERMARKETPANMURE AUCKLAND"/>
    <n v="-11.65"/>
    <x v="0"/>
    <x v="0"/>
    <x v="0"/>
  </r>
  <r>
    <x v="0"/>
    <x v="1"/>
    <x v="2"/>
    <x v="11"/>
    <s v="PAYMENT RECEIVED THANK YOU"/>
    <n v="2.98"/>
    <x v="1"/>
    <x v="1"/>
    <x v="16"/>
  </r>
  <r>
    <x v="0"/>
    <x v="1"/>
    <x v="2"/>
    <x v="266"/>
    <s v="VICTORY CHRISTIAN CHURCH AUCKLAND"/>
    <n v="-7.17"/>
    <x v="6"/>
    <x v="9"/>
    <x v="21"/>
  </r>
  <r>
    <x v="0"/>
    <x v="1"/>
    <x v="2"/>
    <x v="11"/>
    <s v="PONSONBY CENTRAL CARPARK AUCKLAND"/>
    <n v="-3.24"/>
    <x v="3"/>
    <x v="8"/>
    <x v="8"/>
  </r>
  <r>
    <x v="0"/>
    <x v="1"/>
    <x v="2"/>
    <x v="9"/>
    <s v="AIA NEW ZEALAND AUCKLAND"/>
    <n v="-41.24"/>
    <x v="8"/>
    <x v="19"/>
    <x v="23"/>
  </r>
  <r>
    <x v="0"/>
    <x v="1"/>
    <x v="2"/>
    <x v="13"/>
    <s v="PAYMENT RECEIVED THANK YOU"/>
    <n v="221.73"/>
    <x v="1"/>
    <x v="1"/>
    <x v="16"/>
  </r>
  <r>
    <x v="0"/>
    <x v="1"/>
    <x v="2"/>
    <x v="12"/>
    <s v="PAK N SAVE SYLVIA PARK AUCKLAND"/>
    <n v="-118.58"/>
    <x v="0"/>
    <x v="0"/>
    <x v="0"/>
  </r>
  <r>
    <x v="0"/>
    <x v="1"/>
    <x v="2"/>
    <x v="266"/>
    <s v="PAYPAL  AIRBNB  HMN5PT 35314369001"/>
    <n v="-933.25"/>
    <x v="3"/>
    <x v="6"/>
    <x v="6"/>
  </r>
  <r>
    <x v="0"/>
    <x v="1"/>
    <x v="2"/>
    <x v="14"/>
    <s v="PAYMENT RECEIVED THANK YOU"/>
    <n v="2117.33"/>
    <x v="1"/>
    <x v="1"/>
    <x v="16"/>
  </r>
  <r>
    <x v="0"/>
    <x v="1"/>
    <x v="2"/>
    <x v="14"/>
    <s v="PAYMENT RECEIVED THANK YOU"/>
    <n v="10.99"/>
    <x v="1"/>
    <x v="1"/>
    <x v="16"/>
  </r>
  <r>
    <x v="0"/>
    <x v="1"/>
    <x v="2"/>
    <x v="13"/>
    <s v="MKT ROAD KITCHEN AUCKLAND"/>
    <n v="-2.5099999999999998"/>
    <x v="3"/>
    <x v="8"/>
    <x v="8"/>
  </r>
  <r>
    <x v="0"/>
    <x v="1"/>
    <x v="2"/>
    <x v="13"/>
    <s v="PARKMATE NZ AUCKLAND"/>
    <n v="-42.48"/>
    <x v="6"/>
    <x v="9"/>
    <x v="21"/>
  </r>
  <r>
    <x v="0"/>
    <x v="1"/>
    <x v="2"/>
    <x v="14"/>
    <s v="TOWER INSURANCE - EIS 093692079"/>
    <n v="-65.03"/>
    <x v="8"/>
    <x v="15"/>
    <x v="18"/>
  </r>
  <r>
    <x v="0"/>
    <x v="1"/>
    <x v="2"/>
    <x v="14"/>
    <s v="TOWER INSURANCE - EIS 093692079"/>
    <n v="-96.45"/>
    <x v="8"/>
    <x v="15"/>
    <x v="18"/>
  </r>
  <r>
    <x v="0"/>
    <x v="1"/>
    <x v="2"/>
    <x v="14"/>
    <s v="TOWER INSURANCE - EIS 093692079"/>
    <n v="-9.18"/>
    <x v="8"/>
    <x v="15"/>
    <x v="18"/>
  </r>
  <r>
    <x v="0"/>
    <x v="1"/>
    <x v="2"/>
    <x v="15"/>
    <s v="PAYMENT RECEIVED THANK YOU"/>
    <n v="22.26"/>
    <x v="1"/>
    <x v="1"/>
    <x v="16"/>
  </r>
  <r>
    <x v="0"/>
    <x v="1"/>
    <x v="2"/>
    <x v="14"/>
    <s v="DBS Jetts Remuera North Harbour"/>
    <n v="-3.58"/>
    <x v="3"/>
    <x v="14"/>
    <x v="17"/>
  </r>
  <r>
    <x v="0"/>
    <x v="1"/>
    <x v="2"/>
    <x v="16"/>
    <s v="PAYMENT RECEIVED THANK YOU"/>
    <n v="10.69"/>
    <x v="1"/>
    <x v="1"/>
    <x v="16"/>
  </r>
  <r>
    <x v="0"/>
    <x v="1"/>
    <x v="2"/>
    <x v="18"/>
    <s v="PAYMENT RECEIVED THANK YOU"/>
    <n v="610.33000000000004"/>
    <x v="1"/>
    <x v="1"/>
    <x v="16"/>
  </r>
  <r>
    <x v="0"/>
    <x v="1"/>
    <x v="2"/>
    <x v="18"/>
    <s v="PAYMENT RECEIVED THANK YOU"/>
    <n v="59.86"/>
    <x v="1"/>
    <x v="1"/>
    <x v="16"/>
  </r>
  <r>
    <x v="0"/>
    <x v="1"/>
    <x v="2"/>
    <x v="17"/>
    <s v="Akl Airport Carpark Auckland"/>
    <n v="-0.54"/>
    <x v="3"/>
    <x v="6"/>
    <x v="6"/>
  </r>
  <r>
    <x v="0"/>
    <x v="1"/>
    <x v="2"/>
    <x v="17"/>
    <s v="MODERENTALS AUCKLAND"/>
    <n v="-211.31"/>
    <x v="6"/>
    <x v="9"/>
    <x v="24"/>
  </r>
  <r>
    <x v="0"/>
    <x v="1"/>
    <x v="2"/>
    <x v="18"/>
    <s v="Qldc Parking Queenstown"/>
    <n v="-3.83"/>
    <x v="6"/>
    <x v="9"/>
    <x v="21"/>
  </r>
  <r>
    <x v="0"/>
    <x v="1"/>
    <x v="2"/>
    <x v="19"/>
    <s v="PAYMENT RECEIVED THANK YOU"/>
    <n v="21.95"/>
    <x v="1"/>
    <x v="1"/>
    <x v="16"/>
  </r>
  <r>
    <x v="0"/>
    <x v="1"/>
    <x v="2"/>
    <x v="19"/>
    <s v="PAYMENT RECEIVED THANK YOU"/>
    <n v="10.039999999999999"/>
    <x v="1"/>
    <x v="1"/>
    <x v="16"/>
  </r>
  <r>
    <x v="0"/>
    <x v="1"/>
    <x v="2"/>
    <x v="18"/>
    <s v="Qldc Parking Queenstown"/>
    <n v="-9"/>
    <x v="6"/>
    <x v="9"/>
    <x v="21"/>
  </r>
  <r>
    <x v="0"/>
    <x v="1"/>
    <x v="2"/>
    <x v="19"/>
    <s v="211 Remarks Road Entry Queenstown"/>
    <n v="-11.66"/>
    <x v="3"/>
    <x v="6"/>
    <x v="6"/>
  </r>
  <r>
    <x v="0"/>
    <x v="1"/>
    <x v="2"/>
    <x v="18"/>
    <s v="FOUR SQUARE QUEENSTOWN QUEENSTOWN"/>
    <n v="-9.57"/>
    <x v="0"/>
    <x v="0"/>
    <x v="0"/>
  </r>
  <r>
    <x v="0"/>
    <x v="1"/>
    <x v="2"/>
    <x v="17"/>
    <s v="DBS Jetts Remuera North Harbour"/>
    <n v="-8.98"/>
    <x v="3"/>
    <x v="14"/>
    <x v="17"/>
  </r>
  <r>
    <x v="0"/>
    <x v="1"/>
    <x v="2"/>
    <x v="18"/>
    <s v="THE LODGE BAR AUCKLAND"/>
    <n v="-36.659999999999997"/>
    <x v="3"/>
    <x v="8"/>
    <x v="8"/>
  </r>
  <r>
    <x v="0"/>
    <x v="1"/>
    <x v="2"/>
    <x v="19"/>
    <s v="SKINNY AUCKLAND"/>
    <n v="-9.2100000000000009"/>
    <x v="7"/>
    <x v="10"/>
    <x v="10"/>
  </r>
  <r>
    <x v="0"/>
    <x v="1"/>
    <x v="2"/>
    <x v="20"/>
    <s v="PAYMENT RECEIVED THANK YOU"/>
    <n v="5.95"/>
    <x v="1"/>
    <x v="1"/>
    <x v="16"/>
  </r>
  <r>
    <x v="0"/>
    <x v="1"/>
    <x v="2"/>
    <x v="267"/>
    <s v="SKINNY AUCKLAND"/>
    <n v="-11.15"/>
    <x v="7"/>
    <x v="10"/>
    <x v="10"/>
  </r>
  <r>
    <x v="0"/>
    <x v="1"/>
    <x v="2"/>
    <x v="21"/>
    <s v="PAYMENT RECEIVED THANK YOU"/>
    <n v="16.170000000000002"/>
    <x v="1"/>
    <x v="1"/>
    <x v="16"/>
  </r>
  <r>
    <x v="0"/>
    <x v="1"/>
    <x v="2"/>
    <x v="20"/>
    <s v="VICTORY CHRISTIAN CHURCH AUCKLAND"/>
    <n v="-15.88"/>
    <x v="6"/>
    <x v="9"/>
    <x v="21"/>
  </r>
  <r>
    <x v="0"/>
    <x v="1"/>
    <x v="2"/>
    <x v="20"/>
    <s v="Fergbaker Queenstown"/>
    <n v="-11.23"/>
    <x v="3"/>
    <x v="8"/>
    <x v="8"/>
  </r>
  <r>
    <x v="0"/>
    <x v="1"/>
    <x v="2"/>
    <x v="20"/>
    <s v="Fergbaker Queenstown"/>
    <n v="-2.89"/>
    <x v="3"/>
    <x v="8"/>
    <x v="8"/>
  </r>
  <r>
    <x v="0"/>
    <x v="1"/>
    <x v="2"/>
    <x v="20"/>
    <s v="BP CONNECT QUEENSTOWN QUEENSTOWN"/>
    <n v="-32.409999999999997"/>
    <x v="6"/>
    <x v="9"/>
    <x v="14"/>
  </r>
  <r>
    <x v="0"/>
    <x v="1"/>
    <x v="2"/>
    <x v="267"/>
    <s v="US MOBILE  US MOBILE WWW.USMOBILE. NY 9.07 US DOLLAR at a Conversion Rate  of 0.6120 (NZ$14.82)"/>
    <n v="-2.56"/>
    <x v="7"/>
    <x v="13"/>
    <x v="15"/>
  </r>
  <r>
    <x v="0"/>
    <x v="1"/>
    <x v="2"/>
    <x v="267"/>
    <s v="OFFSHORE SERVICE MARGINS"/>
    <n v="-0.09"/>
    <x v="5"/>
    <x v="7"/>
    <x v="7"/>
  </r>
  <r>
    <x v="0"/>
    <x v="1"/>
    <x v="2"/>
    <x v="22"/>
    <s v="PAYMENT RECEIVED THANK YOU"/>
    <n v="14.01"/>
    <x v="1"/>
    <x v="1"/>
    <x v="16"/>
  </r>
  <r>
    <x v="0"/>
    <x v="1"/>
    <x v="2"/>
    <x v="21"/>
    <s v="GULL MARUA ROAD AUCKLAND"/>
    <n v="-13.51"/>
    <x v="6"/>
    <x v="9"/>
    <x v="14"/>
  </r>
  <r>
    <x v="0"/>
    <x v="1"/>
    <x v="2"/>
    <x v="20"/>
    <s v="PATAGONIA CHOCOLATES QUEENSTOWN"/>
    <n v="-3.59"/>
    <x v="3"/>
    <x v="8"/>
    <x v="8"/>
  </r>
  <r>
    <x v="0"/>
    <x v="1"/>
    <x v="2"/>
    <x v="22"/>
    <s v="LITTLE LUSCIOUS CAFE AUCKLAND"/>
    <n v="-2.23"/>
    <x v="3"/>
    <x v="8"/>
    <x v="8"/>
  </r>
  <r>
    <x v="0"/>
    <x v="1"/>
    <x v="2"/>
    <x v="22"/>
    <s v="ELLERSLIE CENTRAL POST SH AUCKLAND"/>
    <n v="-6.9"/>
    <x v="5"/>
    <x v="7"/>
    <x v="25"/>
  </r>
  <r>
    <x v="0"/>
    <x v="1"/>
    <x v="2"/>
    <x v="22"/>
    <s v="NEW WORLD STONEFIELDS AUCKLAND NZ"/>
    <n v="-141.91"/>
    <x v="0"/>
    <x v="0"/>
    <x v="0"/>
  </r>
  <r>
    <x v="0"/>
    <x v="1"/>
    <x v="2"/>
    <x v="22"/>
    <s v="Downtown Car Park Auckland"/>
    <n v="-6.28"/>
    <x v="6"/>
    <x v="9"/>
    <x v="21"/>
  </r>
  <r>
    <x v="0"/>
    <x v="1"/>
    <x v="2"/>
    <x v="24"/>
    <s v="PAYMENT RECEIVED THANK YOU"/>
    <n v="10.34"/>
    <x v="1"/>
    <x v="1"/>
    <x v="16"/>
  </r>
  <r>
    <x v="0"/>
    <x v="1"/>
    <x v="2"/>
    <x v="24"/>
    <s v="PAYMENT RECEIVED THANK YOU"/>
    <n v="160.9"/>
    <x v="1"/>
    <x v="1"/>
    <x v="16"/>
  </r>
  <r>
    <x v="0"/>
    <x v="1"/>
    <x v="2"/>
    <x v="24"/>
    <s v="TSUJIRI AUCKLAND"/>
    <n v="-13.44"/>
    <x v="0"/>
    <x v="0"/>
    <x v="0"/>
  </r>
  <r>
    <x v="0"/>
    <x v="1"/>
    <x v="2"/>
    <x v="24"/>
    <s v="PAYMENT RECEIVED THANK YOU"/>
    <n v="32.69"/>
    <x v="1"/>
    <x v="1"/>
    <x v="16"/>
  </r>
  <r>
    <x v="0"/>
    <x v="1"/>
    <x v="2"/>
    <x v="25"/>
    <s v="PAYMENT RECEIVED THANK YOU"/>
    <n v="45.26"/>
    <x v="1"/>
    <x v="1"/>
    <x v="16"/>
  </r>
  <r>
    <x v="0"/>
    <x v="1"/>
    <x v="2"/>
    <x v="24"/>
    <s v="WILSON P27 FORT AUCKLAND"/>
    <n v="-40.69"/>
    <x v="6"/>
    <x v="9"/>
    <x v="21"/>
  </r>
  <r>
    <x v="0"/>
    <x v="1"/>
    <x v="2"/>
    <x v="24"/>
    <s v="ALTEZANO SNICKEL LANE WHANGAREI"/>
    <n v="-6.69"/>
    <x v="3"/>
    <x v="6"/>
    <x v="6"/>
  </r>
  <r>
    <x v="0"/>
    <x v="1"/>
    <x v="2"/>
    <x v="26"/>
    <s v="PAYMENT RECEIVED THANK YOU"/>
    <n v="2.2400000000000002"/>
    <x v="1"/>
    <x v="1"/>
    <x v="16"/>
  </r>
  <r>
    <x v="0"/>
    <x v="1"/>
    <x v="2"/>
    <x v="25"/>
    <s v="DREAMERS CAFE EPSOM"/>
    <n v="-1.45"/>
    <x v="3"/>
    <x v="8"/>
    <x v="8"/>
  </r>
  <r>
    <x v="0"/>
    <x v="1"/>
    <x v="2"/>
    <x v="24"/>
    <s v="DBS Jetts Remuera North Harbour"/>
    <n v="-0.82"/>
    <x v="3"/>
    <x v="14"/>
    <x v="17"/>
  </r>
  <r>
    <x v="0"/>
    <x v="1"/>
    <x v="2"/>
    <x v="26"/>
    <s v="AT Parking Auckland"/>
    <n v="-0.72"/>
    <x v="6"/>
    <x v="9"/>
    <x v="21"/>
  </r>
  <r>
    <x v="0"/>
    <x v="1"/>
    <x v="2"/>
    <x v="25"/>
    <s v="APPLE.COM/BILL SYDNEY"/>
    <n v="-15.09"/>
    <x v="7"/>
    <x v="16"/>
    <x v="19"/>
  </r>
  <r>
    <x v="0"/>
    <x v="1"/>
    <x v="2"/>
    <x v="27"/>
    <s v="PAYMENT RECEIVED THANK YOU"/>
    <n v="2.19"/>
    <x v="1"/>
    <x v="1"/>
    <x v="16"/>
  </r>
  <r>
    <x v="0"/>
    <x v="1"/>
    <x v="2"/>
    <x v="268"/>
    <s v="BAKLAWA CAFE AUCKLAND"/>
    <n v="-7.33"/>
    <x v="0"/>
    <x v="0"/>
    <x v="0"/>
  </r>
  <r>
    <x v="0"/>
    <x v="1"/>
    <x v="2"/>
    <x v="26"/>
    <s v="TOWER INSURANCE - EIS 093692079"/>
    <n v="-5.49"/>
    <x v="8"/>
    <x v="15"/>
    <x v="18"/>
  </r>
  <r>
    <x v="0"/>
    <x v="1"/>
    <x v="2"/>
    <x v="28"/>
    <s v="PAYMENT RECEIVED THANK YOU"/>
    <n v="31.41"/>
    <x v="1"/>
    <x v="1"/>
    <x v="16"/>
  </r>
  <r>
    <x v="0"/>
    <x v="1"/>
    <x v="2"/>
    <x v="28"/>
    <s v="PAYMENT RECEIVED THANK YOU"/>
    <n v="63.98"/>
    <x v="1"/>
    <x v="1"/>
    <x v="16"/>
  </r>
  <r>
    <x v="0"/>
    <x v="1"/>
    <x v="2"/>
    <x v="28"/>
    <s v="MyGoodnessGiftBaskets 6494158868"/>
    <n v="-89.4"/>
    <x v="3"/>
    <x v="3"/>
    <x v="26"/>
  </r>
  <r>
    <x v="0"/>
    <x v="1"/>
    <x v="2"/>
    <x v="29"/>
    <s v="MYRENT AUCKLAND"/>
    <n v="-29.16"/>
    <x v="4"/>
    <x v="17"/>
    <x v="20"/>
  </r>
  <r>
    <x v="0"/>
    <x v="1"/>
    <x v="2"/>
    <x v="29"/>
    <s v="PAK N SAVE SYLVIA PARK AUCKLAND"/>
    <n v="-82.53"/>
    <x v="0"/>
    <x v="0"/>
    <x v="0"/>
  </r>
  <r>
    <x v="0"/>
    <x v="1"/>
    <x v="2"/>
    <x v="31"/>
    <s v="PAYMENT RECEIVED THANK YOU"/>
    <n v="3.48"/>
    <x v="1"/>
    <x v="1"/>
    <x v="16"/>
  </r>
  <r>
    <x v="0"/>
    <x v="1"/>
    <x v="2"/>
    <x v="31"/>
    <s v="PAYMENT RECEIVED THANK YOU"/>
    <n v="43.92"/>
    <x v="1"/>
    <x v="1"/>
    <x v="16"/>
  </r>
  <r>
    <x v="0"/>
    <x v="1"/>
    <x v="2"/>
    <x v="30"/>
    <s v="DBS Jetts Remuera North Harbour"/>
    <n v="-2.59"/>
    <x v="3"/>
    <x v="14"/>
    <x v="17"/>
  </r>
  <r>
    <x v="0"/>
    <x v="1"/>
    <x v="2"/>
    <x v="31"/>
    <s v="Kings Plant Barn Mount Welling"/>
    <n v="-29.29"/>
    <x v="4"/>
    <x v="12"/>
    <x v="12"/>
  </r>
  <r>
    <x v="0"/>
    <x v="1"/>
    <x v="2"/>
    <x v="31"/>
    <s v="NEW WORLD STONEFIELDS AUCKLAND NZ"/>
    <n v="-5.4"/>
    <x v="0"/>
    <x v="0"/>
    <x v="0"/>
  </r>
  <r>
    <x v="0"/>
    <x v="1"/>
    <x v="2"/>
    <x v="269"/>
    <s v="GULL MARUA ROAD AUCKLAND"/>
    <n v="-70.52"/>
    <x v="6"/>
    <x v="9"/>
    <x v="14"/>
  </r>
  <r>
    <x v="0"/>
    <x v="1"/>
    <x v="2"/>
    <x v="32"/>
    <s v="PAYMENT RECEIVED THANK YOU"/>
    <n v="215.17"/>
    <x v="1"/>
    <x v="1"/>
    <x v="16"/>
  </r>
  <r>
    <x v="0"/>
    <x v="1"/>
    <x v="2"/>
    <x v="270"/>
    <s v="VICTORY CHRISTIAN CHURCH AUCKLAND"/>
    <n v="-23.16"/>
    <x v="6"/>
    <x v="9"/>
    <x v="21"/>
  </r>
  <r>
    <x v="0"/>
    <x v="1"/>
    <x v="2"/>
    <x v="32"/>
    <s v="Unichem Wynyard Pharmcy Auckland"/>
    <n v="-28.31"/>
    <x v="10"/>
    <x v="20"/>
    <x v="27"/>
  </r>
  <r>
    <x v="0"/>
    <x v="1"/>
    <x v="2"/>
    <x v="33"/>
    <s v="PAYMENT RECEIVED THANK YOU"/>
    <n v="58.95"/>
    <x v="1"/>
    <x v="1"/>
    <x v="16"/>
  </r>
  <r>
    <x v="0"/>
    <x v="1"/>
    <x v="2"/>
    <x v="35"/>
    <s v="PAYMENT RECEIVED THANK YOU"/>
    <n v="4.2300000000000004"/>
    <x v="1"/>
    <x v="1"/>
    <x v="16"/>
  </r>
  <r>
    <x v="0"/>
    <x v="1"/>
    <x v="2"/>
    <x v="36"/>
    <s v="PAYMENT RECEIVED THANK YOU"/>
    <n v="0.52"/>
    <x v="1"/>
    <x v="1"/>
    <x v="16"/>
  </r>
  <r>
    <x v="0"/>
    <x v="1"/>
    <x v="2"/>
    <x v="34"/>
    <s v="aliexpress London"/>
    <n v="-5.82"/>
    <x v="9"/>
    <x v="18"/>
    <x v="22"/>
  </r>
  <r>
    <x v="0"/>
    <x v="1"/>
    <x v="2"/>
    <x v="37"/>
    <s v="PAYMENT RECEIVED THANK YOU"/>
    <n v="30.94"/>
    <x v="1"/>
    <x v="1"/>
    <x v="16"/>
  </r>
  <r>
    <x v="0"/>
    <x v="1"/>
    <x v="2"/>
    <x v="37"/>
    <s v="VICTORY CHRISTIAN CHURCH AUCKLAND"/>
    <n v="-10.37"/>
    <x v="6"/>
    <x v="9"/>
    <x v="21"/>
  </r>
  <r>
    <x v="0"/>
    <x v="1"/>
    <x v="2"/>
    <x v="37"/>
    <s v="MEGA CAFE MT WGTN AUCKLAND"/>
    <n v="-30.37"/>
    <x v="3"/>
    <x v="8"/>
    <x v="8"/>
  </r>
  <r>
    <x v="0"/>
    <x v="1"/>
    <x v="2"/>
    <x v="37"/>
    <s v="NEW WORLD STONEFIELDS AUCKLAND NZ"/>
    <n v="-88.47"/>
    <x v="0"/>
    <x v="0"/>
    <x v="0"/>
  </r>
  <r>
    <x v="0"/>
    <x v="1"/>
    <x v="2"/>
    <x v="37"/>
    <s v="MITRE 10 MEGA MT WTGN MOUNT WELLING"/>
    <n v="-43.82"/>
    <x v="4"/>
    <x v="12"/>
    <x v="12"/>
  </r>
  <r>
    <x v="0"/>
    <x v="1"/>
    <x v="2"/>
    <x v="37"/>
    <s v="GOODFOR LUNN AVE AUCKLAND"/>
    <n v="-15.77"/>
    <x v="0"/>
    <x v="0"/>
    <x v="0"/>
  </r>
  <r>
    <x v="0"/>
    <x v="1"/>
    <x v="2"/>
    <x v="36"/>
    <s v="MCDONALDS MT WELLINGTON AUCKLAND"/>
    <n v="-0.85"/>
    <x v="3"/>
    <x v="8"/>
    <x v="8"/>
  </r>
  <r>
    <x v="0"/>
    <x v="1"/>
    <x v="2"/>
    <x v="38"/>
    <s v="PAYMENT RECEIVED THANK YOU"/>
    <n v="301.56"/>
    <x v="1"/>
    <x v="1"/>
    <x v="16"/>
  </r>
  <r>
    <x v="0"/>
    <x v="1"/>
    <x v="2"/>
    <x v="40"/>
    <s v="PAYMENT RECEIVED THANK YOU"/>
    <n v="182.59"/>
    <x v="1"/>
    <x v="1"/>
    <x v="16"/>
  </r>
  <r>
    <x v="0"/>
    <x v="1"/>
    <x v="2"/>
    <x v="39"/>
    <s v="BAT (NEW ZEALAND) LIMITED VENDOR_INVOIC"/>
    <n v="-1.99"/>
    <x v="3"/>
    <x v="3"/>
    <x v="28"/>
  </r>
  <r>
    <x v="0"/>
    <x v="1"/>
    <x v="2"/>
    <x v="41"/>
    <s v="PAYMENT RECEIVED THANK YOU"/>
    <n v="38.270000000000003"/>
    <x v="1"/>
    <x v="1"/>
    <x v="16"/>
  </r>
  <r>
    <x v="0"/>
    <x v="1"/>
    <x v="2"/>
    <x v="271"/>
    <s v="MINT CAKERY AUCKLAND"/>
    <n v="-7.57"/>
    <x v="0"/>
    <x v="0"/>
    <x v="0"/>
  </r>
  <r>
    <x v="0"/>
    <x v="1"/>
    <x v="2"/>
    <x v="272"/>
    <s v="VICTORY CHRISTIAN CHURCH AUCKLAND"/>
    <n v="-4.5"/>
    <x v="6"/>
    <x v="9"/>
    <x v="21"/>
  </r>
  <r>
    <x v="0"/>
    <x v="1"/>
    <x v="2"/>
    <x v="44"/>
    <s v="PAYMENT RECEIVED THANK YOU"/>
    <n v="25.58"/>
    <x v="1"/>
    <x v="1"/>
    <x v="16"/>
  </r>
  <r>
    <x v="0"/>
    <x v="1"/>
    <x v="2"/>
    <x v="44"/>
    <s v="BP CONNECT BOULEVARD AUCKLAND"/>
    <n v="-59.21"/>
    <x v="6"/>
    <x v="9"/>
    <x v="14"/>
  </r>
  <r>
    <x v="0"/>
    <x v="1"/>
    <x v="2"/>
    <x v="46"/>
    <s v="PAYMENT RECEIVED THANK YOU"/>
    <n v="23.17"/>
    <x v="1"/>
    <x v="1"/>
    <x v="16"/>
  </r>
  <r>
    <x v="0"/>
    <x v="1"/>
    <x v="2"/>
    <x v="45"/>
    <s v="FALSE CREEK FERRIES VANCOUVER BC 36.00 CANADIAN DOLLAR at a Conversion Rate  of 0.8077 (NZ$44.57)"/>
    <n v="-11.18"/>
    <x v="3"/>
    <x v="8"/>
    <x v="8"/>
  </r>
  <r>
    <x v="0"/>
    <x v="1"/>
    <x v="2"/>
    <x v="45"/>
    <s v="OFFSHORE SERVICE MARGINS"/>
    <n v="-0.65"/>
    <x v="5"/>
    <x v="7"/>
    <x v="7"/>
  </r>
  <r>
    <x v="0"/>
    <x v="1"/>
    <x v="2"/>
    <x v="49"/>
    <s v="PAYMENT RECEIVED THANK YOU"/>
    <n v="2.84"/>
    <x v="1"/>
    <x v="1"/>
    <x v="16"/>
  </r>
  <r>
    <x v="0"/>
    <x v="1"/>
    <x v="2"/>
    <x v="48"/>
    <s v="FRESHLY SQUEEZED VAUGH VAUGHAN ON 7.63 CANADIAN DOLLAR at a Conversion Rate  of 0.8091 (NZ$9.43)"/>
    <n v="-5.44"/>
    <x v="3"/>
    <x v="8"/>
    <x v="8"/>
  </r>
  <r>
    <x v="0"/>
    <x v="1"/>
    <x v="2"/>
    <x v="48"/>
    <s v="OFFSHORE SERVICE MARGINS"/>
    <n v="-0.21"/>
    <x v="5"/>
    <x v="7"/>
    <x v="7"/>
  </r>
  <r>
    <x v="0"/>
    <x v="1"/>
    <x v="2"/>
    <x v="51"/>
    <s v="MYRENT AUCKLAND"/>
    <n v="-67.5"/>
    <x v="4"/>
    <x v="17"/>
    <x v="20"/>
  </r>
  <r>
    <x v="0"/>
    <x v="1"/>
    <x v="2"/>
    <x v="52"/>
    <s v="PAYMENT RECEIVED THANK YOU"/>
    <n v="43.7"/>
    <x v="1"/>
    <x v="1"/>
    <x v="16"/>
  </r>
  <r>
    <x v="0"/>
    <x v="1"/>
    <x v="2"/>
    <x v="56"/>
    <s v="PAYMENT RECEIVED THANK YOU"/>
    <n v="1665.18"/>
    <x v="1"/>
    <x v="1"/>
    <x v="16"/>
  </r>
  <r>
    <x v="0"/>
    <x v="1"/>
    <x v="2"/>
    <x v="58"/>
    <s v="PAYMENT RECEIVED THANK YOU"/>
    <n v="9.33"/>
    <x v="1"/>
    <x v="1"/>
    <x v="16"/>
  </r>
  <r>
    <x v="0"/>
    <x v="1"/>
    <x v="2"/>
    <x v="59"/>
    <s v="PAYMENT RECEIVED THANK YOU"/>
    <n v="18.14"/>
    <x v="1"/>
    <x v="1"/>
    <x v="16"/>
  </r>
  <r>
    <x v="0"/>
    <x v="1"/>
    <x v="2"/>
    <x v="57"/>
    <s v="STARBUCKS 00157 VANCOUVER BC 7.09 CANADIAN DOLLAR at a Conversion Rate  of 0.8039 (NZ$8.82)"/>
    <n v="-11.59"/>
    <x v="3"/>
    <x v="8"/>
    <x v="8"/>
  </r>
  <r>
    <x v="0"/>
    <x v="1"/>
    <x v="2"/>
    <x v="57"/>
    <s v="OFFSHORE SERVICE MARGINS"/>
    <n v="-0.21"/>
    <x v="5"/>
    <x v="7"/>
    <x v="7"/>
  </r>
  <r>
    <x v="0"/>
    <x v="1"/>
    <x v="2"/>
    <x v="60"/>
    <s v="PAYMENT RECEIVED THANK YOU"/>
    <n v="46.35"/>
    <x v="1"/>
    <x v="1"/>
    <x v="16"/>
  </r>
  <r>
    <x v="0"/>
    <x v="1"/>
    <x v="2"/>
    <x v="57"/>
    <s v="MINK A CHOCOLATE CAFE VANCOUVER BC 36.49 CANADIAN DOLLAR at a Conversion Rate  of 0.8036 (NZ$45.41)"/>
    <n v="-45.41"/>
    <x v="3"/>
    <x v="8"/>
    <x v="8"/>
  </r>
  <r>
    <x v="0"/>
    <x v="1"/>
    <x v="2"/>
    <x v="57"/>
    <s v="OFFSHORE SERVICE MARGINS"/>
    <n v="-7.0000000000000007E-2"/>
    <x v="5"/>
    <x v="7"/>
    <x v="7"/>
  </r>
  <r>
    <x v="0"/>
    <x v="1"/>
    <x v="2"/>
    <x v="58"/>
    <s v="0836-VAN RELAY W'ILLY RICHMOND BC 1.18 CANADIAN DOLLAR at a Conversion Rate  of 0.8027 (NZ$1.47)"/>
    <n v="-1.92"/>
    <x v="3"/>
    <x v="8"/>
    <x v="8"/>
  </r>
  <r>
    <x v="0"/>
    <x v="1"/>
    <x v="2"/>
    <x v="58"/>
    <s v="OFFSHORE SERVICE MARGINS"/>
    <n v="-0.01"/>
    <x v="5"/>
    <x v="7"/>
    <x v="7"/>
  </r>
  <r>
    <x v="0"/>
    <x v="1"/>
    <x v="2"/>
    <x v="61"/>
    <s v="PAYMENT RECEIVED THANK YOU"/>
    <n v="0.36"/>
    <x v="1"/>
    <x v="1"/>
    <x v="16"/>
  </r>
  <r>
    <x v="0"/>
    <x v="1"/>
    <x v="2"/>
    <x v="273"/>
    <s v="Philip Morris New Zealan Auckland"/>
    <n v="-116.27"/>
    <x v="3"/>
    <x v="3"/>
    <x v="28"/>
  </r>
  <r>
    <x v="0"/>
    <x v="1"/>
    <x v="2"/>
    <x v="63"/>
    <s v="PAYMENT RECEIVED THANK YOU"/>
    <n v="13.52"/>
    <x v="1"/>
    <x v="1"/>
    <x v="16"/>
  </r>
  <r>
    <x v="0"/>
    <x v="1"/>
    <x v="2"/>
    <x v="63"/>
    <s v="PAYMENT RECEIVED THANK YOU"/>
    <n v="12.38"/>
    <x v="1"/>
    <x v="1"/>
    <x v="16"/>
  </r>
  <r>
    <x v="0"/>
    <x v="1"/>
    <x v="2"/>
    <x v="64"/>
    <s v="PAYMENT RECEIVED THANK YOU"/>
    <n v="30.02"/>
    <x v="1"/>
    <x v="1"/>
    <x v="16"/>
  </r>
  <r>
    <x v="0"/>
    <x v="1"/>
    <x v="2"/>
    <x v="66"/>
    <s v="PAYMENT RECEIVED THANK YOU"/>
    <n v="53.01"/>
    <x v="1"/>
    <x v="1"/>
    <x v="16"/>
  </r>
  <r>
    <x v="0"/>
    <x v="1"/>
    <x v="2"/>
    <x v="66"/>
    <s v="PAYMENT RECEIVED THANK YOU"/>
    <n v="10.56"/>
    <x v="1"/>
    <x v="1"/>
    <x v="16"/>
  </r>
  <r>
    <x v="0"/>
    <x v="1"/>
    <x v="2"/>
    <x v="66"/>
    <s v="PAYMENT RECEIVED THANK YOU"/>
    <n v="3.74"/>
    <x v="1"/>
    <x v="1"/>
    <x v="16"/>
  </r>
  <r>
    <x v="0"/>
    <x v="1"/>
    <x v="2"/>
    <x v="66"/>
    <s v="PONSONBY FRIENDS AUCKLAND"/>
    <n v="-2.62"/>
    <x v="3"/>
    <x v="8"/>
    <x v="8"/>
  </r>
  <r>
    <x v="0"/>
    <x v="1"/>
    <x v="2"/>
    <x v="66"/>
    <s v="PAPA TASTY KEBABS AUCKLAND"/>
    <n v="-35.19"/>
    <x v="3"/>
    <x v="8"/>
    <x v="8"/>
  </r>
  <r>
    <x v="0"/>
    <x v="1"/>
    <x v="2"/>
    <x v="66"/>
    <s v="SPRINT FIT AUCKLAND"/>
    <n v="-82.21"/>
    <x v="3"/>
    <x v="14"/>
    <x v="17"/>
  </r>
  <r>
    <x v="0"/>
    <x v="1"/>
    <x v="2"/>
    <x v="67"/>
    <s v="PAYMENT RECEIVED THANK YOU"/>
    <n v="35.92"/>
    <x v="1"/>
    <x v="1"/>
    <x v="16"/>
  </r>
  <r>
    <x v="0"/>
    <x v="1"/>
    <x v="2"/>
    <x v="67"/>
    <s v="PAYMENT RECEIVED THANK YOU"/>
    <n v="42.53"/>
    <x v="1"/>
    <x v="1"/>
    <x v="16"/>
  </r>
  <r>
    <x v="0"/>
    <x v="1"/>
    <x v="2"/>
    <x v="67"/>
    <s v="Watercare Online Remuera"/>
    <n v="-266.41000000000003"/>
    <x v="4"/>
    <x v="4"/>
    <x v="4"/>
  </r>
  <r>
    <x v="0"/>
    <x v="1"/>
    <x v="2"/>
    <x v="68"/>
    <s v="PAYMENT RECEIVED THANK YOU"/>
    <n v="0.14000000000000001"/>
    <x v="1"/>
    <x v="1"/>
    <x v="16"/>
  </r>
  <r>
    <x v="0"/>
    <x v="1"/>
    <x v="2"/>
    <x v="68"/>
    <s v="PAYMENT RECEIVED THANK YOU"/>
    <n v="0.15"/>
    <x v="1"/>
    <x v="1"/>
    <x v="16"/>
  </r>
  <r>
    <x v="0"/>
    <x v="1"/>
    <x v="2"/>
    <x v="68"/>
    <s v="MYRENT AUCKLAND"/>
    <n v="-68.14"/>
    <x v="4"/>
    <x v="17"/>
    <x v="20"/>
  </r>
  <r>
    <x v="0"/>
    <x v="1"/>
    <x v="2"/>
    <x v="67"/>
    <s v="aliexpress London"/>
    <n v="-27.71"/>
    <x v="9"/>
    <x v="18"/>
    <x v="22"/>
  </r>
  <r>
    <x v="0"/>
    <x v="1"/>
    <x v="2"/>
    <x v="69"/>
    <s v="PAYMENT RECEIVED THANK YOU"/>
    <n v="66.38"/>
    <x v="1"/>
    <x v="1"/>
    <x v="16"/>
  </r>
  <r>
    <x v="0"/>
    <x v="1"/>
    <x v="2"/>
    <x v="274"/>
    <s v="TOPDOG NUTRITION WAIRAU VALLEY"/>
    <n v="-50.61"/>
    <x v="3"/>
    <x v="14"/>
    <x v="17"/>
  </r>
  <r>
    <x v="0"/>
    <x v="1"/>
    <x v="2"/>
    <x v="72"/>
    <s v="PAYMENT RECEIVED THANK YOU"/>
    <n v="41.27"/>
    <x v="1"/>
    <x v="1"/>
    <x v="16"/>
  </r>
  <r>
    <x v="0"/>
    <x v="1"/>
    <x v="2"/>
    <x v="79"/>
    <s v="PAYMENT RECEIVED THANK YOU"/>
    <n v="36.82"/>
    <x v="1"/>
    <x v="1"/>
    <x v="16"/>
  </r>
  <r>
    <x v="0"/>
    <x v="1"/>
    <x v="2"/>
    <x v="81"/>
    <s v="PAYMENT RECEIVED THANK YOU"/>
    <n v="8.8800000000000008"/>
    <x v="1"/>
    <x v="1"/>
    <x v="16"/>
  </r>
  <r>
    <x v="0"/>
    <x v="1"/>
    <x v="2"/>
    <x v="275"/>
    <s v="PAYPAL  TEMU 35314369001"/>
    <n v="-6.8"/>
    <x v="9"/>
    <x v="18"/>
    <x v="22"/>
  </r>
  <r>
    <x v="0"/>
    <x v="1"/>
    <x v="2"/>
    <x v="275"/>
    <s v="PAYPAL  TEMU 35314369001"/>
    <n v="-1.89"/>
    <x v="9"/>
    <x v="18"/>
    <x v="22"/>
  </r>
  <r>
    <x v="0"/>
    <x v="1"/>
    <x v="2"/>
    <x v="82"/>
    <s v="PAYMENT RECEIVED THANK YOU"/>
    <n v="18.64"/>
    <x v="1"/>
    <x v="1"/>
    <x v="16"/>
  </r>
  <r>
    <x v="0"/>
    <x v="1"/>
    <x v="2"/>
    <x v="83"/>
    <s v="PAYMENT RECEIVED THANK YOU"/>
    <n v="0.27"/>
    <x v="1"/>
    <x v="1"/>
    <x v="16"/>
  </r>
  <r>
    <x v="0"/>
    <x v="1"/>
    <x v="2"/>
    <x v="83"/>
    <s v="DREAMERS CAFE EPSOM"/>
    <n v="-6.33"/>
    <x v="3"/>
    <x v="8"/>
    <x v="8"/>
  </r>
  <r>
    <x v="0"/>
    <x v="1"/>
    <x v="2"/>
    <x v="84"/>
    <s v="PAYMENT RECEIVED THANK YOU"/>
    <n v="64.010000000000005"/>
    <x v="1"/>
    <x v="1"/>
    <x v="16"/>
  </r>
  <r>
    <x v="0"/>
    <x v="1"/>
    <x v="2"/>
    <x v="86"/>
    <s v="MYRENT AUCKLAND"/>
    <n v="-57.28"/>
    <x v="4"/>
    <x v="17"/>
    <x v="20"/>
  </r>
  <r>
    <x v="0"/>
    <x v="1"/>
    <x v="2"/>
    <x v="87"/>
    <s v="PAYMENT RECEIVED THANK YOU"/>
    <n v="4.8899999999999997"/>
    <x v="1"/>
    <x v="1"/>
    <x v="16"/>
  </r>
  <r>
    <x v="0"/>
    <x v="1"/>
    <x v="2"/>
    <x v="88"/>
    <s v="PAYMENT RECEIVED THANK YOU"/>
    <n v="76.22"/>
    <x v="1"/>
    <x v="1"/>
    <x v="16"/>
  </r>
  <r>
    <x v="0"/>
    <x v="1"/>
    <x v="2"/>
    <x v="89"/>
    <s v="PAYMENT RECEIVED THANK YOU"/>
    <n v="1.01"/>
    <x v="1"/>
    <x v="1"/>
    <x v="16"/>
  </r>
  <r>
    <x v="0"/>
    <x v="1"/>
    <x v="2"/>
    <x v="89"/>
    <s v="FIFA SYDNEY"/>
    <n v="-156.58000000000001"/>
    <x v="3"/>
    <x v="3"/>
    <x v="3"/>
  </r>
  <r>
    <x v="0"/>
    <x v="1"/>
    <x v="2"/>
    <x v="276"/>
    <s v="BP CONNECT BOULEVARD AUCKLAND"/>
    <n v="-63.77"/>
    <x v="6"/>
    <x v="9"/>
    <x v="14"/>
  </r>
  <r>
    <x v="0"/>
    <x v="1"/>
    <x v="2"/>
    <x v="90"/>
    <s v="PAYMENT RECEIVED THANK YOU"/>
    <n v="302.25"/>
    <x v="1"/>
    <x v="1"/>
    <x v="16"/>
  </r>
  <r>
    <x v="0"/>
    <x v="1"/>
    <x v="2"/>
    <x v="95"/>
    <s v="PAYMENT RECEIVED THANK YOU"/>
    <n v="0.56000000000000005"/>
    <x v="1"/>
    <x v="1"/>
    <x v="16"/>
  </r>
  <r>
    <x v="0"/>
    <x v="1"/>
    <x v="2"/>
    <x v="96"/>
    <s v="PAYMENT RECEIVED THANK YOU"/>
    <n v="6.19"/>
    <x v="1"/>
    <x v="1"/>
    <x v="16"/>
  </r>
  <r>
    <x v="0"/>
    <x v="1"/>
    <x v="2"/>
    <x v="97"/>
    <s v="PAYMENT RECEIVED THANK YOU"/>
    <n v="10.09"/>
    <x v="1"/>
    <x v="1"/>
    <x v="16"/>
  </r>
  <r>
    <x v="0"/>
    <x v="1"/>
    <x v="2"/>
    <x v="97"/>
    <s v="PAYMENT RECEIVED THANK YOU"/>
    <n v="19.7"/>
    <x v="1"/>
    <x v="1"/>
    <x v="16"/>
  </r>
  <r>
    <x v="0"/>
    <x v="1"/>
    <x v="2"/>
    <x v="96"/>
    <s v="VICTORY CHRISTIAN CHURCH AUCKLAND"/>
    <n v="-3.8"/>
    <x v="6"/>
    <x v="9"/>
    <x v="21"/>
  </r>
  <r>
    <x v="0"/>
    <x v="1"/>
    <x v="2"/>
    <x v="98"/>
    <s v="PAYMENT RECEIVED THANK YOU"/>
    <n v="116.68"/>
    <x v="1"/>
    <x v="1"/>
    <x v="16"/>
  </r>
  <r>
    <x v="0"/>
    <x v="1"/>
    <x v="2"/>
    <x v="98"/>
    <s v="PAYMENT RECEIVED THANK YOU"/>
    <n v="0.67"/>
    <x v="1"/>
    <x v="1"/>
    <x v="16"/>
  </r>
  <r>
    <x v="0"/>
    <x v="1"/>
    <x v="2"/>
    <x v="97"/>
    <s v="RIPE DELI EPSOM AUCKLAND"/>
    <n v="-4.9400000000000004"/>
    <x v="3"/>
    <x v="8"/>
    <x v="8"/>
  </r>
  <r>
    <x v="0"/>
    <x v="1"/>
    <x v="2"/>
    <x v="97"/>
    <s v="LE PETITE FOURCHETTE AUCKLAND"/>
    <n v="-2.88"/>
    <x v="3"/>
    <x v="8"/>
    <x v="8"/>
  </r>
  <r>
    <x v="0"/>
    <x v="1"/>
    <x v="2"/>
    <x v="99"/>
    <s v="PAYMENT RECEIVED THANK YOU"/>
    <n v="19.079999999999998"/>
    <x v="1"/>
    <x v="1"/>
    <x v="16"/>
  </r>
  <r>
    <x v="0"/>
    <x v="1"/>
    <x v="2"/>
    <x v="98"/>
    <s v="PAK N SAVE SYLVIA PARK AUCKLAND"/>
    <n v="-5.58"/>
    <x v="0"/>
    <x v="0"/>
    <x v="0"/>
  </r>
  <r>
    <x v="0"/>
    <x v="1"/>
    <x v="2"/>
    <x v="98"/>
    <s v="Deadshot Grey Lynn"/>
    <n v="-29.88"/>
    <x v="3"/>
    <x v="8"/>
    <x v="8"/>
  </r>
  <r>
    <x v="0"/>
    <x v="1"/>
    <x v="2"/>
    <x v="98"/>
    <s v="READING CINEMAS WELLINGTON"/>
    <n v="-2.02"/>
    <x v="3"/>
    <x v="3"/>
    <x v="29"/>
  </r>
  <r>
    <x v="0"/>
    <x v="1"/>
    <x v="2"/>
    <x v="98"/>
    <s v="HESARISUPERMARKETPANMURE AUCKLAND"/>
    <n v="-5.52"/>
    <x v="0"/>
    <x v="0"/>
    <x v="0"/>
  </r>
  <r>
    <x v="0"/>
    <x v="1"/>
    <x v="2"/>
    <x v="98"/>
    <s v="PASTRAMI   RYE AUCKLAND"/>
    <n v="-11.55"/>
    <x v="0"/>
    <x v="0"/>
    <x v="0"/>
  </r>
  <r>
    <x v="0"/>
    <x v="1"/>
    <x v="2"/>
    <x v="98"/>
    <s v="MOBIL PANMURE AUCKLAND"/>
    <n v="-53.56"/>
    <x v="6"/>
    <x v="9"/>
    <x v="14"/>
  </r>
  <r>
    <x v="0"/>
    <x v="1"/>
    <x v="2"/>
    <x v="99"/>
    <s v="NEW WORLD STONEFIELDS AUCKLAND NZ"/>
    <n v="-16.489999999999998"/>
    <x v="0"/>
    <x v="0"/>
    <x v="0"/>
  </r>
  <r>
    <x v="0"/>
    <x v="1"/>
    <x v="2"/>
    <x v="98"/>
    <s v="SOUL BAR AUCKLAND"/>
    <n v="-44.04"/>
    <x v="3"/>
    <x v="8"/>
    <x v="8"/>
  </r>
  <r>
    <x v="0"/>
    <x v="1"/>
    <x v="2"/>
    <x v="99"/>
    <s v="DBS Jetts Remuera Auckland"/>
    <n v="-20.69"/>
    <x v="3"/>
    <x v="14"/>
    <x v="17"/>
  </r>
  <r>
    <x v="0"/>
    <x v="1"/>
    <x v="2"/>
    <x v="99"/>
    <s v="MOBIL AVONDALE AUCKLAND"/>
    <n v="-0.44"/>
    <x v="6"/>
    <x v="9"/>
    <x v="14"/>
  </r>
  <r>
    <x v="0"/>
    <x v="1"/>
    <x v="2"/>
    <x v="100"/>
    <s v="PAYMENT RECEIVED THANK YOU"/>
    <n v="199.83"/>
    <x v="1"/>
    <x v="1"/>
    <x v="16"/>
  </r>
  <r>
    <x v="0"/>
    <x v="1"/>
    <x v="2"/>
    <x v="277"/>
    <s v="VICTORY CHRISTIAN CHURCH AUCKLAND"/>
    <n v="-1.36"/>
    <x v="6"/>
    <x v="9"/>
    <x v="21"/>
  </r>
  <r>
    <x v="0"/>
    <x v="1"/>
    <x v="2"/>
    <x v="277"/>
    <s v="NEW WORLD STONEFIELDS AUCKLAND NZ"/>
    <n v="-27.64"/>
    <x v="0"/>
    <x v="0"/>
    <x v="0"/>
  </r>
  <r>
    <x v="0"/>
    <x v="1"/>
    <x v="2"/>
    <x v="101"/>
    <s v="PAYMENT RECEIVED THANK YOU"/>
    <n v="3.31"/>
    <x v="1"/>
    <x v="1"/>
    <x v="16"/>
  </r>
  <r>
    <x v="0"/>
    <x v="1"/>
    <x v="2"/>
    <x v="278"/>
    <s v="DBS Jetts Remuera North Harbour"/>
    <n v="-1.96"/>
    <x v="3"/>
    <x v="14"/>
    <x v="17"/>
  </r>
  <r>
    <x v="0"/>
    <x v="1"/>
    <x v="2"/>
    <x v="102"/>
    <s v="PAYMENT RECEIVED THANK YOU"/>
    <n v="28.88"/>
    <x v="1"/>
    <x v="1"/>
    <x v="16"/>
  </r>
  <r>
    <x v="0"/>
    <x v="1"/>
    <x v="2"/>
    <x v="102"/>
    <s v="HESARI BAKERY LIMITED AUCKLAND"/>
    <n v="-1.46"/>
    <x v="0"/>
    <x v="0"/>
    <x v="0"/>
  </r>
  <r>
    <x v="0"/>
    <x v="1"/>
    <x v="2"/>
    <x v="103"/>
    <s v="PAYMENT RECEIVED THANK YOU"/>
    <n v="26.95"/>
    <x v="1"/>
    <x v="1"/>
    <x v="16"/>
  </r>
  <r>
    <x v="0"/>
    <x v="1"/>
    <x v="2"/>
    <x v="103"/>
    <s v="COUNTDOWN GREEN/326 GREAT GREENLANE"/>
    <n v="-52.8"/>
    <x v="0"/>
    <x v="0"/>
    <x v="0"/>
  </r>
  <r>
    <x v="0"/>
    <x v="1"/>
    <x v="2"/>
    <x v="103"/>
    <s v="BP CONNECT BOULEVARD AUCKLAND"/>
    <n v="-32.08"/>
    <x v="6"/>
    <x v="9"/>
    <x v="14"/>
  </r>
  <r>
    <x v="0"/>
    <x v="1"/>
    <x v="2"/>
    <x v="105"/>
    <s v="PAYMENT RECEIVED THANK YOU"/>
    <n v="2.72"/>
    <x v="1"/>
    <x v="1"/>
    <x v="16"/>
  </r>
  <r>
    <x v="0"/>
    <x v="1"/>
    <x v="2"/>
    <x v="105"/>
    <s v="PAYMENT RECEIVED THANK YOU"/>
    <n v="12.25"/>
    <x v="1"/>
    <x v="1"/>
    <x v="16"/>
  </r>
  <r>
    <x v="0"/>
    <x v="1"/>
    <x v="2"/>
    <x v="279"/>
    <s v="WAIRAKEI TERRACES TAUPO"/>
    <n v="5.89"/>
    <x v="3"/>
    <x v="8"/>
    <x v="8"/>
  </r>
  <r>
    <x v="0"/>
    <x v="1"/>
    <x v="2"/>
    <x v="279"/>
    <s v="2 MILE BAY LAKE TAUPO TAUPO"/>
    <n v="-28.25"/>
    <x v="3"/>
    <x v="8"/>
    <x v="8"/>
  </r>
  <r>
    <x v="0"/>
    <x v="1"/>
    <x v="2"/>
    <x v="279"/>
    <s v="2 MILE BAY LAKE TAUPO TAUPO"/>
    <n v="-11.48"/>
    <x v="3"/>
    <x v="8"/>
    <x v="8"/>
  </r>
  <r>
    <x v="0"/>
    <x v="1"/>
    <x v="2"/>
    <x v="279"/>
    <s v="WAIRAKEI TERRACES TAUPO"/>
    <n v="-74.91"/>
    <x v="3"/>
    <x v="8"/>
    <x v="8"/>
  </r>
  <r>
    <x v="0"/>
    <x v="1"/>
    <x v="2"/>
    <x v="105"/>
    <s v="COUNTDOWN TAUPO/SPA ROAD TAUPO"/>
    <n v="-52.86"/>
    <x v="0"/>
    <x v="0"/>
    <x v="0"/>
  </r>
  <r>
    <x v="0"/>
    <x v="1"/>
    <x v="2"/>
    <x v="105"/>
    <s v="HUKA HONEY HIVE TAUPO"/>
    <n v="-92.63"/>
    <x v="3"/>
    <x v="8"/>
    <x v="8"/>
  </r>
  <r>
    <x v="0"/>
    <x v="1"/>
    <x v="2"/>
    <x v="106"/>
    <s v="PAYMENT RECEIVED THANK YOU"/>
    <n v="11.57"/>
    <x v="1"/>
    <x v="1"/>
    <x v="16"/>
  </r>
  <r>
    <x v="0"/>
    <x v="1"/>
    <x v="2"/>
    <x v="106"/>
    <s v="PAYMENT RECEIVED THANK YOU"/>
    <n v="128.25"/>
    <x v="1"/>
    <x v="1"/>
    <x v="16"/>
  </r>
  <r>
    <x v="0"/>
    <x v="1"/>
    <x v="2"/>
    <x v="107"/>
    <s v="PAYMENT RECEIVED THANK YOU"/>
    <n v="76.849999999999994"/>
    <x v="1"/>
    <x v="1"/>
    <x v="16"/>
  </r>
  <r>
    <x v="0"/>
    <x v="1"/>
    <x v="2"/>
    <x v="107"/>
    <s v="PAYMENT RECEIVED THANK YOU"/>
    <n v="0.09"/>
    <x v="1"/>
    <x v="1"/>
    <x v="16"/>
  </r>
  <r>
    <x v="0"/>
    <x v="1"/>
    <x v="2"/>
    <x v="106"/>
    <s v="DBS Jetts Remuera North Harbour"/>
    <n v="-14.9"/>
    <x v="3"/>
    <x v="14"/>
    <x v="17"/>
  </r>
  <r>
    <x v="0"/>
    <x v="1"/>
    <x v="2"/>
    <x v="107"/>
    <s v="RUAPEHU ALPINE LIFTS LTD MT RUAPEHU"/>
    <n v="-11.17"/>
    <x v="3"/>
    <x v="6"/>
    <x v="6"/>
  </r>
  <r>
    <x v="0"/>
    <x v="1"/>
    <x v="2"/>
    <x v="107"/>
    <s v="MOBIL TAUPO TAUPO"/>
    <n v="-68.09"/>
    <x v="6"/>
    <x v="9"/>
    <x v="14"/>
  </r>
  <r>
    <x v="0"/>
    <x v="1"/>
    <x v="2"/>
    <x v="109"/>
    <s v="PAYMENT RECEIVED THANK YOU"/>
    <n v="1.41"/>
    <x v="1"/>
    <x v="1"/>
    <x v="16"/>
  </r>
  <r>
    <x v="0"/>
    <x v="1"/>
    <x v="2"/>
    <x v="110"/>
    <s v="VICTORY CHRISTIAN CHURCH AUCKLAND"/>
    <n v="-27.71"/>
    <x v="6"/>
    <x v="9"/>
    <x v="21"/>
  </r>
  <r>
    <x v="0"/>
    <x v="1"/>
    <x v="2"/>
    <x v="110"/>
    <s v="PAYMENT RECEIVED THANK YOU"/>
    <n v="13.8"/>
    <x v="1"/>
    <x v="1"/>
    <x v="16"/>
  </r>
  <r>
    <x v="0"/>
    <x v="1"/>
    <x v="2"/>
    <x v="112"/>
    <s v="PAYMENT RECEIVED THANK YOU"/>
    <n v="8.06"/>
    <x v="1"/>
    <x v="1"/>
    <x v="16"/>
  </r>
  <r>
    <x v="0"/>
    <x v="1"/>
    <x v="2"/>
    <x v="112"/>
    <s v="DBS Jetts Remuera North Harbour"/>
    <n v="-4.9400000000000004"/>
    <x v="3"/>
    <x v="14"/>
    <x v="17"/>
  </r>
  <r>
    <x v="0"/>
    <x v="1"/>
    <x v="2"/>
    <x v="113"/>
    <s v="PAYMENT RECEIVED THANK YOU"/>
    <n v="2.17"/>
    <x v="1"/>
    <x v="1"/>
    <x v="16"/>
  </r>
  <r>
    <x v="0"/>
    <x v="1"/>
    <x v="2"/>
    <x v="113"/>
    <s v="KFC GREENLANE - 604 GREENLANE"/>
    <n v="-5.7"/>
    <x v="3"/>
    <x v="8"/>
    <x v="8"/>
  </r>
  <r>
    <x v="0"/>
    <x v="1"/>
    <x v="2"/>
    <x v="280"/>
    <s v="VICTORY CHRISTIAN CHURCH AUCKLAND"/>
    <n v="-28.44"/>
    <x v="6"/>
    <x v="9"/>
    <x v="21"/>
  </r>
  <r>
    <x v="0"/>
    <x v="1"/>
    <x v="2"/>
    <x v="114"/>
    <s v="PAYMENT RECEIVED THANK YOU"/>
    <n v="24.41"/>
    <x v="1"/>
    <x v="1"/>
    <x v="16"/>
  </r>
  <r>
    <x v="0"/>
    <x v="1"/>
    <x v="2"/>
    <x v="115"/>
    <s v="PAYMENT RECEIVED THANK YOU"/>
    <n v="1.25"/>
    <x v="1"/>
    <x v="1"/>
    <x v="16"/>
  </r>
  <r>
    <x v="0"/>
    <x v="1"/>
    <x v="2"/>
    <x v="115"/>
    <s v="PAYMENT RECEIVED THANK YOU"/>
    <n v="41.29"/>
    <x v="1"/>
    <x v="1"/>
    <x v="16"/>
  </r>
  <r>
    <x v="0"/>
    <x v="1"/>
    <x v="2"/>
    <x v="115"/>
    <s v="BBB Stonefields Stonefields"/>
    <n v="-102.9"/>
    <x v="3"/>
    <x v="8"/>
    <x v="8"/>
  </r>
  <r>
    <x v="0"/>
    <x v="1"/>
    <x v="2"/>
    <x v="115"/>
    <s v="GOODFOR LUNN AVE AUCKLAND"/>
    <n v="-1.35"/>
    <x v="0"/>
    <x v="0"/>
    <x v="0"/>
  </r>
  <r>
    <x v="0"/>
    <x v="1"/>
    <x v="2"/>
    <x v="117"/>
    <s v="PAYMENT RECEIVED THANK YOU"/>
    <n v="123.89"/>
    <x v="1"/>
    <x v="1"/>
    <x v="16"/>
  </r>
  <r>
    <x v="0"/>
    <x v="1"/>
    <x v="2"/>
    <x v="117"/>
    <s v="PAYMENT RECEIVED THANK YOU"/>
    <n v="7.02"/>
    <x v="1"/>
    <x v="1"/>
    <x v="16"/>
  </r>
  <r>
    <x v="0"/>
    <x v="1"/>
    <x v="2"/>
    <x v="116"/>
    <s v="Witchery NZ - Newmarket Auckland"/>
    <n v="-154.72"/>
    <x v="9"/>
    <x v="18"/>
    <x v="30"/>
  </r>
  <r>
    <x v="0"/>
    <x v="1"/>
    <x v="2"/>
    <x v="116"/>
    <s v="SRI MAKHOTA MALAYSIAN AUCKLAND"/>
    <n v="-17.77"/>
    <x v="3"/>
    <x v="8"/>
    <x v="8"/>
  </r>
  <r>
    <x v="0"/>
    <x v="1"/>
    <x v="2"/>
    <x v="116"/>
    <s v="NZAA ALBERT STREET AUCKLAND"/>
    <n v="-1.44"/>
    <x v="5"/>
    <x v="7"/>
    <x v="31"/>
  </r>
  <r>
    <x v="0"/>
    <x v="1"/>
    <x v="2"/>
    <x v="117"/>
    <s v="PAYMENT RECEIVED THANK YOU"/>
    <n v="83.29"/>
    <x v="1"/>
    <x v="1"/>
    <x v="16"/>
  </r>
  <r>
    <x v="0"/>
    <x v="1"/>
    <x v="2"/>
    <x v="117"/>
    <s v="PAYMENT RECEIVED THANK YOU"/>
    <n v="14.44"/>
    <x v="1"/>
    <x v="1"/>
    <x v="16"/>
  </r>
  <r>
    <x v="0"/>
    <x v="1"/>
    <x v="2"/>
    <x v="117"/>
    <s v="DBS Jetts Remuera North Harbour"/>
    <n v="-10.23"/>
    <x v="3"/>
    <x v="14"/>
    <x v="17"/>
  </r>
  <r>
    <x v="0"/>
    <x v="1"/>
    <x v="2"/>
    <x v="118"/>
    <s v="PAYMENT RECEIVED THANK YOU"/>
    <n v="15.44"/>
    <x v="1"/>
    <x v="1"/>
    <x v="16"/>
  </r>
  <r>
    <x v="0"/>
    <x v="1"/>
    <x v="2"/>
    <x v="118"/>
    <s v="CHOICE RETAIL AUCKLAND"/>
    <n v="-0.17"/>
    <x v="0"/>
    <x v="0"/>
    <x v="0"/>
  </r>
  <r>
    <x v="0"/>
    <x v="1"/>
    <x v="2"/>
    <x v="118"/>
    <s v="DREAMERS CAFE EPSOM"/>
    <n v="-3.14"/>
    <x v="3"/>
    <x v="8"/>
    <x v="8"/>
  </r>
  <r>
    <x v="0"/>
    <x v="1"/>
    <x v="2"/>
    <x v="119"/>
    <s v="VICTORY CHRISTIAN CHURCH AUCKLAND"/>
    <n v="-12.86"/>
    <x v="6"/>
    <x v="9"/>
    <x v="21"/>
  </r>
  <r>
    <x v="0"/>
    <x v="1"/>
    <x v="2"/>
    <x v="119"/>
    <s v="PAYMENT RECEIVED THANK YOU"/>
    <n v="61.99"/>
    <x v="1"/>
    <x v="1"/>
    <x v="16"/>
  </r>
  <r>
    <x v="0"/>
    <x v="1"/>
    <x v="2"/>
    <x v="120"/>
    <s v="PAYMENT RECEIVED THANK YOU"/>
    <n v="11.5"/>
    <x v="1"/>
    <x v="1"/>
    <x v="16"/>
  </r>
  <r>
    <x v="0"/>
    <x v="1"/>
    <x v="2"/>
    <x v="121"/>
    <s v="PAYMENT RECEIVED THANK YOU"/>
    <n v="19.68"/>
    <x v="1"/>
    <x v="1"/>
    <x v="16"/>
  </r>
  <r>
    <x v="0"/>
    <x v="1"/>
    <x v="2"/>
    <x v="121"/>
    <s v="BP CONNECT BOULEVARD AUCKLAND"/>
    <n v="-102.27"/>
    <x v="6"/>
    <x v="9"/>
    <x v="14"/>
  </r>
  <r>
    <x v="0"/>
    <x v="1"/>
    <x v="2"/>
    <x v="123"/>
    <s v="PAYMENT RECEIVED THANK YOU"/>
    <n v="6.61"/>
    <x v="1"/>
    <x v="1"/>
    <x v="16"/>
  </r>
  <r>
    <x v="0"/>
    <x v="1"/>
    <x v="2"/>
    <x v="122"/>
    <s v="DBS Jetts Remuera North Harbour"/>
    <n v="-7.2"/>
    <x v="3"/>
    <x v="14"/>
    <x v="17"/>
  </r>
  <r>
    <x v="0"/>
    <x v="1"/>
    <x v="2"/>
    <x v="124"/>
    <s v="PAYMENT RECEIVED THANK YOU"/>
    <n v="145.66999999999999"/>
    <x v="1"/>
    <x v="1"/>
    <x v="16"/>
  </r>
  <r>
    <x v="0"/>
    <x v="1"/>
    <x v="2"/>
    <x v="124"/>
    <s v="ANDREW SIMMS MITSUBI AUCKLAND"/>
    <n v="-154.08000000000001"/>
    <x v="6"/>
    <x v="9"/>
    <x v="9"/>
  </r>
  <r>
    <x v="0"/>
    <x v="1"/>
    <x v="2"/>
    <x v="125"/>
    <s v="PAYMENT RECEIVED THANK YOU"/>
    <n v="8.23"/>
    <x v="1"/>
    <x v="1"/>
    <x v="16"/>
  </r>
  <r>
    <x v="0"/>
    <x v="1"/>
    <x v="2"/>
    <x v="125"/>
    <s v="VICTORY CHRISTIAN CHURCH AUCKLAND"/>
    <n v="-10.08"/>
    <x v="6"/>
    <x v="9"/>
    <x v="21"/>
  </r>
  <r>
    <x v="0"/>
    <x v="1"/>
    <x v="2"/>
    <x v="126"/>
    <s v="PAYMENT RECEIVED THANK YOU"/>
    <n v="368.35"/>
    <x v="1"/>
    <x v="1"/>
    <x v="16"/>
  </r>
  <r>
    <x v="0"/>
    <x v="1"/>
    <x v="2"/>
    <x v="126"/>
    <s v="PAYMENT RECEIVED THANK YOU"/>
    <n v="52.35"/>
    <x v="1"/>
    <x v="1"/>
    <x v="16"/>
  </r>
  <r>
    <x v="0"/>
    <x v="1"/>
    <x v="2"/>
    <x v="127"/>
    <s v="Watercare Services Ltd Remuera"/>
    <n v="-0.43"/>
    <x v="4"/>
    <x v="4"/>
    <x v="4"/>
  </r>
  <r>
    <x v="0"/>
    <x v="1"/>
    <x v="2"/>
    <x v="127"/>
    <s v="Watercare Online Remuera"/>
    <n v="-34.74"/>
    <x v="4"/>
    <x v="4"/>
    <x v="4"/>
  </r>
  <r>
    <x v="0"/>
    <x v="1"/>
    <x v="2"/>
    <x v="126"/>
    <s v="BAT (NEW ZEALAND) LIMITED VENDOR_INVOIC"/>
    <n v="-3.85"/>
    <x v="3"/>
    <x v="3"/>
    <x v="28"/>
  </r>
  <r>
    <x v="0"/>
    <x v="1"/>
    <x v="2"/>
    <x v="127"/>
    <s v="PAYMENT RECEIVED THANK YOU"/>
    <n v="3.86"/>
    <x v="1"/>
    <x v="1"/>
    <x v="16"/>
  </r>
  <r>
    <x v="0"/>
    <x v="1"/>
    <x v="2"/>
    <x v="127"/>
    <s v="PAYMENT RECEIVED THANK YOU"/>
    <n v="23.44"/>
    <x v="1"/>
    <x v="1"/>
    <x v="16"/>
  </r>
  <r>
    <x v="0"/>
    <x v="1"/>
    <x v="2"/>
    <x v="127"/>
    <s v="PAYMENT RECEIVED THANK YOU"/>
    <n v="30.29"/>
    <x v="1"/>
    <x v="1"/>
    <x v="16"/>
  </r>
  <r>
    <x v="0"/>
    <x v="1"/>
    <x v="2"/>
    <x v="127"/>
    <s v="PAYMENT RECEIVED THANK YOU"/>
    <n v="40.950000000000003"/>
    <x v="1"/>
    <x v="1"/>
    <x v="16"/>
  </r>
  <r>
    <x v="0"/>
    <x v="1"/>
    <x v="2"/>
    <x v="127"/>
    <s v="HESARISUPERMARKETPANMURE AUCKLAND"/>
    <n v="-15.82"/>
    <x v="0"/>
    <x v="0"/>
    <x v="0"/>
  </r>
  <r>
    <x v="0"/>
    <x v="1"/>
    <x v="2"/>
    <x v="126"/>
    <s v="DBS Jetts Remuera North Harbour"/>
    <n v="-9.4"/>
    <x v="3"/>
    <x v="14"/>
    <x v="17"/>
  </r>
  <r>
    <x v="0"/>
    <x v="1"/>
    <x v="2"/>
    <x v="130"/>
    <s v="VICTORY CHRISTIAN CHURCH AUCKLAND"/>
    <n v="-25.84"/>
    <x v="6"/>
    <x v="9"/>
    <x v="21"/>
  </r>
  <r>
    <x v="0"/>
    <x v="1"/>
    <x v="2"/>
    <x v="130"/>
    <s v="PAYMENT RECEIVED THANK YOU"/>
    <n v="17.88"/>
    <x v="1"/>
    <x v="1"/>
    <x v="16"/>
  </r>
  <r>
    <x v="0"/>
    <x v="1"/>
    <x v="2"/>
    <x v="281"/>
    <s v="PITA HOUSE PAKURANGA AUCKLAND"/>
    <n v="-165.82"/>
    <x v="3"/>
    <x v="8"/>
    <x v="8"/>
  </r>
  <r>
    <x v="0"/>
    <x v="1"/>
    <x v="2"/>
    <x v="131"/>
    <s v="PAYMENT RECEIVED THANK YOU"/>
    <n v="138.58000000000001"/>
    <x v="1"/>
    <x v="1"/>
    <x v="16"/>
  </r>
  <r>
    <x v="0"/>
    <x v="1"/>
    <x v="2"/>
    <x v="131"/>
    <s v="PAYMENT RECEIVED THANK YOU"/>
    <n v="18.89"/>
    <x v="1"/>
    <x v="1"/>
    <x v="16"/>
  </r>
  <r>
    <x v="0"/>
    <x v="1"/>
    <x v="2"/>
    <x v="131"/>
    <s v="DBS Jetts Remuera North Harbour"/>
    <n v="-3.38"/>
    <x v="3"/>
    <x v="14"/>
    <x v="17"/>
  </r>
  <r>
    <x v="0"/>
    <x v="1"/>
    <x v="2"/>
    <x v="132"/>
    <s v="PAYMENT RECEIVED THANK YOU"/>
    <n v="5.37"/>
    <x v="1"/>
    <x v="1"/>
    <x v="16"/>
  </r>
  <r>
    <x v="0"/>
    <x v="1"/>
    <x v="2"/>
    <x v="133"/>
    <s v="PAYMENT RECEIVED THANK YOU"/>
    <n v="18.27"/>
    <x v="1"/>
    <x v="1"/>
    <x v="16"/>
  </r>
  <r>
    <x v="0"/>
    <x v="1"/>
    <x v="2"/>
    <x v="133"/>
    <s v="PIKUNIKU AUCKLAND"/>
    <n v="-17.37"/>
    <x v="3"/>
    <x v="8"/>
    <x v="8"/>
  </r>
  <r>
    <x v="0"/>
    <x v="1"/>
    <x v="2"/>
    <x v="134"/>
    <s v="PAK N SAVE SYLVIA PARK AUCKLAND"/>
    <n v="-8.57"/>
    <x v="0"/>
    <x v="0"/>
    <x v="0"/>
  </r>
  <r>
    <x v="0"/>
    <x v="1"/>
    <x v="2"/>
    <x v="134"/>
    <s v="VICTORY CHRISTIAN CHURCH AUCKLAND"/>
    <n v="-12.27"/>
    <x v="6"/>
    <x v="9"/>
    <x v="21"/>
  </r>
  <r>
    <x v="0"/>
    <x v="1"/>
    <x v="2"/>
    <x v="135"/>
    <s v="PAYMENT RECEIVED THANK YOU"/>
    <n v="59.99"/>
    <x v="1"/>
    <x v="1"/>
    <x v="16"/>
  </r>
  <r>
    <x v="0"/>
    <x v="1"/>
    <x v="2"/>
    <x v="135"/>
    <s v="DBS Jetts Remuera North Harbour"/>
    <n v="-7.33"/>
    <x v="3"/>
    <x v="14"/>
    <x v="17"/>
  </r>
  <r>
    <x v="0"/>
    <x v="1"/>
    <x v="2"/>
    <x v="136"/>
    <s v="PAYMENT RECEIVED THANK YOU"/>
    <n v="4.45"/>
    <x v="1"/>
    <x v="1"/>
    <x v="16"/>
  </r>
  <r>
    <x v="0"/>
    <x v="1"/>
    <x v="2"/>
    <x v="137"/>
    <s v="PAYMENT RECEIVED THANK YOU"/>
    <n v="37.25"/>
    <x v="1"/>
    <x v="1"/>
    <x v="16"/>
  </r>
  <r>
    <x v="0"/>
    <x v="1"/>
    <x v="2"/>
    <x v="139"/>
    <s v="VICTORY CHRISTIAN CHURCH AUCKLAND"/>
    <n v="-7.98"/>
    <x v="6"/>
    <x v="9"/>
    <x v="21"/>
  </r>
  <r>
    <x v="0"/>
    <x v="1"/>
    <x v="2"/>
    <x v="139"/>
    <s v="PAYMENT RECEIVED THANK YOU"/>
    <n v="18.41"/>
    <x v="1"/>
    <x v="1"/>
    <x v="16"/>
  </r>
  <r>
    <x v="0"/>
    <x v="1"/>
    <x v="2"/>
    <x v="141"/>
    <s v="PAYMENT RECEIVED THANK YOU"/>
    <n v="42.79"/>
    <x v="1"/>
    <x v="1"/>
    <x v="16"/>
  </r>
  <r>
    <x v="0"/>
    <x v="1"/>
    <x v="2"/>
    <x v="142"/>
    <s v="PAYMENT RECEIVED THANK YOU"/>
    <n v="80.12"/>
    <x v="1"/>
    <x v="1"/>
    <x v="16"/>
  </r>
  <r>
    <x v="0"/>
    <x v="1"/>
    <x v="2"/>
    <x v="142"/>
    <s v="PAYMENT RECEIVED THANK YOU"/>
    <n v="38.29"/>
    <x v="1"/>
    <x v="1"/>
    <x v="16"/>
  </r>
  <r>
    <x v="0"/>
    <x v="1"/>
    <x v="2"/>
    <x v="142"/>
    <s v="PAYMENT RECEIVED THANK YOU"/>
    <n v="0.59"/>
    <x v="1"/>
    <x v="1"/>
    <x v="16"/>
  </r>
  <r>
    <x v="0"/>
    <x v="1"/>
    <x v="2"/>
    <x v="143"/>
    <s v="PAYMENT RECEIVED THANK YOU"/>
    <n v="17.41"/>
    <x v="1"/>
    <x v="1"/>
    <x v="16"/>
  </r>
  <r>
    <x v="0"/>
    <x v="1"/>
    <x v="2"/>
    <x v="141"/>
    <s v="DBS Jetts Remuera North Harbour"/>
    <n v="-5.68"/>
    <x v="3"/>
    <x v="14"/>
    <x v="17"/>
  </r>
  <r>
    <x v="0"/>
    <x v="1"/>
    <x v="2"/>
    <x v="142"/>
    <s v="BAT (NEW ZEALAND) LIMITED VENDOR_INVOIC"/>
    <n v="-107.66"/>
    <x v="3"/>
    <x v="3"/>
    <x v="28"/>
  </r>
  <r>
    <x v="0"/>
    <x v="1"/>
    <x v="2"/>
    <x v="141"/>
    <s v="GUMRD.COM  MICHAEL SHP HTTPSGUMROAD. CA 44.00 US DOLLAR at a Conversion Rate  of 0.5826 (NZ$75.52)"/>
    <n v="-31.55"/>
    <x v="5"/>
    <x v="7"/>
    <x v="32"/>
  </r>
  <r>
    <x v="0"/>
    <x v="1"/>
    <x v="2"/>
    <x v="141"/>
    <s v="OFFSHORE SERVICE MARGINS"/>
    <n v="-2.27"/>
    <x v="5"/>
    <x v="7"/>
    <x v="7"/>
  </r>
  <r>
    <x v="0"/>
    <x v="1"/>
    <x v="2"/>
    <x v="142"/>
    <s v="VICTORY CHRISTIAN CHURCH AUCKLAND"/>
    <n v="-14.55"/>
    <x v="6"/>
    <x v="9"/>
    <x v="21"/>
  </r>
  <r>
    <x v="0"/>
    <x v="1"/>
    <x v="2"/>
    <x v="145"/>
    <s v="VICTORY CHRISTIAN CHURCH AUCKLAND"/>
    <n v="-21.36"/>
    <x v="6"/>
    <x v="9"/>
    <x v="21"/>
  </r>
  <r>
    <x v="0"/>
    <x v="1"/>
    <x v="2"/>
    <x v="144"/>
    <s v="PAYMENT RECEIVED THANK YOU"/>
    <n v="0.18"/>
    <x v="1"/>
    <x v="1"/>
    <x v="16"/>
  </r>
  <r>
    <x v="0"/>
    <x v="1"/>
    <x v="2"/>
    <x v="145"/>
    <s v="PAYMENT RECEIVED THANK YOU"/>
    <n v="24.96"/>
    <x v="1"/>
    <x v="1"/>
    <x v="16"/>
  </r>
  <r>
    <x v="0"/>
    <x v="1"/>
    <x v="2"/>
    <x v="147"/>
    <s v="PAYMENT RECEIVED THANK YOU"/>
    <n v="10.3"/>
    <x v="1"/>
    <x v="1"/>
    <x v="16"/>
  </r>
  <r>
    <x v="0"/>
    <x v="1"/>
    <x v="2"/>
    <x v="147"/>
    <s v="DBS Jetts Remuera North Harbour"/>
    <n v="-10.84"/>
    <x v="3"/>
    <x v="14"/>
    <x v="17"/>
  </r>
  <r>
    <x v="0"/>
    <x v="1"/>
    <x v="2"/>
    <x v="149"/>
    <s v="Washpod 06 Mt Wellington"/>
    <n v="-9.5299999999999994"/>
    <x v="0"/>
    <x v="0"/>
    <x v="0"/>
  </r>
  <r>
    <x v="0"/>
    <x v="1"/>
    <x v="2"/>
    <x v="148"/>
    <s v="MITRE 10 MEGA MT WTGN MOUNT WELLING"/>
    <n v="-57.14"/>
    <x v="4"/>
    <x v="12"/>
    <x v="12"/>
  </r>
  <r>
    <x v="0"/>
    <x v="1"/>
    <x v="2"/>
    <x v="148"/>
    <s v="VICTORY CHRISTIAN CHURCH AUCKLAND"/>
    <n v="-7.58"/>
    <x v="6"/>
    <x v="9"/>
    <x v="21"/>
  </r>
  <r>
    <x v="0"/>
    <x v="1"/>
    <x v="2"/>
    <x v="148"/>
    <s v="PAYMENT RECEIVED THANK YOU"/>
    <n v="48.32"/>
    <x v="1"/>
    <x v="1"/>
    <x v="16"/>
  </r>
  <r>
    <x v="0"/>
    <x v="1"/>
    <x v="2"/>
    <x v="149"/>
    <s v="PAYMENT RECEIVED THANK YOU"/>
    <n v="26.49"/>
    <x v="1"/>
    <x v="1"/>
    <x v="16"/>
  </r>
  <r>
    <x v="0"/>
    <x v="1"/>
    <x v="2"/>
    <x v="149"/>
    <s v="PAYMENT RECEIVED THANK YOU"/>
    <n v="161.85"/>
    <x v="1"/>
    <x v="1"/>
    <x v="16"/>
  </r>
  <r>
    <x v="0"/>
    <x v="1"/>
    <x v="2"/>
    <x v="149"/>
    <s v="MITRE 10 MEGA MT WTGN MOUNT WELLING"/>
    <n v="-60.72"/>
    <x v="4"/>
    <x v="12"/>
    <x v="12"/>
  </r>
  <r>
    <x v="0"/>
    <x v="1"/>
    <x v="2"/>
    <x v="149"/>
    <s v="MITRE 10 MEGA MT WTGN MOUNT WELLING"/>
    <n v="-17.54"/>
    <x v="4"/>
    <x v="12"/>
    <x v="12"/>
  </r>
  <r>
    <x v="0"/>
    <x v="1"/>
    <x v="2"/>
    <x v="151"/>
    <s v="VICTORY CHRISTIAN CHURCH AUCKLAND"/>
    <n v="-3.2"/>
    <x v="6"/>
    <x v="9"/>
    <x v="21"/>
  </r>
  <r>
    <x v="0"/>
    <x v="1"/>
    <x v="2"/>
    <x v="151"/>
    <s v="PAYMENT RECEIVED THANK YOU"/>
    <n v="29.2"/>
    <x v="1"/>
    <x v="1"/>
    <x v="16"/>
  </r>
  <r>
    <x v="0"/>
    <x v="1"/>
    <x v="2"/>
    <x v="152"/>
    <s v="PAYMENT RECEIVED THANK YOU"/>
    <n v="44.09"/>
    <x v="1"/>
    <x v="1"/>
    <x v="16"/>
  </r>
  <r>
    <x v="0"/>
    <x v="1"/>
    <x v="2"/>
    <x v="152"/>
    <s v="PAYMENT RECEIVED THANK YOU"/>
    <n v="65.069999999999993"/>
    <x v="1"/>
    <x v="1"/>
    <x v="16"/>
  </r>
  <r>
    <x v="0"/>
    <x v="1"/>
    <x v="2"/>
    <x v="152"/>
    <s v="MITRE 10 MEGA MT WTGN MOUNT WELLING"/>
    <n v="-53.67"/>
    <x v="4"/>
    <x v="12"/>
    <x v="12"/>
  </r>
  <r>
    <x v="0"/>
    <x v="1"/>
    <x v="2"/>
    <x v="153"/>
    <s v="PAYMENT RECEIVED THANK YOU"/>
    <n v="15.12"/>
    <x v="1"/>
    <x v="1"/>
    <x v="16"/>
  </r>
  <r>
    <x v="0"/>
    <x v="1"/>
    <x v="2"/>
    <x v="152"/>
    <s v="DBS Jetts Remuera North Harbour"/>
    <n v="-1.32"/>
    <x v="3"/>
    <x v="14"/>
    <x v="17"/>
  </r>
  <r>
    <x v="0"/>
    <x v="1"/>
    <x v="2"/>
    <x v="282"/>
    <s v="VICTORY CHRISTIAN CHURCH AUCKLAND"/>
    <n v="-24.73"/>
    <x v="6"/>
    <x v="9"/>
    <x v="21"/>
  </r>
  <r>
    <x v="0"/>
    <x v="1"/>
    <x v="2"/>
    <x v="154"/>
    <s v="PAYMENT RECEIVED THANK YOU"/>
    <n v="10.84"/>
    <x v="1"/>
    <x v="1"/>
    <x v="16"/>
  </r>
  <r>
    <x v="0"/>
    <x v="1"/>
    <x v="2"/>
    <x v="283"/>
    <s v="VICTORY CHRISTIAN CHURCH AUCKLAND"/>
    <n v="-2.39"/>
    <x v="6"/>
    <x v="9"/>
    <x v="21"/>
  </r>
  <r>
    <x v="0"/>
    <x v="1"/>
    <x v="2"/>
    <x v="156"/>
    <s v="PAYMENT RECEIVED THANK YOU"/>
    <n v="10.24"/>
    <x v="1"/>
    <x v="1"/>
    <x v="16"/>
  </r>
  <r>
    <x v="0"/>
    <x v="1"/>
    <x v="2"/>
    <x v="156"/>
    <s v="PAYMENT RECEIVED THANK YOU"/>
    <n v="29.59"/>
    <x v="1"/>
    <x v="1"/>
    <x v="16"/>
  </r>
  <r>
    <x v="0"/>
    <x v="1"/>
    <x v="2"/>
    <x v="157"/>
    <s v="PAYMENT RECEIVED THANK YOU"/>
    <n v="1.56"/>
    <x v="1"/>
    <x v="1"/>
    <x v="16"/>
  </r>
  <r>
    <x v="0"/>
    <x v="1"/>
    <x v="2"/>
    <x v="157"/>
    <s v="PAYMENT RECEIVED THANK YOU"/>
    <n v="6.43"/>
    <x v="1"/>
    <x v="1"/>
    <x v="16"/>
  </r>
  <r>
    <x v="0"/>
    <x v="1"/>
    <x v="2"/>
    <x v="156"/>
    <s v="DBS Jetts Remuera North Harbour"/>
    <n v="-4.54"/>
    <x v="3"/>
    <x v="14"/>
    <x v="17"/>
  </r>
  <r>
    <x v="0"/>
    <x v="1"/>
    <x v="2"/>
    <x v="158"/>
    <s v="VICTORY CHRISTIAN CHURCH AUCKLAND"/>
    <n v="-15.98"/>
    <x v="6"/>
    <x v="9"/>
    <x v="21"/>
  </r>
  <r>
    <x v="0"/>
    <x v="1"/>
    <x v="2"/>
    <x v="159"/>
    <s v="PAYMENT RECEIVED THANK YOU"/>
    <n v="20.04"/>
    <x v="1"/>
    <x v="1"/>
    <x v="16"/>
  </r>
  <r>
    <x v="0"/>
    <x v="1"/>
    <x v="2"/>
    <x v="161"/>
    <s v="VICTORY CHRISTIAN CHURCH AUCKLAND"/>
    <n v="-6.12"/>
    <x v="6"/>
    <x v="9"/>
    <x v="21"/>
  </r>
  <r>
    <x v="0"/>
    <x v="1"/>
    <x v="2"/>
    <x v="161"/>
    <s v="VICTORY CHRISTIAN CHURCH AUCKLAND"/>
    <n v="-11.54"/>
    <x v="6"/>
    <x v="9"/>
    <x v="21"/>
  </r>
  <r>
    <x v="0"/>
    <x v="1"/>
    <x v="2"/>
    <x v="161"/>
    <s v="PAYMENT RECEIVED THANK YOU"/>
    <n v="7.63"/>
    <x v="1"/>
    <x v="1"/>
    <x v="16"/>
  </r>
  <r>
    <x v="0"/>
    <x v="1"/>
    <x v="2"/>
    <x v="161"/>
    <s v="GULL MARUA ROAD AUCKLAND"/>
    <n v="-156.35"/>
    <x v="6"/>
    <x v="9"/>
    <x v="14"/>
  </r>
  <r>
    <x v="0"/>
    <x v="1"/>
    <x v="2"/>
    <x v="162"/>
    <s v="PAYMENT RECEIVED THANK YOU"/>
    <n v="311.70999999999998"/>
    <x v="1"/>
    <x v="1"/>
    <x v="16"/>
  </r>
  <r>
    <x v="0"/>
    <x v="1"/>
    <x v="2"/>
    <x v="163"/>
    <s v="PAYMENT RECEIVED THANK YOU"/>
    <n v="8.24"/>
    <x v="1"/>
    <x v="1"/>
    <x v="16"/>
  </r>
  <r>
    <x v="0"/>
    <x v="1"/>
    <x v="2"/>
    <x v="163"/>
    <s v="DBS Jetts Remuera North Harbour"/>
    <n v="-12.91"/>
    <x v="3"/>
    <x v="14"/>
    <x v="17"/>
  </r>
  <r>
    <x v="0"/>
    <x v="1"/>
    <x v="2"/>
    <x v="164"/>
    <s v="PAK N SAVE SYLVIA PARK AUCKLAND"/>
    <n v="-4.7"/>
    <x v="0"/>
    <x v="0"/>
    <x v="0"/>
  </r>
  <r>
    <x v="0"/>
    <x v="1"/>
    <x v="2"/>
    <x v="165"/>
    <s v="PAYMENT RECEIVED THANK YOU"/>
    <n v="12.32"/>
    <x v="1"/>
    <x v="1"/>
    <x v="16"/>
  </r>
  <r>
    <x v="0"/>
    <x v="1"/>
    <x v="2"/>
    <x v="166"/>
    <s v="PAYMENT RECEIVED THANK YOU"/>
    <n v="84.47"/>
    <x v="1"/>
    <x v="1"/>
    <x v="16"/>
  </r>
  <r>
    <x v="0"/>
    <x v="1"/>
    <x v="2"/>
    <x v="167"/>
    <s v="PAYMENT RECEIVED THANK YOU"/>
    <n v="12.27"/>
    <x v="1"/>
    <x v="1"/>
    <x v="16"/>
  </r>
  <r>
    <x v="0"/>
    <x v="1"/>
    <x v="2"/>
    <x v="167"/>
    <s v="THE CABBAGE TREE PAIHIA"/>
    <n v="-15.5"/>
    <x v="3"/>
    <x v="8"/>
    <x v="8"/>
  </r>
  <r>
    <x v="0"/>
    <x v="1"/>
    <x v="2"/>
    <x v="169"/>
    <s v="PAYMENT RECEIVED THANK YOU"/>
    <n v="7.38"/>
    <x v="1"/>
    <x v="1"/>
    <x v="16"/>
  </r>
  <r>
    <x v="0"/>
    <x v="1"/>
    <x v="2"/>
    <x v="168"/>
    <s v="DBS Jetts Remuera North Harbour"/>
    <n v="-4.63"/>
    <x v="3"/>
    <x v="14"/>
    <x v="17"/>
  </r>
  <r>
    <x v="0"/>
    <x v="1"/>
    <x v="2"/>
    <x v="170"/>
    <s v="PAYMENT RECEIVED THANK YOU"/>
    <n v="3.71"/>
    <x v="1"/>
    <x v="1"/>
    <x v="16"/>
  </r>
  <r>
    <x v="0"/>
    <x v="1"/>
    <x v="2"/>
    <x v="170"/>
    <s v="AK 849248 BAY OF ISL"/>
    <n v="-1.21"/>
    <x v="3"/>
    <x v="6"/>
    <x v="6"/>
  </r>
  <r>
    <x v="0"/>
    <x v="1"/>
    <x v="2"/>
    <x v="170"/>
    <s v="AK 849248 BAY OF ISL"/>
    <n v="-23.18"/>
    <x v="3"/>
    <x v="6"/>
    <x v="6"/>
  </r>
  <r>
    <x v="0"/>
    <x v="1"/>
    <x v="2"/>
    <x v="284"/>
    <s v="VICTORY CHRISTIAN CHURCH AUCKLAND"/>
    <n v="-4.3099999999999996"/>
    <x v="6"/>
    <x v="9"/>
    <x v="21"/>
  </r>
  <r>
    <x v="0"/>
    <x v="1"/>
    <x v="2"/>
    <x v="171"/>
    <s v="PAYMENT RECEIVED THANK YOU"/>
    <n v="16.18"/>
    <x v="1"/>
    <x v="1"/>
    <x v="16"/>
  </r>
  <r>
    <x v="0"/>
    <x v="1"/>
    <x v="2"/>
    <x v="171"/>
    <s v="PAYMENT RECEIVED THANK YOU"/>
    <n v="12.65"/>
    <x v="1"/>
    <x v="1"/>
    <x v="16"/>
  </r>
  <r>
    <x v="0"/>
    <x v="1"/>
    <x v="2"/>
    <x v="171"/>
    <s v="PAYMENT RECEIVED THANK YOU"/>
    <n v="36.159999999999997"/>
    <x v="1"/>
    <x v="1"/>
    <x v="16"/>
  </r>
  <r>
    <x v="0"/>
    <x v="1"/>
    <x v="2"/>
    <x v="171"/>
    <s v="BAT (NEW ZEALAND) LIMITED VENDOR_INVOIC"/>
    <n v="-160.72999999999999"/>
    <x v="3"/>
    <x v="3"/>
    <x v="28"/>
  </r>
  <r>
    <x v="0"/>
    <x v="1"/>
    <x v="2"/>
    <x v="172"/>
    <s v="PAYMENT RECEIVED THANK YOU"/>
    <n v="30.24"/>
    <x v="1"/>
    <x v="1"/>
    <x v="16"/>
  </r>
  <r>
    <x v="0"/>
    <x v="1"/>
    <x v="2"/>
    <x v="173"/>
    <s v="PAYMENT RECEIVED THANK YOU"/>
    <n v="170.64"/>
    <x v="1"/>
    <x v="1"/>
    <x v="16"/>
  </r>
  <r>
    <x v="0"/>
    <x v="1"/>
    <x v="2"/>
    <x v="175"/>
    <s v="PAYMENT RECEIVED THANK YOU"/>
    <n v="5.37"/>
    <x v="1"/>
    <x v="1"/>
    <x v="16"/>
  </r>
  <r>
    <x v="0"/>
    <x v="1"/>
    <x v="2"/>
    <x v="174"/>
    <s v="DBS Jetts Remuera North Harbour"/>
    <n v="-10.93"/>
    <x v="3"/>
    <x v="14"/>
    <x v="17"/>
  </r>
  <r>
    <x v="0"/>
    <x v="1"/>
    <x v="2"/>
    <x v="285"/>
    <s v="VICTORY CHRISTIAN CHURCH AUCKLAND"/>
    <n v="-7.21"/>
    <x v="6"/>
    <x v="9"/>
    <x v="21"/>
  </r>
  <r>
    <x v="0"/>
    <x v="1"/>
    <x v="2"/>
    <x v="285"/>
    <s v="Washpod 06 Mt Wellington"/>
    <n v="-6.58"/>
    <x v="0"/>
    <x v="0"/>
    <x v="0"/>
  </r>
  <r>
    <x v="0"/>
    <x v="1"/>
    <x v="2"/>
    <x v="176"/>
    <s v="PAYMENT RECEIVED THANK YOU"/>
    <n v="16.489999999999998"/>
    <x v="1"/>
    <x v="1"/>
    <x v="16"/>
  </r>
  <r>
    <x v="0"/>
    <x v="1"/>
    <x v="2"/>
    <x v="176"/>
    <s v="PAYMENT RECEIVED THANK YOU"/>
    <n v="42.91"/>
    <x v="1"/>
    <x v="1"/>
    <x v="16"/>
  </r>
  <r>
    <x v="0"/>
    <x v="1"/>
    <x v="2"/>
    <x v="176"/>
    <s v="GULL REEVES ROAD AUCKLAND"/>
    <n v="-177.91"/>
    <x v="6"/>
    <x v="9"/>
    <x v="14"/>
  </r>
  <r>
    <x v="0"/>
    <x v="1"/>
    <x v="2"/>
    <x v="176"/>
    <s v="VICTORY CHRISTIAN CHURCH AUCKLAND"/>
    <n v="-15.26"/>
    <x v="6"/>
    <x v="9"/>
    <x v="21"/>
  </r>
  <r>
    <x v="0"/>
    <x v="1"/>
    <x v="2"/>
    <x v="177"/>
    <s v="PAYMENT RECEIVED THANK YOU"/>
    <n v="22.38"/>
    <x v="1"/>
    <x v="1"/>
    <x v="16"/>
  </r>
  <r>
    <x v="0"/>
    <x v="1"/>
    <x v="2"/>
    <x v="177"/>
    <s v="PAYMENT RECEIVED THANK YOU"/>
    <n v="55.33"/>
    <x v="1"/>
    <x v="1"/>
    <x v="16"/>
  </r>
  <r>
    <x v="0"/>
    <x v="1"/>
    <x v="2"/>
    <x v="178"/>
    <s v="PAYMENT RECEIVED THANK YOU"/>
    <n v="1.31"/>
    <x v="1"/>
    <x v="1"/>
    <x v="16"/>
  </r>
  <r>
    <x v="0"/>
    <x v="1"/>
    <x v="2"/>
    <x v="179"/>
    <s v="PAYMENT RECEIVED THANK YOU"/>
    <n v="0.42"/>
    <x v="1"/>
    <x v="1"/>
    <x v="16"/>
  </r>
  <r>
    <x v="0"/>
    <x v="1"/>
    <x v="2"/>
    <x v="180"/>
    <s v="PAYMENT RECEIVED THANK YOU"/>
    <n v="12.41"/>
    <x v="1"/>
    <x v="1"/>
    <x v="16"/>
  </r>
  <r>
    <x v="0"/>
    <x v="1"/>
    <x v="2"/>
    <x v="180"/>
    <s v="DBS Jetts Remuera North Harbour"/>
    <n v="-0.13"/>
    <x v="3"/>
    <x v="14"/>
    <x v="17"/>
  </r>
  <r>
    <x v="0"/>
    <x v="1"/>
    <x v="2"/>
    <x v="182"/>
    <s v="PAYMENT RECEIVED THANK YOU"/>
    <n v="1.94"/>
    <x v="1"/>
    <x v="1"/>
    <x v="16"/>
  </r>
  <r>
    <x v="0"/>
    <x v="1"/>
    <x v="2"/>
    <x v="183"/>
    <s v="DBS Jetts Remuera North Harbour"/>
    <n v="-2.1800000000000002"/>
    <x v="3"/>
    <x v="14"/>
    <x v="17"/>
  </r>
  <r>
    <x v="0"/>
    <x v="1"/>
    <x v="2"/>
    <x v="184"/>
    <s v="PAYMENT RECEIVED THANK YOU"/>
    <n v="15.02"/>
    <x v="1"/>
    <x v="1"/>
    <x v="16"/>
  </r>
  <r>
    <x v="0"/>
    <x v="1"/>
    <x v="2"/>
    <x v="185"/>
    <s v="PAYMENT RECEIVED THANK YOU"/>
    <n v="29.86"/>
    <x v="1"/>
    <x v="1"/>
    <x v="16"/>
  </r>
  <r>
    <x v="0"/>
    <x v="1"/>
    <x v="2"/>
    <x v="187"/>
    <s v="PAYMENT RECEIVED THANK YOU"/>
    <n v="1.28"/>
    <x v="1"/>
    <x v="1"/>
    <x v="16"/>
  </r>
  <r>
    <x v="0"/>
    <x v="1"/>
    <x v="2"/>
    <x v="187"/>
    <s v="DBS Jetts Remuera North Harbour"/>
    <n v="-4.91"/>
    <x v="3"/>
    <x v="14"/>
    <x v="17"/>
  </r>
  <r>
    <x v="0"/>
    <x v="1"/>
    <x v="2"/>
    <x v="286"/>
    <s v="PAYMENT RECEIVED THANK YOU"/>
    <n v="9.25"/>
    <x v="1"/>
    <x v="1"/>
    <x v="16"/>
  </r>
  <r>
    <x v="0"/>
    <x v="1"/>
    <x v="2"/>
    <x v="188"/>
    <s v="PAYMENT RECEIVED THANK YOU"/>
    <n v="44.37"/>
    <x v="1"/>
    <x v="1"/>
    <x v="16"/>
  </r>
  <r>
    <x v="0"/>
    <x v="1"/>
    <x v="2"/>
    <x v="189"/>
    <s v="PAYMENT RECEIVED THANK YOU"/>
    <n v="2.9"/>
    <x v="1"/>
    <x v="1"/>
    <x v="16"/>
  </r>
  <r>
    <x v="0"/>
    <x v="1"/>
    <x v="2"/>
    <x v="189"/>
    <s v="PAYMENT RECEIVED THANK YOU"/>
    <n v="0.45"/>
    <x v="1"/>
    <x v="1"/>
    <x v="16"/>
  </r>
  <r>
    <x v="0"/>
    <x v="1"/>
    <x v="2"/>
    <x v="189"/>
    <s v="GRAND HOTEL MANAGEMENT MELBOURNE 30.00 AUSTRALIAN DOLLAR at a Conversion Rate  of 0.9259 (NZ$32.40)"/>
    <n v="-42.45"/>
    <x v="3"/>
    <x v="6"/>
    <x v="6"/>
  </r>
  <r>
    <x v="0"/>
    <x v="1"/>
    <x v="2"/>
    <x v="189"/>
    <s v="OFFSHORE SERVICE MARGINS"/>
    <n v="-0.51"/>
    <x v="5"/>
    <x v="7"/>
    <x v="7"/>
  </r>
  <r>
    <x v="0"/>
    <x v="1"/>
    <x v="2"/>
    <x v="190"/>
    <s v="PAYMENT RECEIVED THANK YOU"/>
    <n v="30.26"/>
    <x v="1"/>
    <x v="1"/>
    <x v="16"/>
  </r>
  <r>
    <x v="0"/>
    <x v="1"/>
    <x v="2"/>
    <x v="190"/>
    <s v="ZLR MOBO MOGA Melbourne Air 18.25 AUSTRALIAN DOLLAR at a Conversion Rate  of 0.9259 (NZ$19.71)"/>
    <n v="-3.99"/>
    <x v="3"/>
    <x v="6"/>
    <x v="6"/>
  </r>
  <r>
    <x v="0"/>
    <x v="1"/>
    <x v="2"/>
    <x v="190"/>
    <s v="OFFSHORE SERVICE MARGINS"/>
    <n v="-0.52"/>
    <x v="5"/>
    <x v="7"/>
    <x v="7"/>
  </r>
  <r>
    <x v="0"/>
    <x v="1"/>
    <x v="2"/>
    <x v="190"/>
    <s v="WOOLWORTHS/GOLD COAST HWY SURFERS PDISE 4.80 AUSTRALIAN DOLLAR at a Conversion Rate  of 0.9266 (NZ$5.18)"/>
    <n v="-4.04"/>
    <x v="0"/>
    <x v="0"/>
    <x v="0"/>
  </r>
  <r>
    <x v="0"/>
    <x v="1"/>
    <x v="2"/>
    <x v="190"/>
    <s v="OFFSHORE SERVICE MARGINS"/>
    <n v="-7.0000000000000007E-2"/>
    <x v="5"/>
    <x v="7"/>
    <x v="7"/>
  </r>
  <r>
    <x v="0"/>
    <x v="1"/>
    <x v="2"/>
    <x v="191"/>
    <s v="PAYMENT RECEIVED THANK YOU"/>
    <n v="30.17"/>
    <x v="1"/>
    <x v="1"/>
    <x v="16"/>
  </r>
  <r>
    <x v="0"/>
    <x v="1"/>
    <x v="2"/>
    <x v="191"/>
    <s v="PAYMENT RECEIVED THANK YOU"/>
    <n v="42.85"/>
    <x v="1"/>
    <x v="1"/>
    <x v="16"/>
  </r>
  <r>
    <x v="0"/>
    <x v="1"/>
    <x v="2"/>
    <x v="190"/>
    <s v="CHEMIST WAREHOUSE WERRIBEE 22.49 AUSTRALIAN DOLLAR at a Conversion Rate  of 0.9259 (NZ$24.29)"/>
    <n v="-18.510000000000002"/>
    <x v="0"/>
    <x v="0"/>
    <x v="0"/>
  </r>
  <r>
    <x v="0"/>
    <x v="1"/>
    <x v="2"/>
    <x v="190"/>
    <s v="OFFSHORE SERVICE MARGINS"/>
    <n v="-0.31"/>
    <x v="5"/>
    <x v="7"/>
    <x v="7"/>
  </r>
  <r>
    <x v="0"/>
    <x v="1"/>
    <x v="2"/>
    <x v="190"/>
    <s v="DUMPLING NOODLE CIRC SURFERS PARAD 38.00 AUSTRALIAN DOLLAR at a Conversion Rate  of 0.9259 (NZ$41.04)"/>
    <n v="-34.700000000000003"/>
    <x v="3"/>
    <x v="8"/>
    <x v="8"/>
  </r>
  <r>
    <x v="0"/>
    <x v="1"/>
    <x v="2"/>
    <x v="190"/>
    <s v="OFFSHORE SERVICE MARGINS"/>
    <n v="-0.83"/>
    <x v="5"/>
    <x v="7"/>
    <x v="7"/>
  </r>
  <r>
    <x v="0"/>
    <x v="1"/>
    <x v="2"/>
    <x v="191"/>
    <s v="WOOLWORTHS/GOLD COAST HWY SURFERS PDISE 20.61 AUSTRALIAN DOLLAR at a Conversion Rate  of 0.9234 (NZ$22.32)"/>
    <n v="-4.88"/>
    <x v="0"/>
    <x v="0"/>
    <x v="0"/>
  </r>
  <r>
    <x v="0"/>
    <x v="1"/>
    <x v="2"/>
    <x v="191"/>
    <s v="OFFSHORE SERVICE MARGINS"/>
    <n v="-0.16"/>
    <x v="5"/>
    <x v="7"/>
    <x v="7"/>
  </r>
  <r>
    <x v="0"/>
    <x v="1"/>
    <x v="2"/>
    <x v="192"/>
    <s v="PAYMENT RECEIVED THANK YOU"/>
    <n v="27.94"/>
    <x v="1"/>
    <x v="1"/>
    <x v="16"/>
  </r>
  <r>
    <x v="0"/>
    <x v="1"/>
    <x v="2"/>
    <x v="192"/>
    <s v="PAYMENT RECEIVED THANK YOU"/>
    <n v="11.15"/>
    <x v="1"/>
    <x v="1"/>
    <x v="16"/>
  </r>
  <r>
    <x v="0"/>
    <x v="1"/>
    <x v="2"/>
    <x v="191"/>
    <s v="DBS Jetts Remuera North Harbour"/>
    <n v="-14.22"/>
    <x v="3"/>
    <x v="14"/>
    <x v="17"/>
  </r>
  <r>
    <x v="0"/>
    <x v="1"/>
    <x v="2"/>
    <x v="190"/>
    <s v="DELAWARE NORTH RETAI MELBOURNE AIR 15.20 AUSTRALIAN DOLLAR at a Conversion Rate  of 0.9263 (NZ$16.41)"/>
    <n v="-12.82"/>
    <x v="0"/>
    <x v="0"/>
    <x v="0"/>
  </r>
  <r>
    <x v="0"/>
    <x v="1"/>
    <x v="2"/>
    <x v="190"/>
    <s v="OFFSHORE SERVICE MARGINS"/>
    <n v="-7.0000000000000007E-2"/>
    <x v="5"/>
    <x v="7"/>
    <x v="7"/>
  </r>
  <r>
    <x v="0"/>
    <x v="1"/>
    <x v="2"/>
    <x v="191"/>
    <s v="DUMPLING NOODLE CIRC SURFERS PARAD 3.55 AUSTRALIAN DOLLAR at a Conversion Rate  of 0.9221 (NZ$3.85)"/>
    <n v="-2.67"/>
    <x v="3"/>
    <x v="8"/>
    <x v="8"/>
  </r>
  <r>
    <x v="0"/>
    <x v="1"/>
    <x v="2"/>
    <x v="191"/>
    <s v="OFFSHORE SERVICE MARGINS"/>
    <n v="-7.0000000000000007E-2"/>
    <x v="5"/>
    <x v="7"/>
    <x v="7"/>
  </r>
  <r>
    <x v="0"/>
    <x v="1"/>
    <x v="2"/>
    <x v="193"/>
    <s v="PAYMENT RECEIVED THANK YOU"/>
    <n v="6.57"/>
    <x v="1"/>
    <x v="1"/>
    <x v="16"/>
  </r>
  <r>
    <x v="0"/>
    <x v="1"/>
    <x v="2"/>
    <x v="191"/>
    <s v="Hungry Jacks Surfers Parad 18.20 AUSTRALIAN DOLLAR at a Conversion Rate  of 0.9234 (NZ$19.71)"/>
    <n v="-18.63"/>
    <x v="3"/>
    <x v="8"/>
    <x v="8"/>
  </r>
  <r>
    <x v="0"/>
    <x v="1"/>
    <x v="2"/>
    <x v="191"/>
    <s v="OFFSHORE SERVICE MARGINS"/>
    <n v="-0.41"/>
    <x v="5"/>
    <x v="7"/>
    <x v="7"/>
  </r>
  <r>
    <x v="0"/>
    <x v="1"/>
    <x v="2"/>
    <x v="191"/>
    <s v="SMP Dominos  Surfers S Surfers Parad 15.23 AUSTRALIAN DOLLAR at a Conversion Rate  of 0.9230 (NZ$16.50)"/>
    <n v="-0.15"/>
    <x v="3"/>
    <x v="8"/>
    <x v="8"/>
  </r>
  <r>
    <x v="0"/>
    <x v="1"/>
    <x v="2"/>
    <x v="191"/>
    <s v="OFFSHORE SERVICE MARGINS"/>
    <n v="-7.0000000000000007E-2"/>
    <x v="5"/>
    <x v="7"/>
    <x v="7"/>
  </r>
  <r>
    <x v="0"/>
    <x v="1"/>
    <x v="2"/>
    <x v="192"/>
    <s v="SQ  SAIGON BAGUETTE Surfers Parad 10.00 AUSTRALIAN DOLLAR at a Conversion Rate  of 0.9225 (NZ$10.84)"/>
    <n v="-9.32"/>
    <x v="0"/>
    <x v="0"/>
    <x v="0"/>
  </r>
  <r>
    <x v="0"/>
    <x v="1"/>
    <x v="2"/>
    <x v="192"/>
    <s v="OFFSHORE SERVICE MARGINS"/>
    <n v="-0.14000000000000001"/>
    <x v="5"/>
    <x v="7"/>
    <x v="7"/>
  </r>
  <r>
    <x v="0"/>
    <x v="1"/>
    <x v="2"/>
    <x v="194"/>
    <s v="PAYMENT RECEIVED THANK YOU"/>
    <n v="0.36"/>
    <x v="1"/>
    <x v="1"/>
    <x v="16"/>
  </r>
  <r>
    <x v="0"/>
    <x v="1"/>
    <x v="2"/>
    <x v="194"/>
    <s v="TGI FRIDAYS SURFERS P Surfers Parad 66.59 AUSTRALIAN DOLLAR at a Conversion Rate  of 0.9280 (NZ$71.76)"/>
    <n v="-106.53"/>
    <x v="9"/>
    <x v="18"/>
    <x v="30"/>
  </r>
  <r>
    <x v="0"/>
    <x v="1"/>
    <x v="2"/>
    <x v="194"/>
    <s v="OFFSHORE SERVICE MARGINS"/>
    <n v="-0.73"/>
    <x v="5"/>
    <x v="7"/>
    <x v="7"/>
  </r>
  <r>
    <x v="0"/>
    <x v="1"/>
    <x v="2"/>
    <x v="195"/>
    <s v="PAYMENT RECEIVED THANK YOU"/>
    <n v="251.16"/>
    <x v="1"/>
    <x v="1"/>
    <x v="16"/>
  </r>
  <r>
    <x v="0"/>
    <x v="1"/>
    <x v="2"/>
    <x v="194"/>
    <s v="CASTAWAY COFFEE BAR SURFERS PARAD 8.13 AUSTRALIAN DOLLAR at a Conversion Rate  of 0.9281 (NZ$8.76)"/>
    <n v="-11.95"/>
    <x v="3"/>
    <x v="8"/>
    <x v="8"/>
  </r>
  <r>
    <x v="0"/>
    <x v="1"/>
    <x v="2"/>
    <x v="194"/>
    <s v="OFFSHORE SERVICE MARGINS"/>
    <n v="-0.21"/>
    <x v="5"/>
    <x v="7"/>
    <x v="7"/>
  </r>
  <r>
    <x v="0"/>
    <x v="1"/>
    <x v="2"/>
    <x v="194"/>
    <s v="SURFERS PARADISE MID SURFERS PARAD 14.99 AUSTRALIAN DOLLAR at a Conversion Rate  of 0.9282 (NZ$16.15)"/>
    <n v="-20.66"/>
    <x v="3"/>
    <x v="8"/>
    <x v="8"/>
  </r>
  <r>
    <x v="0"/>
    <x v="1"/>
    <x v="2"/>
    <x v="194"/>
    <s v="OFFSHORE SERVICE MARGINS"/>
    <n v="-0.17"/>
    <x v="5"/>
    <x v="7"/>
    <x v="7"/>
  </r>
  <r>
    <x v="0"/>
    <x v="1"/>
    <x v="2"/>
    <x v="196"/>
    <s v="PAYMENT RECEIVED THANK YOU"/>
    <n v="1.32"/>
    <x v="1"/>
    <x v="1"/>
    <x v="16"/>
  </r>
  <r>
    <x v="0"/>
    <x v="1"/>
    <x v="2"/>
    <x v="194"/>
    <s v="SHIRAZ PERSIAN RESTAUR SURFERS PARAD 96.33 AUSTRALIAN DOLLAR at a Conversion Rate  of 0.9279 (NZ$103.81)"/>
    <n v="-104.32"/>
    <x v="3"/>
    <x v="8"/>
    <x v="8"/>
  </r>
  <r>
    <x v="0"/>
    <x v="1"/>
    <x v="2"/>
    <x v="194"/>
    <s v="OFFSHORE SERVICE MARGINS"/>
    <n v="-0.94"/>
    <x v="5"/>
    <x v="7"/>
    <x v="7"/>
  </r>
  <r>
    <x v="0"/>
    <x v="1"/>
    <x v="2"/>
    <x v="197"/>
    <s v="PAYMENT RECEIVED THANK YOU"/>
    <n v="0.73"/>
    <x v="1"/>
    <x v="1"/>
    <x v="16"/>
  </r>
  <r>
    <x v="0"/>
    <x v="1"/>
    <x v="2"/>
    <x v="197"/>
    <s v="Kogan.com K7C4HDDZ Auckland"/>
    <n v="-2.61"/>
    <x v="4"/>
    <x v="12"/>
    <x v="12"/>
  </r>
  <r>
    <x v="0"/>
    <x v="1"/>
    <x v="2"/>
    <x v="196"/>
    <s v="GST Tourist Refund Sydney"/>
    <n v="7.37"/>
    <x v="3"/>
    <x v="6"/>
    <x v="6"/>
  </r>
  <r>
    <x v="0"/>
    <x v="1"/>
    <x v="2"/>
    <x v="197"/>
    <s v="PAYMENT RECEIVED THANK YOU"/>
    <n v="1.01"/>
    <x v="1"/>
    <x v="1"/>
    <x v="16"/>
  </r>
  <r>
    <x v="0"/>
    <x v="1"/>
    <x v="2"/>
    <x v="198"/>
    <s v="PAYMENT RECEIVED THANK YOU"/>
    <n v="0.69"/>
    <x v="1"/>
    <x v="1"/>
    <x v="16"/>
  </r>
  <r>
    <x v="0"/>
    <x v="1"/>
    <x v="2"/>
    <x v="198"/>
    <s v="DBS Jetts Remuera North Harbour"/>
    <n v="-4.74"/>
    <x v="3"/>
    <x v="14"/>
    <x v="17"/>
  </r>
  <r>
    <x v="0"/>
    <x v="1"/>
    <x v="2"/>
    <x v="200"/>
    <s v="Washpod 06 Mt Wellington"/>
    <n v="-21.88"/>
    <x v="0"/>
    <x v="0"/>
    <x v="0"/>
  </r>
  <r>
    <x v="0"/>
    <x v="1"/>
    <x v="2"/>
    <x v="200"/>
    <s v="GULL MARUA ROAD AUCKLAND"/>
    <n v="-18.55"/>
    <x v="6"/>
    <x v="9"/>
    <x v="14"/>
  </r>
  <r>
    <x v="0"/>
    <x v="1"/>
    <x v="2"/>
    <x v="200"/>
    <s v="PAYMENT RECEIVED THANK YOU"/>
    <n v="23.88"/>
    <x v="1"/>
    <x v="1"/>
    <x v="16"/>
  </r>
  <r>
    <x v="0"/>
    <x v="1"/>
    <x v="2"/>
    <x v="203"/>
    <s v="BAT (NEW ZEALAND) LIMITED VENDOR_INVOIC"/>
    <n v="-102.75"/>
    <x v="3"/>
    <x v="3"/>
    <x v="28"/>
  </r>
  <r>
    <x v="0"/>
    <x v="1"/>
    <x v="2"/>
    <x v="204"/>
    <s v="PAYMENT RECEIVED THANK YOU"/>
    <n v="44.43"/>
    <x v="1"/>
    <x v="1"/>
    <x v="16"/>
  </r>
  <r>
    <x v="0"/>
    <x v="1"/>
    <x v="2"/>
    <x v="204"/>
    <s v="PAYMENT RECEIVED THANK YOU"/>
    <n v="2.84"/>
    <x v="1"/>
    <x v="1"/>
    <x v="16"/>
  </r>
  <r>
    <x v="0"/>
    <x v="1"/>
    <x v="2"/>
    <x v="204"/>
    <s v="HARRIS ROAD SUPERETT AUCKLAND"/>
    <n v="-12.76"/>
    <x v="0"/>
    <x v="0"/>
    <x v="0"/>
  </r>
  <r>
    <x v="0"/>
    <x v="1"/>
    <x v="2"/>
    <x v="204"/>
    <s v="RIPE DELI EPSOM AUCKLAND"/>
    <n v="-1.64"/>
    <x v="0"/>
    <x v="0"/>
    <x v="0"/>
  </r>
  <r>
    <x v="0"/>
    <x v="1"/>
    <x v="2"/>
    <x v="205"/>
    <s v="PAYMENT RECEIVED THANK YOU"/>
    <n v="11.52"/>
    <x v="1"/>
    <x v="1"/>
    <x v="16"/>
  </r>
  <r>
    <x v="0"/>
    <x v="1"/>
    <x v="2"/>
    <x v="205"/>
    <s v="DBS Jetts Remuera North Harbour"/>
    <n v="-1.74"/>
    <x v="3"/>
    <x v="14"/>
    <x v="17"/>
  </r>
  <r>
    <x v="0"/>
    <x v="1"/>
    <x v="2"/>
    <x v="207"/>
    <s v="PAYMENT RECEIVED THANK YOU"/>
    <n v="40.380000000000003"/>
    <x v="1"/>
    <x v="1"/>
    <x v="16"/>
  </r>
  <r>
    <x v="0"/>
    <x v="1"/>
    <x v="2"/>
    <x v="211"/>
    <s v="PAYMENT RECEIVED THANK YOU"/>
    <n v="11.52"/>
    <x v="1"/>
    <x v="1"/>
    <x v="16"/>
  </r>
  <r>
    <x v="0"/>
    <x v="1"/>
    <x v="2"/>
    <x v="213"/>
    <s v="PAYMENT RECEIVED THANK YOU"/>
    <n v="0.17"/>
    <x v="1"/>
    <x v="1"/>
    <x v="16"/>
  </r>
  <r>
    <x v="0"/>
    <x v="1"/>
    <x v="2"/>
    <x v="212"/>
    <s v="DBS Jetts Remuera North Harbour"/>
    <n v="-3.14"/>
    <x v="3"/>
    <x v="14"/>
    <x v="17"/>
  </r>
  <r>
    <x v="0"/>
    <x v="1"/>
    <x v="2"/>
    <x v="214"/>
    <s v="PAYMENT RECEIVED THANK YOU"/>
    <n v="19.5"/>
    <x v="1"/>
    <x v="1"/>
    <x v="16"/>
  </r>
  <r>
    <x v="0"/>
    <x v="1"/>
    <x v="2"/>
    <x v="214"/>
    <s v="PAYMENT RECEIVED THANK YOU"/>
    <n v="10.89"/>
    <x v="1"/>
    <x v="1"/>
    <x v="16"/>
  </r>
  <r>
    <x v="0"/>
    <x v="1"/>
    <x v="2"/>
    <x v="214"/>
    <s v="HESARI BAKERY LIMITED AUCKLAND"/>
    <n v="-6.23"/>
    <x v="0"/>
    <x v="0"/>
    <x v="0"/>
  </r>
  <r>
    <x v="0"/>
    <x v="1"/>
    <x v="2"/>
    <x v="216"/>
    <s v="PAYMENT RECEIVED THANK YOU"/>
    <n v="6.06"/>
    <x v="1"/>
    <x v="1"/>
    <x v="16"/>
  </r>
  <r>
    <x v="0"/>
    <x v="1"/>
    <x v="2"/>
    <x v="218"/>
    <s v="PAYMENT RECEIVED THANK YOU"/>
    <n v="4.76"/>
    <x v="1"/>
    <x v="1"/>
    <x v="16"/>
  </r>
  <r>
    <x v="0"/>
    <x v="1"/>
    <x v="2"/>
    <x v="217"/>
    <s v="DBS Jetts Remuera North Harbour"/>
    <n v="-3.05"/>
    <x v="3"/>
    <x v="14"/>
    <x v="17"/>
  </r>
  <r>
    <x v="0"/>
    <x v="1"/>
    <x v="2"/>
    <x v="219"/>
    <s v="PAYMENT RECEIVED THANK YOU"/>
    <n v="38.799999999999997"/>
    <x v="1"/>
    <x v="1"/>
    <x v="16"/>
  </r>
  <r>
    <x v="0"/>
    <x v="1"/>
    <x v="2"/>
    <x v="221"/>
    <s v="PAYMENT RECEIVED THANK YOU"/>
    <n v="107.76"/>
    <x v="1"/>
    <x v="1"/>
    <x v="16"/>
  </r>
  <r>
    <x v="0"/>
    <x v="1"/>
    <x v="2"/>
    <x v="221"/>
    <s v="GULL MARUA ROAD AUCKLAND"/>
    <n v="-179.23"/>
    <x v="6"/>
    <x v="9"/>
    <x v="14"/>
  </r>
  <r>
    <x v="0"/>
    <x v="1"/>
    <x v="2"/>
    <x v="287"/>
    <s v="VICTORY CHRISTIAN CHURCH AUCKLAND"/>
    <n v="-9.2200000000000006"/>
    <x v="6"/>
    <x v="9"/>
    <x v="21"/>
  </r>
  <r>
    <x v="0"/>
    <x v="1"/>
    <x v="2"/>
    <x v="222"/>
    <s v="PAYMENT RECEIVED THANK YOU"/>
    <n v="42.55"/>
    <x v="1"/>
    <x v="1"/>
    <x v="16"/>
  </r>
  <r>
    <x v="0"/>
    <x v="1"/>
    <x v="2"/>
    <x v="224"/>
    <s v="VICTORY CHRISTIAN CHURCH AUCKLAND"/>
    <n v="-7.34"/>
    <x v="6"/>
    <x v="9"/>
    <x v="21"/>
  </r>
  <r>
    <x v="0"/>
    <x v="1"/>
    <x v="2"/>
    <x v="224"/>
    <s v="PAYMENT RECEIVED THANK YOU"/>
    <n v="15.29"/>
    <x v="1"/>
    <x v="1"/>
    <x v="16"/>
  </r>
  <r>
    <x v="0"/>
    <x v="1"/>
    <x v="2"/>
    <x v="223"/>
    <s v="DBS Jetts Remuera North Harbour"/>
    <n v="-13.96"/>
    <x v="3"/>
    <x v="14"/>
    <x v="17"/>
  </r>
  <r>
    <x v="0"/>
    <x v="1"/>
    <x v="2"/>
    <x v="224"/>
    <s v="PAYMENT RECEIVED THANK YOU"/>
    <n v="20.51"/>
    <x v="1"/>
    <x v="1"/>
    <x v="16"/>
  </r>
  <r>
    <x v="0"/>
    <x v="1"/>
    <x v="2"/>
    <x v="225"/>
    <s v="PAYMENT RECEIVED THANK YOU"/>
    <n v="34.75"/>
    <x v="1"/>
    <x v="1"/>
    <x v="16"/>
  </r>
  <r>
    <x v="0"/>
    <x v="1"/>
    <x v="2"/>
    <x v="226"/>
    <s v="PAYMENT RECEIVED THANK YOU"/>
    <n v="18.600000000000001"/>
    <x v="1"/>
    <x v="1"/>
    <x v="16"/>
  </r>
  <r>
    <x v="0"/>
    <x v="1"/>
    <x v="2"/>
    <x v="228"/>
    <s v="VICTORY CHRISTIAN CHURCH AUCKLAND"/>
    <n v="-22.75"/>
    <x v="6"/>
    <x v="9"/>
    <x v="21"/>
  </r>
  <r>
    <x v="0"/>
    <x v="1"/>
    <x v="2"/>
    <x v="227"/>
    <s v="DBS Jetts Remuera North Harbour"/>
    <n v="-2.63"/>
    <x v="3"/>
    <x v="14"/>
    <x v="17"/>
  </r>
  <r>
    <x v="0"/>
    <x v="1"/>
    <x v="2"/>
    <x v="228"/>
    <s v="PAYMENT RECEIVED THANK YOU"/>
    <n v="21.61"/>
    <x v="1"/>
    <x v="1"/>
    <x v="16"/>
  </r>
  <r>
    <x v="0"/>
    <x v="1"/>
    <x v="2"/>
    <x v="229"/>
    <s v="PAYMENT RECEIVED THANK YOU"/>
    <n v="30.14"/>
    <x v="1"/>
    <x v="1"/>
    <x v="16"/>
  </r>
  <r>
    <x v="0"/>
    <x v="1"/>
    <x v="2"/>
    <x v="229"/>
    <s v="PAYMENT RECEIVED THANK YOU"/>
    <n v="19.760000000000002"/>
    <x v="1"/>
    <x v="1"/>
    <x v="16"/>
  </r>
  <r>
    <x v="0"/>
    <x v="1"/>
    <x v="2"/>
    <x v="229"/>
    <s v="EB  Succeed in Propert 801-413-7200"/>
    <n v="-38.06"/>
    <x v="3"/>
    <x v="3"/>
    <x v="3"/>
  </r>
  <r>
    <x v="0"/>
    <x v="1"/>
    <x v="2"/>
    <x v="229"/>
    <s v="VICTORY CHRISTIAN CHURCH AUCKLAND"/>
    <n v="-22.82"/>
    <x v="6"/>
    <x v="9"/>
    <x v="21"/>
  </r>
  <r>
    <x v="0"/>
    <x v="1"/>
    <x v="2"/>
    <x v="229"/>
    <s v="PAYMENT RECEIVED THANK YOU"/>
    <n v="24.77"/>
    <x v="1"/>
    <x v="1"/>
    <x v="16"/>
  </r>
  <r>
    <x v="0"/>
    <x v="1"/>
    <x v="2"/>
    <x v="230"/>
    <s v="Pakihi Marine Farms Papakura"/>
    <n v="-1.64"/>
    <x v="0"/>
    <x v="0"/>
    <x v="0"/>
  </r>
  <r>
    <x v="0"/>
    <x v="1"/>
    <x v="2"/>
    <x v="230"/>
    <s v="Pakihi Marine Farms Papakura"/>
    <n v="-23.97"/>
    <x v="0"/>
    <x v="0"/>
    <x v="0"/>
  </r>
  <r>
    <x v="0"/>
    <x v="1"/>
    <x v="2"/>
    <x v="230"/>
    <s v="PAYMENT RECEIVED THANK YOU"/>
    <n v="173.08"/>
    <x v="1"/>
    <x v="1"/>
    <x v="16"/>
  </r>
  <r>
    <x v="0"/>
    <x v="1"/>
    <x v="2"/>
    <x v="230"/>
    <s v="Z Karaka Papakura"/>
    <n v="-164.78"/>
    <x v="6"/>
    <x v="9"/>
    <x v="14"/>
  </r>
  <r>
    <x v="0"/>
    <x v="1"/>
    <x v="2"/>
    <x v="230"/>
    <s v="DR BUCHA'S LIVING DRINKS KATIKATI"/>
    <n v="-13.31"/>
    <x v="3"/>
    <x v="8"/>
    <x v="8"/>
  </r>
  <r>
    <x v="0"/>
    <x v="1"/>
    <x v="2"/>
    <x v="231"/>
    <s v="BAT (NEW ZEALAND) LIMITED VENDOR_INVOIC"/>
    <n v="-98.29"/>
    <x v="3"/>
    <x v="3"/>
    <x v="28"/>
  </r>
  <r>
    <x v="0"/>
    <x v="1"/>
    <x v="2"/>
    <x v="231"/>
    <s v="PAYMENT RECEIVED THANK YOU"/>
    <n v="6.9"/>
    <x v="1"/>
    <x v="1"/>
    <x v="16"/>
  </r>
  <r>
    <x v="0"/>
    <x v="1"/>
    <x v="2"/>
    <x v="232"/>
    <s v="PAYMENT RECEIVED THANK YOU"/>
    <n v="17.86"/>
    <x v="1"/>
    <x v="1"/>
    <x v="16"/>
  </r>
  <r>
    <x v="0"/>
    <x v="1"/>
    <x v="2"/>
    <x v="233"/>
    <s v="VICTORY CHRISTIAN CHURCH AUCKLAND"/>
    <n v="-27.7"/>
    <x v="6"/>
    <x v="9"/>
    <x v="21"/>
  </r>
  <r>
    <x v="0"/>
    <x v="1"/>
    <x v="2"/>
    <x v="234"/>
    <s v="PAYMENT RECEIVED THANK YOU"/>
    <n v="3.59"/>
    <x v="1"/>
    <x v="1"/>
    <x v="16"/>
  </r>
  <r>
    <x v="0"/>
    <x v="1"/>
    <x v="2"/>
    <x v="234"/>
    <s v="PAYMENT RECEIVED THANK YOU"/>
    <n v="39.82"/>
    <x v="1"/>
    <x v="1"/>
    <x v="16"/>
  </r>
  <r>
    <x v="0"/>
    <x v="1"/>
    <x v="2"/>
    <x v="234"/>
    <s v="CHOICE RETAIL AUCKLAND"/>
    <n v="-1.05"/>
    <x v="0"/>
    <x v="0"/>
    <x v="0"/>
  </r>
  <r>
    <x v="0"/>
    <x v="1"/>
    <x v="2"/>
    <x v="234"/>
    <s v="TART BAKERY AUCKLAND"/>
    <n v="-8.3699999999999992"/>
    <x v="0"/>
    <x v="0"/>
    <x v="0"/>
  </r>
  <r>
    <x v="0"/>
    <x v="1"/>
    <x v="2"/>
    <x v="233"/>
    <s v="DBS Jetts Remuera North Harbour"/>
    <n v="-7.6"/>
    <x v="3"/>
    <x v="14"/>
    <x v="17"/>
  </r>
  <r>
    <x v="0"/>
    <x v="1"/>
    <x v="2"/>
    <x v="235"/>
    <s v="PAYMENT RECEIVED THANK YOU"/>
    <n v="1.07"/>
    <x v="1"/>
    <x v="1"/>
    <x v="16"/>
  </r>
  <r>
    <x v="0"/>
    <x v="1"/>
    <x v="2"/>
    <x v="236"/>
    <s v="VICTORY CHRISTIAN CHURCH AUCKLAND"/>
    <n v="-4.91"/>
    <x v="6"/>
    <x v="9"/>
    <x v="21"/>
  </r>
  <r>
    <x v="0"/>
    <x v="1"/>
    <x v="2"/>
    <x v="237"/>
    <s v="PAYMENT RECEIVED THANK YOU"/>
    <n v="16.23"/>
    <x v="1"/>
    <x v="1"/>
    <x v="16"/>
  </r>
  <r>
    <x v="0"/>
    <x v="1"/>
    <x v="2"/>
    <x v="238"/>
    <s v="PAYMENT RECEIVED THANK YOU"/>
    <n v="4.57"/>
    <x v="1"/>
    <x v="1"/>
    <x v="16"/>
  </r>
  <r>
    <x v="0"/>
    <x v="1"/>
    <x v="2"/>
    <x v="240"/>
    <s v="PAYMENT RECEIVED THANK YOU"/>
    <n v="10.26"/>
    <x v="1"/>
    <x v="1"/>
    <x v="16"/>
  </r>
  <r>
    <x v="0"/>
    <x v="1"/>
    <x v="2"/>
    <x v="240"/>
    <s v="PAYMENT RECEIVED THANK YOU"/>
    <n v="56.13"/>
    <x v="1"/>
    <x v="1"/>
    <x v="16"/>
  </r>
  <r>
    <x v="0"/>
    <x v="1"/>
    <x v="2"/>
    <x v="240"/>
    <s v="AT Hop Auckland Ellerslie"/>
    <n v="-38.29"/>
    <x v="6"/>
    <x v="9"/>
    <x v="33"/>
  </r>
  <r>
    <x v="0"/>
    <x v="1"/>
    <x v="2"/>
    <x v="239"/>
    <s v="DBS Jetts Remuera North Harbour"/>
    <n v="-5.01"/>
    <x v="3"/>
    <x v="14"/>
    <x v="17"/>
  </r>
  <r>
    <x v="0"/>
    <x v="1"/>
    <x v="2"/>
    <x v="240"/>
    <s v="BAT (NEW ZEALAND) LIMITED VENDOR_INVOIC"/>
    <n v="-136.25"/>
    <x v="3"/>
    <x v="3"/>
    <x v="28"/>
  </r>
  <r>
    <x v="0"/>
    <x v="1"/>
    <x v="2"/>
    <x v="240"/>
    <s v="VICTORY CHRISTIAN CHURCH AUCKLAND"/>
    <n v="-5.4"/>
    <x v="6"/>
    <x v="9"/>
    <x v="21"/>
  </r>
  <r>
    <x v="0"/>
    <x v="1"/>
    <x v="2"/>
    <x v="240"/>
    <s v="VICTORY CHRISTIAN CHURCH AUCKLAND"/>
    <n v="-2.65"/>
    <x v="6"/>
    <x v="9"/>
    <x v="21"/>
  </r>
  <r>
    <x v="0"/>
    <x v="1"/>
    <x v="2"/>
    <x v="241"/>
    <s v="PAYMENT RECEIVED THANK YOU"/>
    <n v="45.51"/>
    <x v="1"/>
    <x v="1"/>
    <x v="16"/>
  </r>
  <r>
    <x v="0"/>
    <x v="1"/>
    <x v="2"/>
    <x v="241"/>
    <s v="PAYMENT RECEIVED THANK YOU"/>
    <n v="70.33"/>
    <x v="1"/>
    <x v="1"/>
    <x v="16"/>
  </r>
  <r>
    <x v="0"/>
    <x v="1"/>
    <x v="2"/>
    <x v="241"/>
    <s v="COBRA LIQUOR AUCKLAND"/>
    <n v="-3.62"/>
    <x v="3"/>
    <x v="3"/>
    <x v="34"/>
  </r>
  <r>
    <x v="0"/>
    <x v="1"/>
    <x v="2"/>
    <x v="242"/>
    <s v="PAYMENT RECEIVED THANK YOU"/>
    <n v="26.95"/>
    <x v="1"/>
    <x v="1"/>
    <x v="16"/>
  </r>
  <r>
    <x v="0"/>
    <x v="1"/>
    <x v="2"/>
    <x v="242"/>
    <s v="PAYMENT RECEIVED THANK YOU"/>
    <n v="2.21"/>
    <x v="1"/>
    <x v="1"/>
    <x v="16"/>
  </r>
  <r>
    <x v="0"/>
    <x v="1"/>
    <x v="2"/>
    <x v="242"/>
    <s v="GULL MARUA ROAD AUCKLAND"/>
    <n v="-30.4"/>
    <x v="6"/>
    <x v="9"/>
    <x v="14"/>
  </r>
  <r>
    <x v="0"/>
    <x v="1"/>
    <x v="2"/>
    <x v="244"/>
    <s v="PAYMENT RECEIVED THANK YOU"/>
    <n v="48.26"/>
    <x v="1"/>
    <x v="1"/>
    <x v="16"/>
  </r>
  <r>
    <x v="0"/>
    <x v="1"/>
    <x v="2"/>
    <x v="246"/>
    <s v="PAYMENT RECEIVED THANK YOU"/>
    <n v="39.24"/>
    <x v="1"/>
    <x v="1"/>
    <x v="16"/>
  </r>
  <r>
    <x v="0"/>
    <x v="1"/>
    <x v="2"/>
    <x v="246"/>
    <s v="PAYMENT RECEIVED THANK YOU"/>
    <n v="14.42"/>
    <x v="1"/>
    <x v="1"/>
    <x v="16"/>
  </r>
  <r>
    <x v="0"/>
    <x v="1"/>
    <x v="2"/>
    <x v="245"/>
    <s v="DBS Jetts Remuera North Harbour"/>
    <n v="-16.93"/>
    <x v="3"/>
    <x v="14"/>
    <x v="17"/>
  </r>
  <r>
    <x v="0"/>
    <x v="1"/>
    <x v="2"/>
    <x v="247"/>
    <s v="VICTORY CHRISTIAN CHURCH AUCKLAND"/>
    <n v="-4.24"/>
    <x v="6"/>
    <x v="9"/>
    <x v="21"/>
  </r>
  <r>
    <x v="0"/>
    <x v="1"/>
    <x v="2"/>
    <x v="247"/>
    <s v="VICTORY CHRISTIAN CHURCH AUCKLAND"/>
    <n v="-3.4"/>
    <x v="6"/>
    <x v="9"/>
    <x v="21"/>
  </r>
  <r>
    <x v="0"/>
    <x v="1"/>
    <x v="2"/>
    <x v="247"/>
    <s v="PAYMENT RECEIVED THANK YOU"/>
    <n v="46.71"/>
    <x v="1"/>
    <x v="1"/>
    <x v="16"/>
  </r>
  <r>
    <x v="0"/>
    <x v="1"/>
    <x v="2"/>
    <x v="248"/>
    <s v="PAYMENT RECEIVED THANK YOU"/>
    <n v="45.33"/>
    <x v="1"/>
    <x v="1"/>
    <x v="16"/>
  </r>
  <r>
    <x v="0"/>
    <x v="1"/>
    <x v="2"/>
    <x v="250"/>
    <s v="DBS Jetts Remuera North Harbour"/>
    <n v="-12.79"/>
    <x v="3"/>
    <x v="14"/>
    <x v="17"/>
  </r>
  <r>
    <x v="0"/>
    <x v="1"/>
    <x v="2"/>
    <x v="250"/>
    <s v="PAYMENT RECEIVED THANK YOU"/>
    <n v="0.19"/>
    <x v="1"/>
    <x v="1"/>
    <x v="16"/>
  </r>
  <r>
    <x v="0"/>
    <x v="1"/>
    <x v="2"/>
    <x v="288"/>
    <s v="VICTORY CHRISTIAN CHURCH AUCKLAND"/>
    <n v="-10.47"/>
    <x v="6"/>
    <x v="9"/>
    <x v="21"/>
  </r>
  <r>
    <x v="0"/>
    <x v="1"/>
    <x v="2"/>
    <x v="252"/>
    <s v="PAYMENT RECEIVED THANK YOU"/>
    <n v="24.1"/>
    <x v="1"/>
    <x v="1"/>
    <x v="16"/>
  </r>
  <r>
    <x v="0"/>
    <x v="1"/>
    <x v="2"/>
    <x v="252"/>
    <s v="VICTORY CHRISTIAN CHURCH AUCKLAND"/>
    <n v="-19.670000000000002"/>
    <x v="6"/>
    <x v="9"/>
    <x v="21"/>
  </r>
  <r>
    <x v="0"/>
    <x v="1"/>
    <x v="2"/>
    <x v="253"/>
    <s v="PAYMENT RECEIVED THANK YOU"/>
    <n v="123.59"/>
    <x v="1"/>
    <x v="1"/>
    <x v="16"/>
  </r>
  <r>
    <x v="0"/>
    <x v="1"/>
    <x v="2"/>
    <x v="253"/>
    <s v="PAYMENT RECEIVED THANK YOU"/>
    <n v="23.12"/>
    <x v="1"/>
    <x v="1"/>
    <x v="16"/>
  </r>
  <r>
    <x v="0"/>
    <x v="1"/>
    <x v="2"/>
    <x v="253"/>
    <s v="Forever New Sylvia Park"/>
    <n v="-201.13"/>
    <x v="9"/>
    <x v="18"/>
    <x v="30"/>
  </r>
  <r>
    <x v="0"/>
    <x v="1"/>
    <x v="2"/>
    <x v="289"/>
    <s v="VICTORY CHRISTIAN CHURCH AUCKLAND"/>
    <n v="-7"/>
    <x v="6"/>
    <x v="9"/>
    <x v="21"/>
  </r>
  <r>
    <x v="0"/>
    <x v="1"/>
    <x v="2"/>
    <x v="254"/>
    <s v="DBS Jetts Remuera North Harbour"/>
    <n v="-13.41"/>
    <x v="3"/>
    <x v="14"/>
    <x v="17"/>
  </r>
  <r>
    <x v="0"/>
    <x v="1"/>
    <x v="2"/>
    <x v="255"/>
    <s v="PAYMENT RECEIVED THANK YOU"/>
    <n v="9.77"/>
    <x v="1"/>
    <x v="1"/>
    <x v="16"/>
  </r>
  <r>
    <x v="0"/>
    <x v="1"/>
    <x v="2"/>
    <x v="290"/>
    <s v="VICTORY CHRISTIAN CHURCH AUCKLAND"/>
    <n v="-9.3699999999999992"/>
    <x v="6"/>
    <x v="9"/>
    <x v="21"/>
  </r>
  <r>
    <x v="0"/>
    <x v="1"/>
    <x v="2"/>
    <x v="256"/>
    <s v="PAYMENT RECEIVED THANK YOU"/>
    <n v="2.12"/>
    <x v="1"/>
    <x v="1"/>
    <x v="16"/>
  </r>
  <r>
    <x v="0"/>
    <x v="1"/>
    <x v="2"/>
    <x v="257"/>
    <s v="PAYMENT RECEIVED THANK YOU"/>
    <n v="1.63"/>
    <x v="1"/>
    <x v="1"/>
    <x v="16"/>
  </r>
  <r>
    <x v="0"/>
    <x v="1"/>
    <x v="2"/>
    <x v="257"/>
    <s v="DBS Jetts Remuera North Harbour"/>
    <n v="-7.54"/>
    <x v="3"/>
    <x v="14"/>
    <x v="17"/>
  </r>
  <r>
    <x v="0"/>
    <x v="1"/>
    <x v="2"/>
    <x v="258"/>
    <s v="PAYMENT RECEIVED THANK YOU"/>
    <n v="19.29"/>
    <x v="1"/>
    <x v="1"/>
    <x v="16"/>
  </r>
  <r>
    <x v="0"/>
    <x v="1"/>
    <x v="2"/>
    <x v="291"/>
    <s v="VICTORY CHRISTIAN CHURCH AUCKLAND"/>
    <n v="-28.85"/>
    <x v="6"/>
    <x v="9"/>
    <x v="21"/>
  </r>
  <r>
    <x v="1"/>
    <x v="0"/>
    <x v="3"/>
    <x v="292"/>
    <s v="Loan Payment To: xxxx-1001         004600"/>
    <n v="-564.77"/>
    <x v="1"/>
    <x v="21"/>
    <x v="1"/>
  </r>
  <r>
    <x v="1"/>
    <x v="0"/>
    <x v="3"/>
    <x v="292"/>
    <s v="Loan Payment To: xxxx-1002         004600"/>
    <n v="-281.39999999999998"/>
    <x v="1"/>
    <x v="21"/>
    <x v="1"/>
  </r>
  <r>
    <x v="1"/>
    <x v="0"/>
    <x v="3"/>
    <x v="292"/>
    <s v="Loan Payment To: xxxx-1003         004600"/>
    <n v="-121.31"/>
    <x v="1"/>
    <x v="21"/>
    <x v="1"/>
  </r>
  <r>
    <x v="1"/>
    <x v="0"/>
    <x v="3"/>
    <x v="293"/>
    <s v="Payment Sam Kiwibank Sam Kiwibank  "/>
    <n v="-334.88"/>
    <x v="1"/>
    <x v="21"/>
    <x v="1"/>
  </r>
  <r>
    <x v="1"/>
    <x v="0"/>
    <x v="3"/>
    <x v="294"/>
    <s v="Direct Credit Bidfood Limited   Bidfood"/>
    <n v="2467"/>
    <x v="11"/>
    <x v="22"/>
    <x v="35"/>
  </r>
  <r>
    <x v="1"/>
    <x v="0"/>
    <x v="3"/>
    <x v="295"/>
    <s v="Automatic Payment Mj Asb Mj Asb Netflix 8Denning"/>
    <n v="-21.07"/>
    <x v="1"/>
    <x v="21"/>
    <x v="1"/>
  </r>
  <r>
    <x v="1"/>
    <x v="0"/>
    <x v="3"/>
    <x v="295"/>
    <s v="Automatic Payment Mj Asb Mobile Sam Skinny"/>
    <n v="-18.78"/>
    <x v="1"/>
    <x v="21"/>
    <x v="1"/>
  </r>
  <r>
    <x v="1"/>
    <x v="0"/>
    <x v="3"/>
    <x v="296"/>
    <s v="Payment Sam Kiwibank Sam Kiwibank  "/>
    <n v="-1740.22"/>
    <x v="1"/>
    <x v="21"/>
    <x v="1"/>
  </r>
  <r>
    <x v="1"/>
    <x v="0"/>
    <x v="3"/>
    <x v="289"/>
    <s v="Loan Payment To: xxxx-1001         004600"/>
    <n v="-213.98"/>
    <x v="1"/>
    <x v="21"/>
    <x v="1"/>
  </r>
  <r>
    <x v="1"/>
    <x v="0"/>
    <x v="3"/>
    <x v="289"/>
    <s v="Loan Payment To: xxxx-1002         004600"/>
    <n v="-88.7"/>
    <x v="1"/>
    <x v="21"/>
    <x v="1"/>
  </r>
  <r>
    <x v="1"/>
    <x v="0"/>
    <x v="3"/>
    <x v="289"/>
    <s v="Loan Payment To: xxxx-1003         004600"/>
    <n v="-313.13"/>
    <x v="1"/>
    <x v="21"/>
    <x v="1"/>
  </r>
  <r>
    <x v="1"/>
    <x v="0"/>
    <x v="3"/>
    <x v="297"/>
    <s v="Automatic Payment Mj Asb Electricity Contactenrgy Mj 8Denning"/>
    <n v="-53.98"/>
    <x v="1"/>
    <x v="21"/>
    <x v="1"/>
  </r>
  <r>
    <x v="1"/>
    <x v="0"/>
    <x v="3"/>
    <x v="298"/>
    <s v="Direct Credit Bidfood Limited   Bidfood"/>
    <n v="2716.76"/>
    <x v="11"/>
    <x v="22"/>
    <x v="35"/>
  </r>
  <r>
    <x v="1"/>
    <x v="0"/>
    <x v="3"/>
    <x v="299"/>
    <s v="Automatic Payment Mj Asb Mj 8Denning Towerhouse Insurance"/>
    <n v="-147.25"/>
    <x v="1"/>
    <x v="21"/>
    <x v="1"/>
  </r>
  <r>
    <x v="1"/>
    <x v="0"/>
    <x v="3"/>
    <x v="300"/>
    <s v="Automatic Payment Mj Asb 24 Panorama Tower H&amp;C Insurance"/>
    <n v="-159.11000000000001"/>
    <x v="1"/>
    <x v="21"/>
    <x v="1"/>
  </r>
  <r>
    <x v="1"/>
    <x v="0"/>
    <x v="3"/>
    <x v="301"/>
    <s v="Automatic Payment Mj Asb Mj 5B Tower H&amp;C Insurance"/>
    <n v="-131.54"/>
    <x v="1"/>
    <x v="21"/>
    <x v="1"/>
  </r>
  <r>
    <x v="1"/>
    <x v="0"/>
    <x v="3"/>
    <x v="302"/>
    <s v="Automatic Payment Mj Asb Mobile Mj Skinny"/>
    <n v="-17.63"/>
    <x v="1"/>
    <x v="21"/>
    <x v="1"/>
  </r>
  <r>
    <x v="1"/>
    <x v="0"/>
    <x v="3"/>
    <x v="250"/>
    <s v="Loan Payment To: xxxx-1001         004600"/>
    <n v="-538.30999999999995"/>
    <x v="1"/>
    <x v="21"/>
    <x v="1"/>
  </r>
  <r>
    <x v="1"/>
    <x v="0"/>
    <x v="3"/>
    <x v="250"/>
    <s v="Loan Payment To: xxxx-1002         004600"/>
    <n v="-522.65"/>
    <x v="1"/>
    <x v="21"/>
    <x v="1"/>
  </r>
  <r>
    <x v="1"/>
    <x v="0"/>
    <x v="3"/>
    <x v="250"/>
    <s v="Loan Payment To: xxxx-1003         004600"/>
    <n v="-274.62"/>
    <x v="1"/>
    <x v="21"/>
    <x v="1"/>
  </r>
  <r>
    <x v="1"/>
    <x v="0"/>
    <x v="3"/>
    <x v="303"/>
    <s v="Automatic Payment Mj Asb Aia Insurance Sammj"/>
    <n v="-108.27"/>
    <x v="1"/>
    <x v="21"/>
    <x v="1"/>
  </r>
  <r>
    <x v="1"/>
    <x v="0"/>
    <x v="3"/>
    <x v="304"/>
    <s v="Payment Sam Kiwibank Sam Kiwibank  "/>
    <n v="-794.95"/>
    <x v="1"/>
    <x v="21"/>
    <x v="1"/>
  </r>
  <r>
    <x v="1"/>
    <x v="0"/>
    <x v="3"/>
    <x v="305"/>
    <s v="Direct Credit Bidfood Limited   Bidfood"/>
    <n v="1223.25"/>
    <x v="11"/>
    <x v="22"/>
    <x v="35"/>
  </r>
  <r>
    <x v="1"/>
    <x v="0"/>
    <x v="3"/>
    <x v="246"/>
    <s v="Loan Payment To: xxxx-1001         004600"/>
    <n v="-133.38999999999999"/>
    <x v="1"/>
    <x v="21"/>
    <x v="1"/>
  </r>
  <r>
    <x v="1"/>
    <x v="0"/>
    <x v="3"/>
    <x v="246"/>
    <s v="Loan Payment To: xxxx-1002         004600"/>
    <n v="-303.25"/>
    <x v="1"/>
    <x v="21"/>
    <x v="1"/>
  </r>
  <r>
    <x v="1"/>
    <x v="0"/>
    <x v="3"/>
    <x v="246"/>
    <s v="Loan Payment To: xxxx-1003         004600"/>
    <n v="-167.27"/>
    <x v="1"/>
    <x v="21"/>
    <x v="1"/>
  </r>
  <r>
    <x v="1"/>
    <x v="0"/>
    <x v="3"/>
    <x v="306"/>
    <s v="Automatic Payment Mj Asb Water  Mj 8Denning"/>
    <n v="-8.57"/>
    <x v="1"/>
    <x v="21"/>
    <x v="1"/>
  </r>
  <r>
    <x v="1"/>
    <x v="0"/>
    <x v="3"/>
    <x v="307"/>
    <s v="Automatic Payment Mj Asb Mj Mobile Us Phone Sam"/>
    <n v="-18.63"/>
    <x v="1"/>
    <x v="21"/>
    <x v="1"/>
  </r>
  <r>
    <x v="1"/>
    <x v="0"/>
    <x v="3"/>
    <x v="308"/>
    <s v="Payment Sam Kiwibank Sam Kiwibank  "/>
    <n v="-744.69"/>
    <x v="1"/>
    <x v="21"/>
    <x v="1"/>
  </r>
  <r>
    <x v="1"/>
    <x v="0"/>
    <x v="3"/>
    <x v="309"/>
    <s v="Payment Mj Asb Mj Asb  "/>
    <n v="-179.22"/>
    <x v="1"/>
    <x v="21"/>
    <x v="1"/>
  </r>
  <r>
    <x v="1"/>
    <x v="0"/>
    <x v="3"/>
    <x v="310"/>
    <s v="Direct Credit Bidfood Limited   Bidfood"/>
    <n v="1318.59"/>
    <x v="11"/>
    <x v="22"/>
    <x v="35"/>
  </r>
  <r>
    <x v="1"/>
    <x v="0"/>
    <x v="3"/>
    <x v="311"/>
    <s v="Automatic Payment Mj Asb Mj 8Denning Towercontent Insurance"/>
    <n v="-64.44"/>
    <x v="1"/>
    <x v="21"/>
    <x v="1"/>
  </r>
  <r>
    <x v="1"/>
    <x v="0"/>
    <x v="3"/>
    <x v="312"/>
    <s v="Automatic Payment Mj Asb Mj Apple Cloud Storage"/>
    <n v="-1.66"/>
    <x v="1"/>
    <x v="21"/>
    <x v="1"/>
  </r>
  <r>
    <x v="1"/>
    <x v="0"/>
    <x v="3"/>
    <x v="240"/>
    <s v="Loan Payment To: xxxx-1001         004600"/>
    <n v="-422.81"/>
    <x v="1"/>
    <x v="21"/>
    <x v="1"/>
  </r>
  <r>
    <x v="1"/>
    <x v="0"/>
    <x v="3"/>
    <x v="240"/>
    <s v="Loan Payment To: xxxx-1002         004600"/>
    <n v="-9.5500000000000007"/>
    <x v="1"/>
    <x v="21"/>
    <x v="1"/>
  </r>
  <r>
    <x v="1"/>
    <x v="0"/>
    <x v="3"/>
    <x v="240"/>
    <s v="Loan Payment To: xxxx-1003         004600"/>
    <n v="-148.71"/>
    <x v="1"/>
    <x v="21"/>
    <x v="1"/>
  </r>
  <r>
    <x v="1"/>
    <x v="0"/>
    <x v="3"/>
    <x v="313"/>
    <s v="Payment Sam Kiwibank Sam Kiwibank  "/>
    <n v="-1539.5"/>
    <x v="1"/>
    <x v="21"/>
    <x v="1"/>
  </r>
  <r>
    <x v="1"/>
    <x v="0"/>
    <x v="3"/>
    <x v="314"/>
    <s v="Direct Credit Bidfood Limited   Bidfood"/>
    <n v="341.98"/>
    <x v="11"/>
    <x v="22"/>
    <x v="35"/>
  </r>
  <r>
    <x v="1"/>
    <x v="0"/>
    <x v="3"/>
    <x v="315"/>
    <s v="Automatic Payment Mj Asb Mj Asb Netflix 8Denning"/>
    <n v="-6.78"/>
    <x v="1"/>
    <x v="21"/>
    <x v="1"/>
  </r>
  <r>
    <x v="1"/>
    <x v="0"/>
    <x v="3"/>
    <x v="316"/>
    <s v="Automatic Payment Mj Asb Mobile Sam Skinny"/>
    <n v="-17.03"/>
    <x v="1"/>
    <x v="21"/>
    <x v="1"/>
  </r>
  <r>
    <x v="1"/>
    <x v="0"/>
    <x v="3"/>
    <x v="234"/>
    <s v="Loan Payment To: xxxx-1001         004600"/>
    <n v="-42.84"/>
    <x v="1"/>
    <x v="21"/>
    <x v="1"/>
  </r>
  <r>
    <x v="1"/>
    <x v="0"/>
    <x v="3"/>
    <x v="234"/>
    <s v="Loan Payment To: xxxx-1002         004600"/>
    <n v="-471.98"/>
    <x v="1"/>
    <x v="21"/>
    <x v="1"/>
  </r>
  <r>
    <x v="1"/>
    <x v="0"/>
    <x v="3"/>
    <x v="234"/>
    <s v="Loan Payment To: xxxx-1003         004600"/>
    <n v="-99.99"/>
    <x v="1"/>
    <x v="21"/>
    <x v="1"/>
  </r>
  <r>
    <x v="1"/>
    <x v="0"/>
    <x v="3"/>
    <x v="317"/>
    <s v="Payment Sam Kiwibank Sam Kiwibank  "/>
    <n v="-1166.93"/>
    <x v="1"/>
    <x v="21"/>
    <x v="1"/>
  </r>
  <r>
    <x v="1"/>
    <x v="0"/>
    <x v="3"/>
    <x v="318"/>
    <s v="Payment Mj Asb Mj Asb  "/>
    <n v="-94.74"/>
    <x v="1"/>
    <x v="21"/>
    <x v="1"/>
  </r>
  <r>
    <x v="1"/>
    <x v="0"/>
    <x v="3"/>
    <x v="319"/>
    <s v="Direct Credit Bidfood Limited   Bidfood"/>
    <n v="3430.83"/>
    <x v="11"/>
    <x v="22"/>
    <x v="35"/>
  </r>
  <r>
    <x v="1"/>
    <x v="0"/>
    <x v="3"/>
    <x v="320"/>
    <s v="Automatic Payment Mj Asb Electricity Contactenrgy Mj 8Denning"/>
    <n v="-151.12"/>
    <x v="1"/>
    <x v="21"/>
    <x v="1"/>
  </r>
  <r>
    <x v="1"/>
    <x v="0"/>
    <x v="3"/>
    <x v="321"/>
    <s v="Automatic Payment Mj Asb Mj 8Denning Towerhouse Insurance"/>
    <n v="-147.24"/>
    <x v="1"/>
    <x v="21"/>
    <x v="1"/>
  </r>
  <r>
    <x v="1"/>
    <x v="0"/>
    <x v="3"/>
    <x v="321"/>
    <s v="Automatic Payment Mj Asb 24 Panorama Tower H&amp;C Insurance"/>
    <n v="-98.7"/>
    <x v="1"/>
    <x v="21"/>
    <x v="1"/>
  </r>
  <r>
    <x v="1"/>
    <x v="0"/>
    <x v="3"/>
    <x v="322"/>
    <s v="Automatic Payment Mj Asb Mj 5B Tower H&amp;C Insurance"/>
    <n v="-99.15"/>
    <x v="1"/>
    <x v="21"/>
    <x v="1"/>
  </r>
  <r>
    <x v="1"/>
    <x v="0"/>
    <x v="3"/>
    <x v="323"/>
    <s v="Automatic Payment Mj Asb Mobile Mj Skinny"/>
    <n v="-11.79"/>
    <x v="1"/>
    <x v="21"/>
    <x v="1"/>
  </r>
  <r>
    <x v="1"/>
    <x v="0"/>
    <x v="3"/>
    <x v="228"/>
    <s v="Loan Payment To: xxxx-1001         004600"/>
    <n v="-103.14"/>
    <x v="1"/>
    <x v="21"/>
    <x v="1"/>
  </r>
  <r>
    <x v="1"/>
    <x v="0"/>
    <x v="3"/>
    <x v="228"/>
    <s v="Loan Payment To: xxxx-1002         004600"/>
    <n v="-474.64"/>
    <x v="1"/>
    <x v="21"/>
    <x v="1"/>
  </r>
  <r>
    <x v="1"/>
    <x v="0"/>
    <x v="3"/>
    <x v="228"/>
    <s v="Loan Payment To: xxxx-1003         004600"/>
    <n v="-0.33"/>
    <x v="1"/>
    <x v="21"/>
    <x v="1"/>
  </r>
  <r>
    <x v="1"/>
    <x v="0"/>
    <x v="3"/>
    <x v="324"/>
    <s v="Payment Sam Kiwibank Sam Kiwibank  "/>
    <n v="-104.15"/>
    <x v="1"/>
    <x v="21"/>
    <x v="1"/>
  </r>
  <r>
    <x v="1"/>
    <x v="0"/>
    <x v="3"/>
    <x v="325"/>
    <s v="Direct Credit Bidfood Limited   Bidfood"/>
    <n v="600.44000000000005"/>
    <x v="11"/>
    <x v="22"/>
    <x v="35"/>
  </r>
  <r>
    <x v="1"/>
    <x v="0"/>
    <x v="3"/>
    <x v="326"/>
    <s v="Automatic Payment Mj Asb Aia Insurance Sammj"/>
    <n v="-77.290000000000006"/>
    <x v="1"/>
    <x v="21"/>
    <x v="1"/>
  </r>
  <r>
    <x v="1"/>
    <x v="0"/>
    <x v="3"/>
    <x v="224"/>
    <s v="Loan Payment To: xxxx-1001         004600"/>
    <n v="-395.04"/>
    <x v="1"/>
    <x v="21"/>
    <x v="1"/>
  </r>
  <r>
    <x v="1"/>
    <x v="0"/>
    <x v="3"/>
    <x v="224"/>
    <s v="Loan Payment To: xxxx-1002         004600"/>
    <n v="-6.25"/>
    <x v="1"/>
    <x v="21"/>
    <x v="1"/>
  </r>
  <r>
    <x v="1"/>
    <x v="0"/>
    <x v="3"/>
    <x v="224"/>
    <s v="Loan Payment To: xxxx-1003         004600"/>
    <n v="-133.86000000000001"/>
    <x v="1"/>
    <x v="21"/>
    <x v="1"/>
  </r>
  <r>
    <x v="1"/>
    <x v="0"/>
    <x v="3"/>
    <x v="327"/>
    <s v="Automatic Payment Mj Asb Water  Mj 8Denning"/>
    <n v="-92.66"/>
    <x v="1"/>
    <x v="21"/>
    <x v="1"/>
  </r>
  <r>
    <x v="1"/>
    <x v="0"/>
    <x v="3"/>
    <x v="328"/>
    <s v="Automatic Payment Mj Asb Mj Mobile Us Phone Sam"/>
    <n v="-20.71"/>
    <x v="1"/>
    <x v="21"/>
    <x v="1"/>
  </r>
  <r>
    <x v="1"/>
    <x v="0"/>
    <x v="3"/>
    <x v="329"/>
    <s v="Payment Sam Kiwibank Sam Kiwibank  "/>
    <n v="-297.38"/>
    <x v="1"/>
    <x v="21"/>
    <x v="1"/>
  </r>
  <r>
    <x v="1"/>
    <x v="0"/>
    <x v="3"/>
    <x v="330"/>
    <s v="Direct Credit Bidfood Limited   Bidfood"/>
    <n v="1535.78"/>
    <x v="11"/>
    <x v="22"/>
    <x v="35"/>
  </r>
  <r>
    <x v="1"/>
    <x v="0"/>
    <x v="3"/>
    <x v="331"/>
    <s v="Automatic Payment Mj Asb Mj 8Denning Towercontent Insurance"/>
    <n v="-11.4"/>
    <x v="1"/>
    <x v="21"/>
    <x v="1"/>
  </r>
  <r>
    <x v="1"/>
    <x v="0"/>
    <x v="3"/>
    <x v="332"/>
    <s v="Automatic Payment Mj Asb Mj Apple Cloud Storage"/>
    <n v="-18.829999999999998"/>
    <x v="1"/>
    <x v="21"/>
    <x v="1"/>
  </r>
  <r>
    <x v="1"/>
    <x v="0"/>
    <x v="3"/>
    <x v="218"/>
    <s v="Loan Payment To: xxxx-1001         004600"/>
    <n v="-534.02"/>
    <x v="1"/>
    <x v="21"/>
    <x v="1"/>
  </r>
  <r>
    <x v="1"/>
    <x v="0"/>
    <x v="3"/>
    <x v="218"/>
    <s v="Loan Payment To: xxxx-1002         004600"/>
    <n v="-492.13"/>
    <x v="1"/>
    <x v="21"/>
    <x v="1"/>
  </r>
  <r>
    <x v="1"/>
    <x v="0"/>
    <x v="3"/>
    <x v="218"/>
    <s v="Loan Payment To: xxxx-1003         004600"/>
    <n v="-220.01"/>
    <x v="1"/>
    <x v="21"/>
    <x v="1"/>
  </r>
  <r>
    <x v="1"/>
    <x v="0"/>
    <x v="3"/>
    <x v="333"/>
    <s v="Payment Sam Kiwibank Sam Kiwibank  "/>
    <n v="-1100.9100000000001"/>
    <x v="1"/>
    <x v="21"/>
    <x v="1"/>
  </r>
  <r>
    <x v="1"/>
    <x v="0"/>
    <x v="3"/>
    <x v="334"/>
    <s v="Payment Mj Asb Mj Asb  "/>
    <n v="-170.18"/>
    <x v="1"/>
    <x v="21"/>
    <x v="1"/>
  </r>
  <r>
    <x v="1"/>
    <x v="0"/>
    <x v="3"/>
    <x v="335"/>
    <s v="Direct Credit Bidfood Limited   Bidfood"/>
    <n v="1691.62"/>
    <x v="11"/>
    <x v="22"/>
    <x v="35"/>
  </r>
  <r>
    <x v="1"/>
    <x v="0"/>
    <x v="3"/>
    <x v="336"/>
    <s v="Automatic Payment Mj Asb Mobile Sam Skinny"/>
    <n v="-13.4"/>
    <x v="1"/>
    <x v="21"/>
    <x v="1"/>
  </r>
  <r>
    <x v="1"/>
    <x v="0"/>
    <x v="3"/>
    <x v="213"/>
    <s v="Loan Payment To: xxxx-1001         004600"/>
    <n v="-214.97"/>
    <x v="1"/>
    <x v="21"/>
    <x v="1"/>
  </r>
  <r>
    <x v="1"/>
    <x v="0"/>
    <x v="3"/>
    <x v="213"/>
    <s v="Loan Payment To: xxxx-1002         004600"/>
    <n v="-445.69"/>
    <x v="1"/>
    <x v="21"/>
    <x v="1"/>
  </r>
  <r>
    <x v="1"/>
    <x v="0"/>
    <x v="3"/>
    <x v="213"/>
    <s v="Loan Payment To: xxxx-1003         004600"/>
    <n v="-341.98"/>
    <x v="1"/>
    <x v="21"/>
    <x v="1"/>
  </r>
  <r>
    <x v="1"/>
    <x v="0"/>
    <x v="3"/>
    <x v="337"/>
    <s v="Automatic Payment Mj Asb Mj Asb Netflix 8Denning"/>
    <n v="-16.190000000000001"/>
    <x v="1"/>
    <x v="21"/>
    <x v="1"/>
  </r>
  <r>
    <x v="1"/>
    <x v="0"/>
    <x v="3"/>
    <x v="338"/>
    <s v="Payment Sam Kiwibank Sam Kiwibank  "/>
    <n v="-474.44"/>
    <x v="1"/>
    <x v="21"/>
    <x v="1"/>
  </r>
  <r>
    <x v="1"/>
    <x v="0"/>
    <x v="3"/>
    <x v="339"/>
    <s v="Payment Mj Asb Mj Asb  "/>
    <n v="-49.35"/>
    <x v="1"/>
    <x v="21"/>
    <x v="1"/>
  </r>
  <r>
    <x v="1"/>
    <x v="0"/>
    <x v="3"/>
    <x v="340"/>
    <s v="Direct Credit Bidfood Limited   Bidfood"/>
    <n v="2442.5500000000002"/>
    <x v="11"/>
    <x v="22"/>
    <x v="35"/>
  </r>
  <r>
    <x v="1"/>
    <x v="0"/>
    <x v="3"/>
    <x v="341"/>
    <s v="Automatic Payment Mj Asb Electricity Contactenrgy Mj 8Denning"/>
    <n v="-143.88"/>
    <x v="1"/>
    <x v="21"/>
    <x v="1"/>
  </r>
  <r>
    <x v="1"/>
    <x v="0"/>
    <x v="3"/>
    <x v="342"/>
    <s v="Automatic Payment Mj Asb Mobile Mj Skinny"/>
    <n v="-22.52"/>
    <x v="1"/>
    <x v="21"/>
    <x v="1"/>
  </r>
  <r>
    <x v="1"/>
    <x v="0"/>
    <x v="3"/>
    <x v="343"/>
    <s v="Automatic Payment Mj Asb Mj 8Denning Towerhouse Insurance"/>
    <n v="-158.05000000000001"/>
    <x v="1"/>
    <x v="21"/>
    <x v="1"/>
  </r>
  <r>
    <x v="1"/>
    <x v="0"/>
    <x v="3"/>
    <x v="344"/>
    <s v="Automatic Payment Mj Asb 24 Panorama Tower H&amp;C Insurance"/>
    <n v="-83.26"/>
    <x v="1"/>
    <x v="21"/>
    <x v="1"/>
  </r>
  <r>
    <x v="1"/>
    <x v="0"/>
    <x v="3"/>
    <x v="345"/>
    <s v="Automatic Payment Mj Asb Mj 5B Tower H&amp;C Insurance"/>
    <n v="-129.33000000000001"/>
    <x v="1"/>
    <x v="21"/>
    <x v="1"/>
  </r>
  <r>
    <x v="1"/>
    <x v="0"/>
    <x v="3"/>
    <x v="206"/>
    <s v="Loan Payment To: xxxx-1001         004600"/>
    <n v="-149.85"/>
    <x v="1"/>
    <x v="21"/>
    <x v="1"/>
  </r>
  <r>
    <x v="1"/>
    <x v="0"/>
    <x v="3"/>
    <x v="206"/>
    <s v="Loan Payment To: xxxx-1002         004600"/>
    <n v="-49.51"/>
    <x v="1"/>
    <x v="21"/>
    <x v="1"/>
  </r>
  <r>
    <x v="1"/>
    <x v="0"/>
    <x v="3"/>
    <x v="206"/>
    <s v="Loan Payment To: xxxx-1003         004600"/>
    <n v="-361.62"/>
    <x v="1"/>
    <x v="21"/>
    <x v="1"/>
  </r>
  <r>
    <x v="1"/>
    <x v="0"/>
    <x v="3"/>
    <x v="346"/>
    <s v="Payment Sam Kiwibank Sam Kiwibank  "/>
    <n v="-807.55"/>
    <x v="1"/>
    <x v="21"/>
    <x v="1"/>
  </r>
  <r>
    <x v="1"/>
    <x v="0"/>
    <x v="3"/>
    <x v="347"/>
    <s v="Direct Credit Bidfood Limited   Bidfood"/>
    <n v="2611.19"/>
    <x v="11"/>
    <x v="22"/>
    <x v="35"/>
  </r>
  <r>
    <x v="1"/>
    <x v="0"/>
    <x v="3"/>
    <x v="348"/>
    <s v="Automatic Payment Mj Asb Aia Insurance Sammj"/>
    <n v="-8.51"/>
    <x v="1"/>
    <x v="21"/>
    <x v="1"/>
  </r>
  <r>
    <x v="1"/>
    <x v="0"/>
    <x v="3"/>
    <x v="199"/>
    <s v="Loan Payment To: xxxx-1001         004600"/>
    <n v="-86.2"/>
    <x v="1"/>
    <x v="21"/>
    <x v="1"/>
  </r>
  <r>
    <x v="1"/>
    <x v="0"/>
    <x v="3"/>
    <x v="199"/>
    <s v="Loan Payment To: xxxx-1002         004600"/>
    <n v="-168.75"/>
    <x v="1"/>
    <x v="21"/>
    <x v="1"/>
  </r>
  <r>
    <x v="1"/>
    <x v="0"/>
    <x v="3"/>
    <x v="199"/>
    <s v="Loan Payment To: xxxx-1003         004600"/>
    <n v="-133.99"/>
    <x v="1"/>
    <x v="21"/>
    <x v="1"/>
  </r>
  <r>
    <x v="1"/>
    <x v="0"/>
    <x v="3"/>
    <x v="349"/>
    <s v="Payment Sam Kiwibank Sam Kiwibank  "/>
    <n v="-192.03"/>
    <x v="1"/>
    <x v="21"/>
    <x v="1"/>
  </r>
  <r>
    <x v="1"/>
    <x v="0"/>
    <x v="3"/>
    <x v="350"/>
    <s v="Payment Mj Asb Mj Asb  "/>
    <n v="-381.73"/>
    <x v="1"/>
    <x v="21"/>
    <x v="1"/>
  </r>
  <r>
    <x v="1"/>
    <x v="0"/>
    <x v="3"/>
    <x v="351"/>
    <s v="Direct Credit Bidfood Limited   Bidfood"/>
    <n v="3203.62"/>
    <x v="11"/>
    <x v="22"/>
    <x v="35"/>
  </r>
  <r>
    <x v="1"/>
    <x v="0"/>
    <x v="3"/>
    <x v="352"/>
    <s v="Automatic Payment Mj Asb Water  Mj 8Denning"/>
    <n v="-128.84"/>
    <x v="1"/>
    <x v="21"/>
    <x v="1"/>
  </r>
  <r>
    <x v="1"/>
    <x v="0"/>
    <x v="3"/>
    <x v="353"/>
    <s v="Automatic Payment Mj Asb Mj Mobile Us Phone Sam"/>
    <n v="-15.7"/>
    <x v="1"/>
    <x v="21"/>
    <x v="1"/>
  </r>
  <r>
    <x v="1"/>
    <x v="0"/>
    <x v="3"/>
    <x v="354"/>
    <s v="Automatic Payment Mj Asb Mj 8Denning Towercontent Insurance"/>
    <n v="-17.25"/>
    <x v="1"/>
    <x v="21"/>
    <x v="1"/>
  </r>
  <r>
    <x v="1"/>
    <x v="0"/>
    <x v="3"/>
    <x v="355"/>
    <s v="Automatic Payment Mj Asb Mj Apple Cloud Storage"/>
    <n v="-25.28"/>
    <x v="1"/>
    <x v="21"/>
    <x v="1"/>
  </r>
  <r>
    <x v="1"/>
    <x v="0"/>
    <x v="3"/>
    <x v="192"/>
    <s v="Loan Payment To: xxxx-1001         004600"/>
    <n v="-67.73"/>
    <x v="1"/>
    <x v="21"/>
    <x v="1"/>
  </r>
  <r>
    <x v="1"/>
    <x v="0"/>
    <x v="3"/>
    <x v="192"/>
    <s v="Loan Payment To: xxxx-1002         004600"/>
    <n v="-63.51"/>
    <x v="1"/>
    <x v="21"/>
    <x v="1"/>
  </r>
  <r>
    <x v="1"/>
    <x v="0"/>
    <x v="3"/>
    <x v="192"/>
    <s v="Loan Payment To: xxxx-1003         004600"/>
    <n v="-131.38"/>
    <x v="1"/>
    <x v="21"/>
    <x v="1"/>
  </r>
  <r>
    <x v="1"/>
    <x v="0"/>
    <x v="3"/>
    <x v="356"/>
    <s v="Automatic Payment Mj Asb Mobile Sam Skinny"/>
    <n v="-0.65"/>
    <x v="1"/>
    <x v="21"/>
    <x v="1"/>
  </r>
  <r>
    <x v="1"/>
    <x v="0"/>
    <x v="3"/>
    <x v="357"/>
    <s v="Payment Sam Kiwibank Sam Kiwibank  "/>
    <n v="-1295.83"/>
    <x v="1"/>
    <x v="21"/>
    <x v="1"/>
  </r>
  <r>
    <x v="1"/>
    <x v="0"/>
    <x v="3"/>
    <x v="358"/>
    <s v="Payment Sam Kiwibank Sam Kiwibank  "/>
    <n v="-89.63"/>
    <x v="1"/>
    <x v="21"/>
    <x v="1"/>
  </r>
  <r>
    <x v="1"/>
    <x v="0"/>
    <x v="3"/>
    <x v="359"/>
    <s v="Payment Mj Asb Mj Asb  "/>
    <n v="-153.43"/>
    <x v="1"/>
    <x v="21"/>
    <x v="1"/>
  </r>
  <r>
    <x v="1"/>
    <x v="0"/>
    <x v="3"/>
    <x v="360"/>
    <s v="Payment Sam Kiwibank Sam Kiwibank  "/>
    <n v="-36.880000000000003"/>
    <x v="1"/>
    <x v="21"/>
    <x v="1"/>
  </r>
  <r>
    <x v="1"/>
    <x v="0"/>
    <x v="3"/>
    <x v="361"/>
    <s v="Direct Credit Bidfood Limited   Bidfood"/>
    <n v="1955.35"/>
    <x v="11"/>
    <x v="22"/>
    <x v="35"/>
  </r>
  <r>
    <x v="1"/>
    <x v="0"/>
    <x v="3"/>
    <x v="286"/>
    <s v="Loan Payment To: xxxx-1001         004600"/>
    <n v="-16.03"/>
    <x v="1"/>
    <x v="21"/>
    <x v="1"/>
  </r>
  <r>
    <x v="1"/>
    <x v="0"/>
    <x v="3"/>
    <x v="286"/>
    <s v="Loan Payment To: xxxx-1002         004600"/>
    <n v="-171.56"/>
    <x v="1"/>
    <x v="21"/>
    <x v="1"/>
  </r>
  <r>
    <x v="1"/>
    <x v="0"/>
    <x v="3"/>
    <x v="286"/>
    <s v="Loan Payment To: xxxx-1003         004600"/>
    <n v="-238.75"/>
    <x v="1"/>
    <x v="21"/>
    <x v="1"/>
  </r>
  <r>
    <x v="1"/>
    <x v="0"/>
    <x v="3"/>
    <x v="362"/>
    <s v="Automatic Payment Mj Asb Mj Asb Netflix 8Denning"/>
    <n v="-8.2899999999999991"/>
    <x v="1"/>
    <x v="21"/>
    <x v="1"/>
  </r>
  <r>
    <x v="1"/>
    <x v="0"/>
    <x v="3"/>
    <x v="363"/>
    <s v="Direct Credit Bidfood Limited   Bidfood"/>
    <n v="1511.63"/>
    <x v="11"/>
    <x v="22"/>
    <x v="35"/>
  </r>
  <r>
    <x v="1"/>
    <x v="0"/>
    <x v="3"/>
    <x v="364"/>
    <s v="Automatic Payment Mj Asb Mobile Mj Skinny"/>
    <n v="-3.37"/>
    <x v="1"/>
    <x v="21"/>
    <x v="1"/>
  </r>
  <r>
    <x v="1"/>
    <x v="0"/>
    <x v="3"/>
    <x v="184"/>
    <s v="Loan Payment To: xxxx-1001         004600"/>
    <n v="-360.14"/>
    <x v="1"/>
    <x v="21"/>
    <x v="1"/>
  </r>
  <r>
    <x v="1"/>
    <x v="0"/>
    <x v="3"/>
    <x v="184"/>
    <s v="Loan Payment To: xxxx-1002         004600"/>
    <n v="-279.31"/>
    <x v="1"/>
    <x v="21"/>
    <x v="1"/>
  </r>
  <r>
    <x v="1"/>
    <x v="0"/>
    <x v="3"/>
    <x v="184"/>
    <s v="Loan Payment To: xxxx-1003         004600"/>
    <n v="-329.28"/>
    <x v="1"/>
    <x v="21"/>
    <x v="1"/>
  </r>
  <r>
    <x v="1"/>
    <x v="0"/>
    <x v="3"/>
    <x v="365"/>
    <s v="Automatic Payment Mj Asb Electricity Contactenrgy Mj 8Denning"/>
    <n v="-138.37"/>
    <x v="1"/>
    <x v="21"/>
    <x v="1"/>
  </r>
  <r>
    <x v="1"/>
    <x v="0"/>
    <x v="3"/>
    <x v="366"/>
    <s v="Payment Sam Kiwibank Sam Kiwibank  "/>
    <n v="-723.29"/>
    <x v="1"/>
    <x v="21"/>
    <x v="1"/>
  </r>
  <r>
    <x v="1"/>
    <x v="0"/>
    <x v="3"/>
    <x v="367"/>
    <s v="Direct Credit Bidfood Limited   Bidfood"/>
    <n v="1803.09"/>
    <x v="11"/>
    <x v="22"/>
    <x v="35"/>
  </r>
  <r>
    <x v="1"/>
    <x v="0"/>
    <x v="3"/>
    <x v="368"/>
    <s v="Automatic Payment Mj Asb Mj 8Denning Towerhouse Insurance"/>
    <n v="-81.87"/>
    <x v="1"/>
    <x v="21"/>
    <x v="1"/>
  </r>
  <r>
    <x v="1"/>
    <x v="0"/>
    <x v="3"/>
    <x v="369"/>
    <s v="Automatic Payment Mj Asb 24 Panorama Tower H&amp;C Insurance"/>
    <n v="-110.71"/>
    <x v="1"/>
    <x v="21"/>
    <x v="1"/>
  </r>
  <r>
    <x v="1"/>
    <x v="0"/>
    <x v="3"/>
    <x v="370"/>
    <s v="Automatic Payment Mj Asb Mj 5B Tower H&amp;C Insurance"/>
    <n v="-108.69"/>
    <x v="1"/>
    <x v="21"/>
    <x v="1"/>
  </r>
  <r>
    <x v="1"/>
    <x v="0"/>
    <x v="3"/>
    <x v="371"/>
    <s v="Payment Sam Kiwibank Sam Kiwibank  "/>
    <n v="-2465.5500000000002"/>
    <x v="1"/>
    <x v="21"/>
    <x v="1"/>
  </r>
  <r>
    <x v="1"/>
    <x v="0"/>
    <x v="3"/>
    <x v="372"/>
    <s v="Direct Credit Bidfood Limited   Bidfood"/>
    <n v="26.57"/>
    <x v="11"/>
    <x v="22"/>
    <x v="35"/>
  </r>
  <r>
    <x v="1"/>
    <x v="0"/>
    <x v="3"/>
    <x v="180"/>
    <s v="Loan Payment To: xxxx-1001         004600"/>
    <n v="-357.54"/>
    <x v="1"/>
    <x v="21"/>
    <x v="1"/>
  </r>
  <r>
    <x v="1"/>
    <x v="0"/>
    <x v="3"/>
    <x v="180"/>
    <s v="Loan Payment To: xxxx-1002         004600"/>
    <n v="-564.77"/>
    <x v="1"/>
    <x v="21"/>
    <x v="1"/>
  </r>
  <r>
    <x v="1"/>
    <x v="0"/>
    <x v="3"/>
    <x v="180"/>
    <s v="Loan Payment To: xxxx-1003         004600"/>
    <n v="-24.52"/>
    <x v="1"/>
    <x v="21"/>
    <x v="1"/>
  </r>
  <r>
    <x v="1"/>
    <x v="0"/>
    <x v="3"/>
    <x v="373"/>
    <s v="Automatic Payment Mj Asb Aia Insurance Sammj"/>
    <n v="-39.090000000000003"/>
    <x v="1"/>
    <x v="21"/>
    <x v="1"/>
  </r>
  <r>
    <x v="1"/>
    <x v="0"/>
    <x v="3"/>
    <x v="374"/>
    <s v="Payment Sam Kiwibank Sam Kiwibank  "/>
    <n v="-1222.8900000000001"/>
    <x v="1"/>
    <x v="21"/>
    <x v="1"/>
  </r>
  <r>
    <x v="1"/>
    <x v="0"/>
    <x v="3"/>
    <x v="375"/>
    <s v="Direct Credit Bidfood Limited   Bidfood"/>
    <n v="2834.5"/>
    <x v="11"/>
    <x v="22"/>
    <x v="35"/>
  </r>
  <r>
    <x v="1"/>
    <x v="0"/>
    <x v="3"/>
    <x v="175"/>
    <s v="Loan Payment To: xxxx-1001         004600"/>
    <n v="-513.67999999999995"/>
    <x v="1"/>
    <x v="21"/>
    <x v="1"/>
  </r>
  <r>
    <x v="1"/>
    <x v="0"/>
    <x v="3"/>
    <x v="175"/>
    <s v="Loan Payment To: xxxx-1002         004600"/>
    <n v="-173.94"/>
    <x v="1"/>
    <x v="21"/>
    <x v="1"/>
  </r>
  <r>
    <x v="1"/>
    <x v="0"/>
    <x v="3"/>
    <x v="175"/>
    <s v="Loan Payment To: xxxx-1003         004600"/>
    <n v="-211.89"/>
    <x v="1"/>
    <x v="21"/>
    <x v="1"/>
  </r>
  <r>
    <x v="1"/>
    <x v="0"/>
    <x v="3"/>
    <x v="376"/>
    <s v="Automatic Payment Mj Asb Water  Mj 8Denning"/>
    <n v="-9.08"/>
    <x v="1"/>
    <x v="21"/>
    <x v="1"/>
  </r>
  <r>
    <x v="1"/>
    <x v="0"/>
    <x v="3"/>
    <x v="377"/>
    <s v="Automatic Payment Mj Asb Mj Mobile Us Phone Sam"/>
    <n v="-10.94"/>
    <x v="1"/>
    <x v="21"/>
    <x v="1"/>
  </r>
  <r>
    <x v="1"/>
    <x v="0"/>
    <x v="3"/>
    <x v="378"/>
    <s v="Payment Sam Kiwibank Sam Kiwibank  "/>
    <n v="-777.36"/>
    <x v="1"/>
    <x v="21"/>
    <x v="1"/>
  </r>
  <r>
    <x v="1"/>
    <x v="0"/>
    <x v="3"/>
    <x v="379"/>
    <s v="Direct Credit Bidfood Limited   Bidfood"/>
    <n v="1505.64"/>
    <x v="11"/>
    <x v="22"/>
    <x v="35"/>
  </r>
  <r>
    <x v="1"/>
    <x v="0"/>
    <x v="3"/>
    <x v="380"/>
    <s v="Automatic Payment Mj Asb Mj 8Denning Towercontent Insurance"/>
    <n v="-47.78"/>
    <x v="1"/>
    <x v="21"/>
    <x v="1"/>
  </r>
  <r>
    <x v="1"/>
    <x v="0"/>
    <x v="3"/>
    <x v="381"/>
    <s v="Automatic Payment Mj Asb Mobile Sam Skinny"/>
    <n v="-22.5"/>
    <x v="1"/>
    <x v="21"/>
    <x v="1"/>
  </r>
  <r>
    <x v="1"/>
    <x v="0"/>
    <x v="3"/>
    <x v="382"/>
    <s v="Automatic Payment Mj Asb Mj Apple Cloud Storage"/>
    <n v="-7.55"/>
    <x v="1"/>
    <x v="21"/>
    <x v="1"/>
  </r>
  <r>
    <x v="1"/>
    <x v="0"/>
    <x v="3"/>
    <x v="169"/>
    <s v="Loan Payment To: xxxx-1001         004600"/>
    <n v="-306.02"/>
    <x v="1"/>
    <x v="21"/>
    <x v="1"/>
  </r>
  <r>
    <x v="1"/>
    <x v="0"/>
    <x v="3"/>
    <x v="169"/>
    <s v="Loan Payment To: xxxx-1002         004600"/>
    <n v="-102.42"/>
    <x v="1"/>
    <x v="21"/>
    <x v="1"/>
  </r>
  <r>
    <x v="1"/>
    <x v="0"/>
    <x v="3"/>
    <x v="169"/>
    <s v="Loan Payment To: xxxx-1003         004600"/>
    <n v="-172.98"/>
    <x v="1"/>
    <x v="21"/>
    <x v="1"/>
  </r>
  <r>
    <x v="1"/>
    <x v="0"/>
    <x v="3"/>
    <x v="383"/>
    <s v="Payment Sam Kiwibank Sam Kiwibank  "/>
    <n v="-892.63"/>
    <x v="1"/>
    <x v="21"/>
    <x v="1"/>
  </r>
  <r>
    <x v="1"/>
    <x v="0"/>
    <x v="3"/>
    <x v="384"/>
    <s v="Payment Mj Asb Mj Asb  "/>
    <n v="-93.56"/>
    <x v="1"/>
    <x v="21"/>
    <x v="1"/>
  </r>
  <r>
    <x v="1"/>
    <x v="0"/>
    <x v="3"/>
    <x v="385"/>
    <s v="Direct Credit Bidfood Limited   Bidfood"/>
    <n v="3170.23"/>
    <x v="11"/>
    <x v="22"/>
    <x v="35"/>
  </r>
  <r>
    <x v="1"/>
    <x v="0"/>
    <x v="3"/>
    <x v="386"/>
    <s v="Automatic Payment Mj Asb Mj Asb Netflix 8Denning"/>
    <n v="-2.15"/>
    <x v="1"/>
    <x v="21"/>
    <x v="1"/>
  </r>
  <r>
    <x v="1"/>
    <x v="0"/>
    <x v="3"/>
    <x v="387"/>
    <s v="Automatic Payment Mj Asb Mobile Mj Skinny"/>
    <n v="-7.0000000000000007E-2"/>
    <x v="1"/>
    <x v="21"/>
    <x v="1"/>
  </r>
  <r>
    <x v="1"/>
    <x v="0"/>
    <x v="3"/>
    <x v="163"/>
    <s v="Loan Payment To: xxxx-1001         004600"/>
    <n v="-33.14"/>
    <x v="1"/>
    <x v="21"/>
    <x v="1"/>
  </r>
  <r>
    <x v="1"/>
    <x v="0"/>
    <x v="3"/>
    <x v="163"/>
    <s v="Loan Payment To: xxxx-1002         004600"/>
    <n v="-311.31"/>
    <x v="1"/>
    <x v="21"/>
    <x v="1"/>
  </r>
  <r>
    <x v="1"/>
    <x v="0"/>
    <x v="3"/>
    <x v="163"/>
    <s v="Loan Payment To: xxxx-1003         004600"/>
    <n v="-215.73"/>
    <x v="1"/>
    <x v="21"/>
    <x v="1"/>
  </r>
  <r>
    <x v="1"/>
    <x v="0"/>
    <x v="3"/>
    <x v="388"/>
    <s v="Payment Sam Kiwibank Sam Kiwibank  "/>
    <n v="-112.53"/>
    <x v="1"/>
    <x v="21"/>
    <x v="1"/>
  </r>
  <r>
    <x v="1"/>
    <x v="0"/>
    <x v="3"/>
    <x v="389"/>
    <s v="Payment Mj Asb Mj Asb  "/>
    <n v="-349.43"/>
    <x v="1"/>
    <x v="21"/>
    <x v="1"/>
  </r>
  <r>
    <x v="1"/>
    <x v="0"/>
    <x v="3"/>
    <x v="390"/>
    <s v="Direct Credit Bidfood Limited   Bidfood"/>
    <n v="3172.12"/>
    <x v="11"/>
    <x v="22"/>
    <x v="35"/>
  </r>
  <r>
    <x v="1"/>
    <x v="0"/>
    <x v="3"/>
    <x v="391"/>
    <s v="Automatic Payment Mj Asb Electricity Contactenrgy Mj 8Denning"/>
    <n v="-31.87"/>
    <x v="1"/>
    <x v="21"/>
    <x v="1"/>
  </r>
  <r>
    <x v="1"/>
    <x v="0"/>
    <x v="3"/>
    <x v="392"/>
    <s v="Automatic Payment Mj Asb Mj 8Denning Towerhouse Insurance"/>
    <n v="-98.92"/>
    <x v="1"/>
    <x v="21"/>
    <x v="1"/>
  </r>
  <r>
    <x v="1"/>
    <x v="0"/>
    <x v="3"/>
    <x v="392"/>
    <s v="Automatic Payment Mj Asb 24 Panorama Tower H&amp;C Insurance"/>
    <n v="-75.849999999999994"/>
    <x v="1"/>
    <x v="21"/>
    <x v="1"/>
  </r>
  <r>
    <x v="1"/>
    <x v="0"/>
    <x v="3"/>
    <x v="392"/>
    <s v="Automatic Payment Mj Asb Mj 5B Tower H&amp;C Insurance"/>
    <n v="-128.93"/>
    <x v="1"/>
    <x v="21"/>
    <x v="1"/>
  </r>
  <r>
    <x v="1"/>
    <x v="0"/>
    <x v="3"/>
    <x v="393"/>
    <s v="Payment Sam Kiwibank Sam Kiwibank  "/>
    <n v="-28.07"/>
    <x v="1"/>
    <x v="21"/>
    <x v="1"/>
  </r>
  <r>
    <x v="1"/>
    <x v="0"/>
    <x v="3"/>
    <x v="394"/>
    <s v="Direct Credit Bidfood Limited   Bidfood"/>
    <n v="42.72"/>
    <x v="11"/>
    <x v="22"/>
    <x v="35"/>
  </r>
  <r>
    <x v="1"/>
    <x v="0"/>
    <x v="3"/>
    <x v="157"/>
    <s v="Loan Payment To: xxxx-1001         004600"/>
    <n v="-11.59"/>
    <x v="1"/>
    <x v="21"/>
    <x v="1"/>
  </r>
  <r>
    <x v="1"/>
    <x v="0"/>
    <x v="3"/>
    <x v="157"/>
    <s v="Loan Payment To: xxxx-1002         004600"/>
    <n v="-133.13999999999999"/>
    <x v="1"/>
    <x v="21"/>
    <x v="1"/>
  </r>
  <r>
    <x v="1"/>
    <x v="0"/>
    <x v="3"/>
    <x v="157"/>
    <s v="Loan Payment To: xxxx-1003         004600"/>
    <n v="-191.47"/>
    <x v="1"/>
    <x v="21"/>
    <x v="1"/>
  </r>
  <r>
    <x v="1"/>
    <x v="0"/>
    <x v="3"/>
    <x v="395"/>
    <s v="Payment Sam Kiwibank Sam Kiwibank  "/>
    <n v="-67.569999999999993"/>
    <x v="1"/>
    <x v="21"/>
    <x v="1"/>
  </r>
  <r>
    <x v="1"/>
    <x v="0"/>
    <x v="3"/>
    <x v="396"/>
    <s v="Payment Mj Asb Mj Asb  "/>
    <n v="-126.02"/>
    <x v="1"/>
    <x v="21"/>
    <x v="1"/>
  </r>
  <r>
    <x v="1"/>
    <x v="0"/>
    <x v="3"/>
    <x v="397"/>
    <s v="Direct Credit Bidfood Limited   Bidfood"/>
    <n v="3070.03"/>
    <x v="11"/>
    <x v="22"/>
    <x v="35"/>
  </r>
  <r>
    <x v="1"/>
    <x v="0"/>
    <x v="3"/>
    <x v="398"/>
    <s v="Automatic Payment Mj Asb Aia Insurance Sammj"/>
    <n v="-25.83"/>
    <x v="1"/>
    <x v="21"/>
    <x v="1"/>
  </r>
  <r>
    <x v="1"/>
    <x v="0"/>
    <x v="3"/>
    <x v="153"/>
    <s v="Loan Payment To: xxxx-1001         004600"/>
    <n v="-562.02"/>
    <x v="1"/>
    <x v="21"/>
    <x v="1"/>
  </r>
  <r>
    <x v="1"/>
    <x v="0"/>
    <x v="3"/>
    <x v="153"/>
    <s v="Loan Payment To: xxxx-1002         004600"/>
    <n v="-228.14"/>
    <x v="1"/>
    <x v="21"/>
    <x v="1"/>
  </r>
  <r>
    <x v="1"/>
    <x v="0"/>
    <x v="3"/>
    <x v="153"/>
    <s v="Loan Payment To: xxxx-1003         004600"/>
    <n v="-293.89999999999998"/>
    <x v="1"/>
    <x v="21"/>
    <x v="1"/>
  </r>
  <r>
    <x v="1"/>
    <x v="0"/>
    <x v="3"/>
    <x v="399"/>
    <s v="Payment Sam Kiwibank Sam Kiwibank  "/>
    <n v="-801.48"/>
    <x v="1"/>
    <x v="21"/>
    <x v="1"/>
  </r>
  <r>
    <x v="1"/>
    <x v="0"/>
    <x v="3"/>
    <x v="400"/>
    <s v="Direct Credit Bidfood Limited   Bidfood"/>
    <n v="2937.9"/>
    <x v="11"/>
    <x v="22"/>
    <x v="35"/>
  </r>
  <r>
    <x v="1"/>
    <x v="0"/>
    <x v="3"/>
    <x v="401"/>
    <s v="Automatic Payment Mj Asb Water  Mj 8Denning"/>
    <n v="-75.72"/>
    <x v="1"/>
    <x v="21"/>
    <x v="1"/>
  </r>
  <r>
    <x v="1"/>
    <x v="0"/>
    <x v="3"/>
    <x v="402"/>
    <s v="Automatic Payment Mj Asb Mj 8Denning Towercontent Insurance"/>
    <n v="-37.75"/>
    <x v="1"/>
    <x v="21"/>
    <x v="1"/>
  </r>
  <r>
    <x v="1"/>
    <x v="0"/>
    <x v="3"/>
    <x v="403"/>
    <s v="Automatic Payment Mj Asb Mobile Sam Skinny"/>
    <n v="-15.58"/>
    <x v="1"/>
    <x v="21"/>
    <x v="1"/>
  </r>
  <r>
    <x v="1"/>
    <x v="0"/>
    <x v="3"/>
    <x v="404"/>
    <s v="Automatic Payment Mj Asb Mj Apple Cloud Storage"/>
    <n v="-23.01"/>
    <x v="1"/>
    <x v="21"/>
    <x v="1"/>
  </r>
  <r>
    <x v="1"/>
    <x v="0"/>
    <x v="3"/>
    <x v="405"/>
    <s v="Automatic Payment Mj Asb Mj Mobile Us Phone Sam"/>
    <n v="-10.79"/>
    <x v="1"/>
    <x v="21"/>
    <x v="1"/>
  </r>
  <r>
    <x v="1"/>
    <x v="0"/>
    <x v="3"/>
    <x v="406"/>
    <s v="Direct Credit Bidfood Limited   Bidfood"/>
    <n v="92.74"/>
    <x v="11"/>
    <x v="22"/>
    <x v="35"/>
  </r>
  <r>
    <x v="1"/>
    <x v="0"/>
    <x v="3"/>
    <x v="147"/>
    <s v="Loan Payment To: xxxx-1001         004600"/>
    <n v="-192.89"/>
    <x v="1"/>
    <x v="21"/>
    <x v="1"/>
  </r>
  <r>
    <x v="1"/>
    <x v="0"/>
    <x v="3"/>
    <x v="147"/>
    <s v="Loan Payment To: xxxx-1002         004600"/>
    <n v="-92.67"/>
    <x v="1"/>
    <x v="21"/>
    <x v="1"/>
  </r>
  <r>
    <x v="1"/>
    <x v="0"/>
    <x v="3"/>
    <x v="147"/>
    <s v="Loan Payment To: xxxx-1003         004600"/>
    <n v="-173.01"/>
    <x v="1"/>
    <x v="21"/>
    <x v="1"/>
  </r>
  <r>
    <x v="1"/>
    <x v="0"/>
    <x v="3"/>
    <x v="407"/>
    <s v="Payment Mj Asb Mj Asb  "/>
    <n v="-669.83"/>
    <x v="1"/>
    <x v="21"/>
    <x v="1"/>
  </r>
  <r>
    <x v="1"/>
    <x v="0"/>
    <x v="3"/>
    <x v="408"/>
    <s v="Payment Sam Kiwibank Sam Kiwibank  "/>
    <n v="-574.54"/>
    <x v="1"/>
    <x v="21"/>
    <x v="1"/>
  </r>
  <r>
    <x v="1"/>
    <x v="0"/>
    <x v="3"/>
    <x v="409"/>
    <s v="Direct Credit Bidfood Limited   Bidfood"/>
    <n v="3079.78"/>
    <x v="11"/>
    <x v="22"/>
    <x v="35"/>
  </r>
  <r>
    <x v="1"/>
    <x v="0"/>
    <x v="3"/>
    <x v="410"/>
    <s v="Automatic Payment Mj Asb Mobile Mj Skinny"/>
    <n v="-3.82"/>
    <x v="1"/>
    <x v="21"/>
    <x v="1"/>
  </r>
  <r>
    <x v="1"/>
    <x v="0"/>
    <x v="3"/>
    <x v="142"/>
    <s v="Loan Payment To: xxxx-1001         004600"/>
    <n v="-52.26"/>
    <x v="1"/>
    <x v="21"/>
    <x v="1"/>
  </r>
  <r>
    <x v="1"/>
    <x v="0"/>
    <x v="3"/>
    <x v="142"/>
    <s v="Loan Payment To: xxxx-1002         004600"/>
    <n v="-240.17"/>
    <x v="1"/>
    <x v="21"/>
    <x v="1"/>
  </r>
  <r>
    <x v="1"/>
    <x v="0"/>
    <x v="3"/>
    <x v="142"/>
    <s v="Loan Payment To: xxxx-1003         004600"/>
    <n v="-164.19"/>
    <x v="1"/>
    <x v="21"/>
    <x v="1"/>
  </r>
  <r>
    <x v="1"/>
    <x v="0"/>
    <x v="3"/>
    <x v="411"/>
    <s v="Payment Sam Kiwibank Sam Kiwibank  "/>
    <n v="-694.48"/>
    <x v="1"/>
    <x v="21"/>
    <x v="1"/>
  </r>
  <r>
    <x v="1"/>
    <x v="0"/>
    <x v="3"/>
    <x v="412"/>
    <s v="Payment Mj Asb Mj Asb  "/>
    <n v="-462.19"/>
    <x v="1"/>
    <x v="21"/>
    <x v="1"/>
  </r>
  <r>
    <x v="1"/>
    <x v="0"/>
    <x v="3"/>
    <x v="413"/>
    <s v="Direct Credit Bidfood Limited   Bidfood"/>
    <n v="3076.64"/>
    <x v="11"/>
    <x v="22"/>
    <x v="35"/>
  </r>
  <r>
    <x v="1"/>
    <x v="0"/>
    <x v="3"/>
    <x v="414"/>
    <s v="Automatic Payment Mj Asb Mj Asb Netflix 8Denning"/>
    <n v="-18.989999999999998"/>
    <x v="1"/>
    <x v="21"/>
    <x v="1"/>
  </r>
  <r>
    <x v="1"/>
    <x v="0"/>
    <x v="3"/>
    <x v="415"/>
    <s v="Automatic Payment Mj Asb Electricity Contactenrgy Mj 8Denning"/>
    <n v="-192.11"/>
    <x v="1"/>
    <x v="21"/>
    <x v="1"/>
  </r>
  <r>
    <x v="1"/>
    <x v="0"/>
    <x v="3"/>
    <x v="136"/>
    <s v="Loan Payment To: xxxx-1001         004600"/>
    <n v="-272.02"/>
    <x v="1"/>
    <x v="21"/>
    <x v="1"/>
  </r>
  <r>
    <x v="1"/>
    <x v="0"/>
    <x v="3"/>
    <x v="136"/>
    <s v="Loan Payment To: xxxx-1002         004600"/>
    <n v="-157.91"/>
    <x v="1"/>
    <x v="21"/>
    <x v="1"/>
  </r>
  <r>
    <x v="1"/>
    <x v="0"/>
    <x v="3"/>
    <x v="136"/>
    <s v="Loan Payment To: xxxx-1003         004600"/>
    <n v="-71.66"/>
    <x v="1"/>
    <x v="21"/>
    <x v="1"/>
  </r>
  <r>
    <x v="1"/>
    <x v="0"/>
    <x v="3"/>
    <x v="416"/>
    <s v="Payment Mj Asb Mj Asb  "/>
    <n v="-98.54"/>
    <x v="1"/>
    <x v="21"/>
    <x v="1"/>
  </r>
  <r>
    <x v="1"/>
    <x v="0"/>
    <x v="3"/>
    <x v="417"/>
    <s v="Automatic Payment Mj Asb Mj 8Denning Towerhouse Insurance"/>
    <n v="-81.34"/>
    <x v="1"/>
    <x v="21"/>
    <x v="1"/>
  </r>
  <r>
    <x v="1"/>
    <x v="0"/>
    <x v="3"/>
    <x v="418"/>
    <s v="Automatic Payment Mj Asb 24 Panorama Tower H&amp;C Insurance"/>
    <n v="-40.19"/>
    <x v="1"/>
    <x v="21"/>
    <x v="1"/>
  </r>
  <r>
    <x v="1"/>
    <x v="0"/>
    <x v="3"/>
    <x v="419"/>
    <s v="Automatic Payment Mj Asb Mj 5B Tower H&amp;C Insurance"/>
    <n v="-140.96"/>
    <x v="1"/>
    <x v="21"/>
    <x v="1"/>
  </r>
  <r>
    <x v="1"/>
    <x v="0"/>
    <x v="3"/>
    <x v="420"/>
    <s v="Direct Credit Bidfood Limited   Bidfood"/>
    <n v="2420.2800000000002"/>
    <x v="11"/>
    <x v="22"/>
    <x v="35"/>
  </r>
  <r>
    <x v="1"/>
    <x v="0"/>
    <x v="3"/>
    <x v="421"/>
    <s v="Automatic Payment Mj Asb Aia Insurance Sammj"/>
    <n v="-15.41"/>
    <x v="1"/>
    <x v="21"/>
    <x v="1"/>
  </r>
  <r>
    <x v="1"/>
    <x v="0"/>
    <x v="3"/>
    <x v="422"/>
    <s v="Loan Payment To: xxxx-1001         004600"/>
    <n v="-547.63"/>
    <x v="1"/>
    <x v="21"/>
    <x v="1"/>
  </r>
  <r>
    <x v="1"/>
    <x v="0"/>
    <x v="3"/>
    <x v="422"/>
    <s v="Loan Payment To: xxxx-1002         004600"/>
    <n v="-312.11"/>
    <x v="1"/>
    <x v="21"/>
    <x v="1"/>
  </r>
  <r>
    <x v="1"/>
    <x v="0"/>
    <x v="3"/>
    <x v="422"/>
    <s v="Loan Payment To: xxxx-1003         004600"/>
    <n v="-281.11"/>
    <x v="1"/>
    <x v="21"/>
    <x v="1"/>
  </r>
  <r>
    <x v="1"/>
    <x v="0"/>
    <x v="3"/>
    <x v="423"/>
    <s v="Payment Sam Kiwibank Sam Kiwibank  "/>
    <n v="-180.72"/>
    <x v="1"/>
    <x v="21"/>
    <x v="1"/>
  </r>
  <r>
    <x v="1"/>
    <x v="0"/>
    <x v="3"/>
    <x v="424"/>
    <s v="Direct Credit Bidfood Limited   Bidfood"/>
    <n v="1857.64"/>
    <x v="11"/>
    <x v="22"/>
    <x v="35"/>
  </r>
  <r>
    <x v="1"/>
    <x v="0"/>
    <x v="3"/>
    <x v="425"/>
    <s v="Automatic Payment Mj Asb Mobile Sam Skinny"/>
    <n v="-5.66"/>
    <x v="1"/>
    <x v="21"/>
    <x v="1"/>
  </r>
  <r>
    <x v="1"/>
    <x v="0"/>
    <x v="3"/>
    <x v="426"/>
    <s v="Automatic Payment Mj Asb Water  Mj 8Denning"/>
    <n v="-42.59"/>
    <x v="1"/>
    <x v="21"/>
    <x v="1"/>
  </r>
  <r>
    <x v="1"/>
    <x v="0"/>
    <x v="3"/>
    <x v="427"/>
    <s v="Automatic Payment Mj Asb Mj Mobile Us Phone Sam"/>
    <n v="-4.7699999999999996"/>
    <x v="1"/>
    <x v="21"/>
    <x v="1"/>
  </r>
  <r>
    <x v="1"/>
    <x v="0"/>
    <x v="3"/>
    <x v="127"/>
    <s v="Loan Payment To: xxxx-1001         004600"/>
    <n v="-263.08999999999997"/>
    <x v="1"/>
    <x v="21"/>
    <x v="1"/>
  </r>
  <r>
    <x v="1"/>
    <x v="0"/>
    <x v="3"/>
    <x v="127"/>
    <s v="Loan Payment To: xxxx-1002         004600"/>
    <n v="-107.05"/>
    <x v="1"/>
    <x v="21"/>
    <x v="1"/>
  </r>
  <r>
    <x v="1"/>
    <x v="0"/>
    <x v="3"/>
    <x v="127"/>
    <s v="Loan Payment To: xxxx-1003         004600"/>
    <n v="-321.54000000000002"/>
    <x v="1"/>
    <x v="21"/>
    <x v="1"/>
  </r>
  <r>
    <x v="1"/>
    <x v="0"/>
    <x v="3"/>
    <x v="428"/>
    <s v="Automatic Payment Mj Asb Mj 8Denning Towercontent Insurance"/>
    <n v="-16.27"/>
    <x v="1"/>
    <x v="21"/>
    <x v="1"/>
  </r>
  <r>
    <x v="1"/>
    <x v="0"/>
    <x v="3"/>
    <x v="429"/>
    <s v="Automatic Payment Mj Asb Mj Apple Cloud Storage"/>
    <n v="-7.97"/>
    <x v="1"/>
    <x v="21"/>
    <x v="1"/>
  </r>
  <r>
    <x v="1"/>
    <x v="0"/>
    <x v="3"/>
    <x v="430"/>
    <s v="Payment Mj Asb Mj Asb  "/>
    <n v="-1179.47"/>
    <x v="1"/>
    <x v="21"/>
    <x v="1"/>
  </r>
  <r>
    <x v="1"/>
    <x v="0"/>
    <x v="3"/>
    <x v="431"/>
    <s v="Direct Credit Bidfood Limited   Bidfood"/>
    <n v="2714.13"/>
    <x v="11"/>
    <x v="22"/>
    <x v="35"/>
  </r>
  <r>
    <x v="1"/>
    <x v="0"/>
    <x v="3"/>
    <x v="432"/>
    <s v="Automatic Payment Mj Asb Mobile Mj Skinny"/>
    <n v="-22.14"/>
    <x v="1"/>
    <x v="21"/>
    <x v="1"/>
  </r>
  <r>
    <x v="1"/>
    <x v="0"/>
    <x v="3"/>
    <x v="123"/>
    <s v="Loan Payment To: xxxx-1001         004600"/>
    <n v="-51.87"/>
    <x v="1"/>
    <x v="21"/>
    <x v="1"/>
  </r>
  <r>
    <x v="1"/>
    <x v="0"/>
    <x v="3"/>
    <x v="123"/>
    <s v="Loan Payment To: xxxx-1002         004600"/>
    <n v="-193.57"/>
    <x v="1"/>
    <x v="21"/>
    <x v="1"/>
  </r>
  <r>
    <x v="1"/>
    <x v="0"/>
    <x v="3"/>
    <x v="123"/>
    <s v="Loan Payment To: xxxx-1003         004600"/>
    <n v="-190.92"/>
    <x v="1"/>
    <x v="21"/>
    <x v="1"/>
  </r>
  <r>
    <x v="1"/>
    <x v="0"/>
    <x v="3"/>
    <x v="433"/>
    <s v="Payment Sam Kiwibank Sam Kiwibank  "/>
    <n v="-1388.2"/>
    <x v="1"/>
    <x v="21"/>
    <x v="1"/>
  </r>
  <r>
    <x v="1"/>
    <x v="0"/>
    <x v="3"/>
    <x v="434"/>
    <s v="Direct Credit Bidfood Limited   Bidfood"/>
    <n v="2744.31"/>
    <x v="11"/>
    <x v="22"/>
    <x v="35"/>
  </r>
  <r>
    <x v="1"/>
    <x v="0"/>
    <x v="3"/>
    <x v="435"/>
    <s v="Automatic Payment Mj Asb Mj Asb Netflix 8Denning"/>
    <n v="-14.65"/>
    <x v="1"/>
    <x v="21"/>
    <x v="1"/>
  </r>
  <r>
    <x v="1"/>
    <x v="0"/>
    <x v="3"/>
    <x v="117"/>
    <s v="Loan Payment To: xxxx-1001         004600"/>
    <n v="-538.98"/>
    <x v="1"/>
    <x v="21"/>
    <x v="1"/>
  </r>
  <r>
    <x v="1"/>
    <x v="0"/>
    <x v="3"/>
    <x v="117"/>
    <s v="Loan Payment To: xxxx-1002         004600"/>
    <n v="-122.41"/>
    <x v="1"/>
    <x v="21"/>
    <x v="1"/>
  </r>
  <r>
    <x v="1"/>
    <x v="0"/>
    <x v="3"/>
    <x v="117"/>
    <s v="Loan Payment To: xxxx-1003         004600"/>
    <n v="-293.29000000000002"/>
    <x v="1"/>
    <x v="21"/>
    <x v="1"/>
  </r>
  <r>
    <x v="1"/>
    <x v="0"/>
    <x v="3"/>
    <x v="436"/>
    <s v="Payment Sam Kiwibank Sam Kiwibank  "/>
    <n v="-694.59"/>
    <x v="1"/>
    <x v="21"/>
    <x v="1"/>
  </r>
  <r>
    <x v="1"/>
    <x v="0"/>
    <x v="3"/>
    <x v="437"/>
    <s v="Automatic Payment Mj Asb Electricity Contactenrgy Mj 8Denning"/>
    <n v="-148.93"/>
    <x v="1"/>
    <x v="21"/>
    <x v="1"/>
  </r>
  <r>
    <x v="1"/>
    <x v="0"/>
    <x v="3"/>
    <x v="438"/>
    <s v="Direct Credit Bidfood Limited   Bidfood"/>
    <n v="2496.63"/>
    <x v="11"/>
    <x v="22"/>
    <x v="35"/>
  </r>
  <r>
    <x v="1"/>
    <x v="0"/>
    <x v="3"/>
    <x v="439"/>
    <s v="Automatic Payment Mj Asb Mj 8Denning Towerhouse Insurance"/>
    <n v="-1.44"/>
    <x v="1"/>
    <x v="21"/>
    <x v="1"/>
  </r>
  <r>
    <x v="1"/>
    <x v="0"/>
    <x v="3"/>
    <x v="440"/>
    <s v="Automatic Payment Mj Asb 24 Panorama Tower H&amp;C Insurance"/>
    <n v="-10.220000000000001"/>
    <x v="1"/>
    <x v="21"/>
    <x v="1"/>
  </r>
  <r>
    <x v="1"/>
    <x v="0"/>
    <x v="3"/>
    <x v="441"/>
    <s v="Automatic Payment Mj Asb Mj 5B Tower H&amp;C Insurance"/>
    <n v="-27.46"/>
    <x v="1"/>
    <x v="21"/>
    <x v="1"/>
  </r>
  <r>
    <x v="1"/>
    <x v="0"/>
    <x v="3"/>
    <x v="112"/>
    <s v="Loan Payment To: xxxx-1001         004600"/>
    <n v="-401.76"/>
    <x v="1"/>
    <x v="21"/>
    <x v="1"/>
  </r>
  <r>
    <x v="1"/>
    <x v="0"/>
    <x v="3"/>
    <x v="112"/>
    <s v="Loan Payment To: xxxx-1002         004600"/>
    <n v="-356.15"/>
    <x v="1"/>
    <x v="21"/>
    <x v="1"/>
  </r>
  <r>
    <x v="1"/>
    <x v="0"/>
    <x v="3"/>
    <x v="112"/>
    <s v="Loan Payment To: xxxx-1003         004600"/>
    <n v="-281.22000000000003"/>
    <x v="1"/>
    <x v="21"/>
    <x v="1"/>
  </r>
  <r>
    <x v="1"/>
    <x v="0"/>
    <x v="3"/>
    <x v="442"/>
    <s v="Automatic Payment Mj Asb Aia Insurance Sammj"/>
    <n v="-88.9"/>
    <x v="1"/>
    <x v="21"/>
    <x v="1"/>
  </r>
  <r>
    <x v="1"/>
    <x v="0"/>
    <x v="3"/>
    <x v="443"/>
    <s v="Payment Sam Kiwibank Sam Kiwibank  "/>
    <n v="-1122.07"/>
    <x v="1"/>
    <x v="21"/>
    <x v="1"/>
  </r>
  <r>
    <x v="1"/>
    <x v="0"/>
    <x v="3"/>
    <x v="444"/>
    <s v="Direct Credit Bidfood Limited   Bidfood"/>
    <n v="461.57"/>
    <x v="11"/>
    <x v="22"/>
    <x v="35"/>
  </r>
  <r>
    <x v="1"/>
    <x v="0"/>
    <x v="3"/>
    <x v="445"/>
    <s v="Automatic Payment Mj Asb Mobile Sam Skinny"/>
    <n v="-13.63"/>
    <x v="1"/>
    <x v="21"/>
    <x v="1"/>
  </r>
  <r>
    <x v="1"/>
    <x v="0"/>
    <x v="3"/>
    <x v="106"/>
    <s v="Loan Payment To: xxxx-1001         004600"/>
    <n v="-270.19"/>
    <x v="1"/>
    <x v="21"/>
    <x v="1"/>
  </r>
  <r>
    <x v="1"/>
    <x v="0"/>
    <x v="3"/>
    <x v="106"/>
    <s v="Loan Payment To: xxxx-1002         004600"/>
    <n v="-140.66999999999999"/>
    <x v="1"/>
    <x v="21"/>
    <x v="1"/>
  </r>
  <r>
    <x v="1"/>
    <x v="0"/>
    <x v="3"/>
    <x v="106"/>
    <s v="Loan Payment To: xxxx-1003         004600"/>
    <n v="-264.05"/>
    <x v="1"/>
    <x v="21"/>
    <x v="1"/>
  </r>
  <r>
    <x v="1"/>
    <x v="0"/>
    <x v="3"/>
    <x v="446"/>
    <s v="Payment Sam Kiwibank Sam Kiwibank  "/>
    <n v="-1256.3699999999999"/>
    <x v="1"/>
    <x v="21"/>
    <x v="1"/>
  </r>
  <r>
    <x v="1"/>
    <x v="0"/>
    <x v="3"/>
    <x v="447"/>
    <s v="Payment Mj Asb Mj Asb  "/>
    <n v="-168.5"/>
    <x v="1"/>
    <x v="21"/>
    <x v="1"/>
  </r>
  <r>
    <x v="1"/>
    <x v="0"/>
    <x v="3"/>
    <x v="448"/>
    <s v="Automatic Payment Mj Asb Water  Mj 8Denning"/>
    <n v="-145.72999999999999"/>
    <x v="1"/>
    <x v="21"/>
    <x v="1"/>
  </r>
  <r>
    <x v="1"/>
    <x v="0"/>
    <x v="3"/>
    <x v="449"/>
    <s v="Automatic Payment Mj Asb Mj Mobile Us Phone Sam"/>
    <n v="-16.989999999999998"/>
    <x v="1"/>
    <x v="21"/>
    <x v="1"/>
  </r>
  <r>
    <x v="1"/>
    <x v="0"/>
    <x v="3"/>
    <x v="450"/>
    <s v="Direct Credit Bidfood Limited   Bidfood"/>
    <n v="3286.28"/>
    <x v="11"/>
    <x v="22"/>
    <x v="35"/>
  </r>
  <r>
    <x v="1"/>
    <x v="0"/>
    <x v="3"/>
    <x v="451"/>
    <s v="Automatic Payment Mj Asb Mj 8Denning Towercontent Insurance"/>
    <n v="-48.11"/>
    <x v="1"/>
    <x v="21"/>
    <x v="1"/>
  </r>
  <r>
    <x v="1"/>
    <x v="0"/>
    <x v="3"/>
    <x v="452"/>
    <s v="Automatic Payment Mj Asb Mj Apple Cloud Storage"/>
    <n v="-17.25"/>
    <x v="1"/>
    <x v="21"/>
    <x v="1"/>
  </r>
  <r>
    <x v="1"/>
    <x v="0"/>
    <x v="3"/>
    <x v="453"/>
    <s v="Automatic Payment Mj Asb Mobile Mj Skinny"/>
    <n v="-12.53"/>
    <x v="1"/>
    <x v="21"/>
    <x v="1"/>
  </r>
  <r>
    <x v="1"/>
    <x v="0"/>
    <x v="3"/>
    <x v="278"/>
    <s v="Loan Payment To: xxxx-1001         004600"/>
    <n v="-482.55"/>
    <x v="1"/>
    <x v="21"/>
    <x v="1"/>
  </r>
  <r>
    <x v="1"/>
    <x v="0"/>
    <x v="3"/>
    <x v="278"/>
    <s v="Loan Payment To: xxxx-1002         004600"/>
    <n v="-21.09"/>
    <x v="1"/>
    <x v="21"/>
    <x v="1"/>
  </r>
  <r>
    <x v="1"/>
    <x v="0"/>
    <x v="3"/>
    <x v="278"/>
    <s v="Loan Payment To: xxxx-1003         004600"/>
    <n v="-33.049999999999997"/>
    <x v="1"/>
    <x v="21"/>
    <x v="1"/>
  </r>
  <r>
    <x v="1"/>
    <x v="0"/>
    <x v="3"/>
    <x v="454"/>
    <s v="Payment Sam Kiwibank Sam Kiwibank  "/>
    <n v="-782.81"/>
    <x v="1"/>
    <x v="21"/>
    <x v="1"/>
  </r>
  <r>
    <x v="1"/>
    <x v="0"/>
    <x v="3"/>
    <x v="455"/>
    <s v="Direct Credit Bidfood Limited   Bidfood"/>
    <n v="2143.9299999999998"/>
    <x v="11"/>
    <x v="22"/>
    <x v="35"/>
  </r>
  <r>
    <x v="1"/>
    <x v="0"/>
    <x v="3"/>
    <x v="456"/>
    <s v="Payment Sam Kiwibank Sam Kiwibank  "/>
    <n v="-1007.32"/>
    <x v="1"/>
    <x v="21"/>
    <x v="1"/>
  </r>
  <r>
    <x v="1"/>
    <x v="0"/>
    <x v="3"/>
    <x v="457"/>
    <s v="Automatic Payment Mj Asb Mj Asb Netflix 8Denning"/>
    <n v="-15.97"/>
    <x v="1"/>
    <x v="21"/>
    <x v="1"/>
  </r>
  <r>
    <x v="1"/>
    <x v="0"/>
    <x v="3"/>
    <x v="458"/>
    <s v="Direct Debit Inland Revenue Dept Iit 111811989Inc 1805564544"/>
    <n v="-86.51"/>
    <x v="5"/>
    <x v="7"/>
    <x v="13"/>
  </r>
  <r>
    <x v="1"/>
    <x v="0"/>
    <x v="3"/>
    <x v="96"/>
    <s v="Loan Payment To: xxxx-1001         004600"/>
    <n v="-154.66"/>
    <x v="1"/>
    <x v="21"/>
    <x v="1"/>
  </r>
  <r>
    <x v="1"/>
    <x v="0"/>
    <x v="3"/>
    <x v="96"/>
    <s v="Loan Payment To: xxxx-1002         004600"/>
    <n v="-438.74"/>
    <x v="1"/>
    <x v="21"/>
    <x v="1"/>
  </r>
  <r>
    <x v="1"/>
    <x v="0"/>
    <x v="3"/>
    <x v="96"/>
    <s v="Loan Payment To: xxxx-1003         004600"/>
    <n v="-271.17"/>
    <x v="1"/>
    <x v="21"/>
    <x v="1"/>
  </r>
  <r>
    <x v="1"/>
    <x v="0"/>
    <x v="3"/>
    <x v="459"/>
    <s v="Bill Payment S Taebi Mj  Ird"/>
    <n v="415.08"/>
    <x v="1"/>
    <x v="21"/>
    <x v="1"/>
  </r>
  <r>
    <x v="1"/>
    <x v="0"/>
    <x v="3"/>
    <x v="460"/>
    <s v="Direct Credit Bidfood Limited   Bidfood"/>
    <n v="816.79"/>
    <x v="11"/>
    <x v="22"/>
    <x v="35"/>
  </r>
  <r>
    <x v="1"/>
    <x v="0"/>
    <x v="3"/>
    <x v="461"/>
    <s v="Automatic Payment Mj Asb Electricity Contactenrgy Mj 8Denning"/>
    <n v="-231.9"/>
    <x v="1"/>
    <x v="21"/>
    <x v="1"/>
  </r>
  <r>
    <x v="1"/>
    <x v="0"/>
    <x v="3"/>
    <x v="462"/>
    <s v="Automatic Payment Mj Asb Mj 8Denning Towerhouse Insurance"/>
    <n v="-13.77"/>
    <x v="1"/>
    <x v="21"/>
    <x v="1"/>
  </r>
  <r>
    <x v="1"/>
    <x v="0"/>
    <x v="3"/>
    <x v="463"/>
    <s v="Automatic Payment Mj Asb 24 Panorama Tower H&amp;C Insurance"/>
    <n v="-146.58000000000001"/>
    <x v="1"/>
    <x v="21"/>
    <x v="1"/>
  </r>
  <r>
    <x v="1"/>
    <x v="0"/>
    <x v="3"/>
    <x v="464"/>
    <s v="Automatic Payment Mj Asb Mj 5B Tower H&amp;C Insurance"/>
    <n v="-29.19"/>
    <x v="1"/>
    <x v="21"/>
    <x v="1"/>
  </r>
  <r>
    <x v="1"/>
    <x v="0"/>
    <x v="3"/>
    <x v="91"/>
    <s v="Loan Payment To: xxxx-1001         004600"/>
    <n v="-314.92"/>
    <x v="1"/>
    <x v="21"/>
    <x v="1"/>
  </r>
  <r>
    <x v="1"/>
    <x v="0"/>
    <x v="3"/>
    <x v="91"/>
    <s v="Loan Payment To: xxxx-1002         004600"/>
    <n v="-242.32"/>
    <x v="1"/>
    <x v="21"/>
    <x v="1"/>
  </r>
  <r>
    <x v="1"/>
    <x v="0"/>
    <x v="3"/>
    <x v="91"/>
    <s v="Loan Payment To: xxxx-1003         004600"/>
    <n v="-292.86"/>
    <x v="1"/>
    <x v="21"/>
    <x v="1"/>
  </r>
  <r>
    <x v="1"/>
    <x v="0"/>
    <x v="3"/>
    <x v="465"/>
    <s v="Payment Sam Kiwibank Sam Kiwibank  "/>
    <n v="-318.31"/>
    <x v="1"/>
    <x v="21"/>
    <x v="1"/>
  </r>
  <r>
    <x v="1"/>
    <x v="0"/>
    <x v="3"/>
    <x v="466"/>
    <s v="Direct Credit Bidfood Limited   Bidfood"/>
    <n v="1091.28"/>
    <x v="11"/>
    <x v="22"/>
    <x v="35"/>
  </r>
  <r>
    <x v="1"/>
    <x v="0"/>
    <x v="3"/>
    <x v="467"/>
    <s v="Automatic Payment Mj Asb Aia Insurance Sammj"/>
    <n v="-61.57"/>
    <x v="1"/>
    <x v="21"/>
    <x v="1"/>
  </r>
  <r>
    <x v="1"/>
    <x v="0"/>
    <x v="3"/>
    <x v="468"/>
    <s v="Automatic Payment Mj Asb Mobile Sam Skinny"/>
    <n v="-8.08"/>
    <x v="1"/>
    <x v="21"/>
    <x v="1"/>
  </r>
  <r>
    <x v="1"/>
    <x v="0"/>
    <x v="3"/>
    <x v="86"/>
    <s v="Loan Payment To: xxxx-1001         004600"/>
    <n v="-271.14999999999998"/>
    <x v="1"/>
    <x v="21"/>
    <x v="1"/>
  </r>
  <r>
    <x v="1"/>
    <x v="0"/>
    <x v="3"/>
    <x v="86"/>
    <s v="Loan Payment To: xxxx-1002         004600"/>
    <n v="-324.88"/>
    <x v="1"/>
    <x v="21"/>
    <x v="1"/>
  </r>
  <r>
    <x v="1"/>
    <x v="0"/>
    <x v="3"/>
    <x v="86"/>
    <s v="Loan Payment To: xxxx-1003         004600"/>
    <n v="-354.16"/>
    <x v="1"/>
    <x v="21"/>
    <x v="1"/>
  </r>
  <r>
    <x v="1"/>
    <x v="0"/>
    <x v="3"/>
    <x v="469"/>
    <s v="Payment Sam Kiwibank Sam Kiwibank  "/>
    <n v="-535.16"/>
    <x v="1"/>
    <x v="21"/>
    <x v="1"/>
  </r>
  <r>
    <x v="1"/>
    <x v="0"/>
    <x v="3"/>
    <x v="470"/>
    <s v="Payment Contact Energy 916029Dpsa2A Contact Ener 501461545"/>
    <n v="-193.37"/>
    <x v="4"/>
    <x v="5"/>
    <x v="5"/>
  </r>
  <r>
    <x v="1"/>
    <x v="0"/>
    <x v="3"/>
    <x v="471"/>
    <s v="Payment Mj Asb Mj Asb  "/>
    <n v="-96.04"/>
    <x v="1"/>
    <x v="21"/>
    <x v="1"/>
  </r>
  <r>
    <x v="1"/>
    <x v="0"/>
    <x v="3"/>
    <x v="472"/>
    <s v="Direct Credit Bidfood Limited   Bidfood"/>
    <n v="568.55999999999995"/>
    <x v="11"/>
    <x v="22"/>
    <x v="35"/>
  </r>
  <r>
    <x v="1"/>
    <x v="0"/>
    <x v="3"/>
    <x v="473"/>
    <s v="Automatic Payment Mj Asb Water  Mj 8Denning"/>
    <n v="-32.049999999999997"/>
    <x v="1"/>
    <x v="21"/>
    <x v="1"/>
  </r>
  <r>
    <x v="1"/>
    <x v="0"/>
    <x v="3"/>
    <x v="474"/>
    <s v="Automatic Payment Mj Asb Mj Mobile Us Phone Sam"/>
    <n v="-16.37"/>
    <x v="1"/>
    <x v="21"/>
    <x v="1"/>
  </r>
  <r>
    <x v="1"/>
    <x v="0"/>
    <x v="3"/>
    <x v="475"/>
    <s v="Automatic Payment Mj Asb Mj 8Denning Towercontent Insurance"/>
    <n v="-52.32"/>
    <x v="1"/>
    <x v="21"/>
    <x v="1"/>
  </r>
  <r>
    <x v="1"/>
    <x v="0"/>
    <x v="3"/>
    <x v="476"/>
    <s v="Automatic Payment Mj Asb Mobile Mj Skinny"/>
    <n v="-25.2"/>
    <x v="1"/>
    <x v="21"/>
    <x v="1"/>
  </r>
  <r>
    <x v="1"/>
    <x v="0"/>
    <x v="3"/>
    <x v="476"/>
    <s v="Automatic Payment Mj Asb Mj Apple Cloud Storage"/>
    <n v="-25.21"/>
    <x v="1"/>
    <x v="21"/>
    <x v="1"/>
  </r>
  <r>
    <x v="1"/>
    <x v="0"/>
    <x v="3"/>
    <x v="477"/>
    <s v="Payment Sam Kiwibank Sam Kiwibank  "/>
    <n v="-2108.8200000000002"/>
    <x v="1"/>
    <x v="21"/>
    <x v="1"/>
  </r>
  <r>
    <x v="1"/>
    <x v="0"/>
    <x v="3"/>
    <x v="478"/>
    <s v="Direct Credit Bidfood Limited   Bidfood"/>
    <n v="4395.1099999999997"/>
    <x v="11"/>
    <x v="22"/>
    <x v="35"/>
  </r>
  <r>
    <x v="1"/>
    <x v="0"/>
    <x v="3"/>
    <x v="479"/>
    <s v="Loan Payment To: xxxx-1001         004600"/>
    <n v="-351.44"/>
    <x v="1"/>
    <x v="21"/>
    <x v="1"/>
  </r>
  <r>
    <x v="1"/>
    <x v="0"/>
    <x v="3"/>
    <x v="479"/>
    <s v="Loan Payment To: xxxx-1002         004600"/>
    <n v="-539.30999999999995"/>
    <x v="1"/>
    <x v="21"/>
    <x v="1"/>
  </r>
  <r>
    <x v="1"/>
    <x v="0"/>
    <x v="3"/>
    <x v="479"/>
    <s v="Loan Payment To: xxxx-1003         004600"/>
    <n v="-305.43"/>
    <x v="1"/>
    <x v="21"/>
    <x v="1"/>
  </r>
  <r>
    <x v="1"/>
    <x v="0"/>
    <x v="3"/>
    <x v="480"/>
    <s v="Payment Sam Kiwibank Sam Kiwibank  "/>
    <n v="-1260.1099999999999"/>
    <x v="1"/>
    <x v="21"/>
    <x v="1"/>
  </r>
  <r>
    <x v="1"/>
    <x v="0"/>
    <x v="3"/>
    <x v="481"/>
    <s v="Payment Mj Asb Mj Asb  "/>
    <n v="-47.33"/>
    <x v="1"/>
    <x v="21"/>
    <x v="1"/>
  </r>
  <r>
    <x v="1"/>
    <x v="0"/>
    <x v="3"/>
    <x v="482"/>
    <s v="Direct Credit Bidfood Limited   Bidfood"/>
    <n v="2664.4"/>
    <x v="11"/>
    <x v="22"/>
    <x v="35"/>
  </r>
  <r>
    <x v="1"/>
    <x v="0"/>
    <x v="3"/>
    <x v="80"/>
    <s v="Loan Payment To: xxxx-1001         004600"/>
    <n v="-95.1"/>
    <x v="1"/>
    <x v="21"/>
    <x v="1"/>
  </r>
  <r>
    <x v="1"/>
    <x v="0"/>
    <x v="3"/>
    <x v="80"/>
    <s v="Loan Payment To: xxxx-1002         004600"/>
    <n v="-678.95"/>
    <x v="1"/>
    <x v="21"/>
    <x v="1"/>
  </r>
  <r>
    <x v="1"/>
    <x v="0"/>
    <x v="3"/>
    <x v="80"/>
    <s v="Loan Payment To: xxxx-1003         004600"/>
    <n v="-182.73"/>
    <x v="1"/>
    <x v="21"/>
    <x v="1"/>
  </r>
  <r>
    <x v="1"/>
    <x v="0"/>
    <x v="3"/>
    <x v="483"/>
    <s v="Payment Sam Kiwibank Sam Kiwibank  "/>
    <n v="-49.16"/>
    <x v="1"/>
    <x v="21"/>
    <x v="1"/>
  </r>
  <r>
    <x v="1"/>
    <x v="0"/>
    <x v="3"/>
    <x v="484"/>
    <s v="Payment Mj Asb Mj Asb  "/>
    <n v="-70.760000000000005"/>
    <x v="1"/>
    <x v="21"/>
    <x v="1"/>
  </r>
  <r>
    <x v="1"/>
    <x v="0"/>
    <x v="3"/>
    <x v="485"/>
    <s v="Direct Credit Bidfood Limited   Bidfood"/>
    <n v="2991.7"/>
    <x v="11"/>
    <x v="22"/>
    <x v="35"/>
  </r>
  <r>
    <x v="1"/>
    <x v="0"/>
    <x v="3"/>
    <x v="486"/>
    <s v="Automatic Payment Mj Asb Mj Asb Netflix 8Denning"/>
    <n v="-0.93"/>
    <x v="1"/>
    <x v="21"/>
    <x v="1"/>
  </r>
  <r>
    <x v="1"/>
    <x v="0"/>
    <x v="3"/>
    <x v="487"/>
    <s v="Automatic Payment Mj Asb Electricity Contactenrgy Mj 8Denning"/>
    <n v="-60.8"/>
    <x v="1"/>
    <x v="21"/>
    <x v="1"/>
  </r>
  <r>
    <x v="1"/>
    <x v="0"/>
    <x v="3"/>
    <x v="75"/>
    <s v="Loan Payment To: xxxx-1001         004600"/>
    <n v="-739.9"/>
    <x v="1"/>
    <x v="21"/>
    <x v="1"/>
  </r>
  <r>
    <x v="1"/>
    <x v="0"/>
    <x v="3"/>
    <x v="75"/>
    <s v="Loan Payment To: xxxx-1002         004600"/>
    <n v="-197.6"/>
    <x v="1"/>
    <x v="21"/>
    <x v="1"/>
  </r>
  <r>
    <x v="1"/>
    <x v="0"/>
    <x v="3"/>
    <x v="75"/>
    <s v="Loan Payment To: xxxx-1003         004600"/>
    <n v="-109.49"/>
    <x v="1"/>
    <x v="21"/>
    <x v="1"/>
  </r>
  <r>
    <x v="1"/>
    <x v="0"/>
    <x v="3"/>
    <x v="488"/>
    <s v="Payment Sam Kiwibank Sam Kiwibank  "/>
    <n v="-1101.94"/>
    <x v="1"/>
    <x v="21"/>
    <x v="1"/>
  </r>
  <r>
    <x v="1"/>
    <x v="0"/>
    <x v="3"/>
    <x v="489"/>
    <s v="Payment Mj Asb Mj Asb  "/>
    <n v="-76.06"/>
    <x v="1"/>
    <x v="21"/>
    <x v="1"/>
  </r>
  <r>
    <x v="1"/>
    <x v="0"/>
    <x v="3"/>
    <x v="490"/>
    <s v="Direct Credit Bidfood Limited   Bidfood"/>
    <n v="1687.64"/>
    <x v="11"/>
    <x v="22"/>
    <x v="35"/>
  </r>
  <r>
    <x v="1"/>
    <x v="0"/>
    <x v="3"/>
    <x v="491"/>
    <s v="Automatic Payment Mj Asb Mj 8Denning Towerhouse Insurance"/>
    <n v="-166.71"/>
    <x v="1"/>
    <x v="21"/>
    <x v="1"/>
  </r>
  <r>
    <x v="1"/>
    <x v="0"/>
    <x v="3"/>
    <x v="492"/>
    <s v="Automatic Payment Mj Asb 24 Panorama Tower H&amp;C Insurance"/>
    <n v="-56.06"/>
    <x v="1"/>
    <x v="21"/>
    <x v="1"/>
  </r>
  <r>
    <x v="1"/>
    <x v="0"/>
    <x v="3"/>
    <x v="493"/>
    <s v="Automatic Payment Mj Asb Mj 5B Tower H&amp;C Insurance"/>
    <n v="-107.76"/>
    <x v="1"/>
    <x v="21"/>
    <x v="1"/>
  </r>
  <r>
    <x v="1"/>
    <x v="0"/>
    <x v="3"/>
    <x v="494"/>
    <s v="Automatic Payment Mj Asb Mobile Sam Skinny"/>
    <n v="-0.98"/>
    <x v="1"/>
    <x v="21"/>
    <x v="1"/>
  </r>
  <r>
    <x v="1"/>
    <x v="0"/>
    <x v="3"/>
    <x v="495"/>
    <s v="Automatic Payment Mj Asb Aia Insurance Sammj"/>
    <n v="-34.979999999999997"/>
    <x v="1"/>
    <x v="21"/>
    <x v="1"/>
  </r>
  <r>
    <x v="1"/>
    <x v="0"/>
    <x v="3"/>
    <x v="70"/>
    <s v="Loan Payment To: xxxx-1001         004600"/>
    <n v="-25.26"/>
    <x v="1"/>
    <x v="21"/>
    <x v="1"/>
  </r>
  <r>
    <x v="1"/>
    <x v="0"/>
    <x v="3"/>
    <x v="70"/>
    <s v="Loan Payment To: xxxx-1002         004600"/>
    <n v="-348.47"/>
    <x v="1"/>
    <x v="21"/>
    <x v="1"/>
  </r>
  <r>
    <x v="1"/>
    <x v="0"/>
    <x v="3"/>
    <x v="70"/>
    <s v="Loan Payment To: xxxx-1003         004600"/>
    <n v="-353.01"/>
    <x v="1"/>
    <x v="21"/>
    <x v="1"/>
  </r>
  <r>
    <x v="1"/>
    <x v="0"/>
    <x v="3"/>
    <x v="496"/>
    <s v="Payment Mj Asb Mj Asb  "/>
    <n v="-154.5"/>
    <x v="1"/>
    <x v="21"/>
    <x v="1"/>
  </r>
  <r>
    <x v="1"/>
    <x v="0"/>
    <x v="3"/>
    <x v="497"/>
    <s v="Payment Sam Kiwibank Sam Kiwibank  "/>
    <n v="-204.03"/>
    <x v="1"/>
    <x v="21"/>
    <x v="1"/>
  </r>
  <r>
    <x v="1"/>
    <x v="0"/>
    <x v="3"/>
    <x v="498"/>
    <s v="Direct Credit Bidfood Limited   Bidfood"/>
    <n v="3080.95"/>
    <x v="11"/>
    <x v="22"/>
    <x v="35"/>
  </r>
  <r>
    <x v="1"/>
    <x v="0"/>
    <x v="3"/>
    <x v="499"/>
    <s v="Automatic Payment Mj Asb Mobile Mj Skinny"/>
    <n v="-12.85"/>
    <x v="1"/>
    <x v="21"/>
    <x v="1"/>
  </r>
  <r>
    <x v="1"/>
    <x v="0"/>
    <x v="3"/>
    <x v="500"/>
    <s v="Automatic Payment Mj Asb Water  Mj 8Denning"/>
    <n v="-62.1"/>
    <x v="1"/>
    <x v="21"/>
    <x v="1"/>
  </r>
  <r>
    <x v="1"/>
    <x v="0"/>
    <x v="3"/>
    <x v="501"/>
    <s v="Automatic Payment Mj Asb Mj Mobile Us Phone Sam"/>
    <n v="-4.49"/>
    <x v="1"/>
    <x v="21"/>
    <x v="1"/>
  </r>
  <r>
    <x v="1"/>
    <x v="0"/>
    <x v="3"/>
    <x v="65"/>
    <s v="Loan Payment To: xxxx-1001         004600"/>
    <n v="-51.38"/>
    <x v="1"/>
    <x v="21"/>
    <x v="1"/>
  </r>
  <r>
    <x v="1"/>
    <x v="0"/>
    <x v="3"/>
    <x v="65"/>
    <s v="Loan Payment To: xxxx-1002         004600"/>
    <n v="-95.96"/>
    <x v="1"/>
    <x v="21"/>
    <x v="1"/>
  </r>
  <r>
    <x v="1"/>
    <x v="0"/>
    <x v="3"/>
    <x v="65"/>
    <s v="Loan Payment To: xxxx-1003         004600"/>
    <n v="-115.46"/>
    <x v="1"/>
    <x v="21"/>
    <x v="1"/>
  </r>
  <r>
    <x v="1"/>
    <x v="0"/>
    <x v="3"/>
    <x v="502"/>
    <s v="Payment Sam Kiwibank Sam Kiwibank  "/>
    <n v="-57.81"/>
    <x v="1"/>
    <x v="21"/>
    <x v="1"/>
  </r>
  <r>
    <x v="1"/>
    <x v="0"/>
    <x v="3"/>
    <x v="503"/>
    <s v="Payment Mj Asb Mj Asb  "/>
    <n v="-55.86"/>
    <x v="1"/>
    <x v="21"/>
    <x v="1"/>
  </r>
  <r>
    <x v="1"/>
    <x v="0"/>
    <x v="3"/>
    <x v="504"/>
    <s v="Payment Mj Asb Mj Asb  "/>
    <n v="-8.5500000000000007"/>
    <x v="1"/>
    <x v="21"/>
    <x v="1"/>
  </r>
  <r>
    <x v="1"/>
    <x v="0"/>
    <x v="3"/>
    <x v="505"/>
    <s v="Direct Credit Bidfood Limited   Bidfood"/>
    <n v="176.51"/>
    <x v="11"/>
    <x v="22"/>
    <x v="35"/>
  </r>
  <r>
    <x v="1"/>
    <x v="0"/>
    <x v="3"/>
    <x v="506"/>
    <s v="Automatic Payment Mj Asb Mj 8Denning Towercontent Insurance"/>
    <n v="-65.349999999999994"/>
    <x v="1"/>
    <x v="21"/>
    <x v="1"/>
  </r>
  <r>
    <x v="1"/>
    <x v="0"/>
    <x v="3"/>
    <x v="507"/>
    <s v="Automatic Payment Mj Asb Mj Apple Cloud Storage"/>
    <n v="-17.57"/>
    <x v="1"/>
    <x v="21"/>
    <x v="1"/>
  </r>
  <r>
    <x v="1"/>
    <x v="0"/>
    <x v="3"/>
    <x v="508"/>
    <s v="Loan Payment To: xxxx-1001         004600"/>
    <n v="-517.27"/>
    <x v="1"/>
    <x v="21"/>
    <x v="1"/>
  </r>
  <r>
    <x v="1"/>
    <x v="0"/>
    <x v="3"/>
    <x v="508"/>
    <s v="Loan Payment To: xxxx-1002         004600"/>
    <n v="-712.54"/>
    <x v="1"/>
    <x v="21"/>
    <x v="1"/>
  </r>
  <r>
    <x v="1"/>
    <x v="0"/>
    <x v="3"/>
    <x v="508"/>
    <s v="Loan Payment To: xxxx-1003         004600"/>
    <n v="-7.28"/>
    <x v="1"/>
    <x v="21"/>
    <x v="1"/>
  </r>
  <r>
    <x v="1"/>
    <x v="0"/>
    <x v="3"/>
    <x v="509"/>
    <s v="Payment Sam Kiwibank Sam Kiwibank  "/>
    <n v="-337.97"/>
    <x v="1"/>
    <x v="21"/>
    <x v="1"/>
  </r>
  <r>
    <x v="1"/>
    <x v="0"/>
    <x v="3"/>
    <x v="510"/>
    <s v="Payment Mj Asb Mj Asb  "/>
    <n v="-137.46"/>
    <x v="1"/>
    <x v="21"/>
    <x v="1"/>
  </r>
  <r>
    <x v="1"/>
    <x v="0"/>
    <x v="3"/>
    <x v="511"/>
    <s v="Direct Credit Bidfood Limited   Bidfood"/>
    <n v="903.5"/>
    <x v="11"/>
    <x v="22"/>
    <x v="35"/>
  </r>
  <r>
    <x v="1"/>
    <x v="0"/>
    <x v="3"/>
    <x v="512"/>
    <s v="Automatic Payment Mj Asb Mj Asb Netflix 8Denning"/>
    <n v="-24.68"/>
    <x v="1"/>
    <x v="21"/>
    <x v="1"/>
  </r>
  <r>
    <x v="1"/>
    <x v="0"/>
    <x v="3"/>
    <x v="513"/>
    <s v="Loan Payment To: xxxx-1001         004600"/>
    <n v="-439.33"/>
    <x v="1"/>
    <x v="21"/>
    <x v="1"/>
  </r>
  <r>
    <x v="1"/>
    <x v="0"/>
    <x v="3"/>
    <x v="513"/>
    <s v="Loan Payment To: xxxx-1002         004600"/>
    <n v="-53.87"/>
    <x v="1"/>
    <x v="21"/>
    <x v="1"/>
  </r>
  <r>
    <x v="1"/>
    <x v="0"/>
    <x v="3"/>
    <x v="513"/>
    <s v="Loan Payment To: xxxx-1003         004600"/>
    <n v="-350.42"/>
    <x v="1"/>
    <x v="21"/>
    <x v="1"/>
  </r>
  <r>
    <x v="1"/>
    <x v="0"/>
    <x v="3"/>
    <x v="514"/>
    <s v="Payment Sam Kiwibank Sam Kiwibank  "/>
    <n v="-1076.76"/>
    <x v="1"/>
    <x v="21"/>
    <x v="1"/>
  </r>
  <r>
    <x v="1"/>
    <x v="0"/>
    <x v="3"/>
    <x v="515"/>
    <s v="Direct Credit Bidfood Limited   Bidfood"/>
    <n v="585.36"/>
    <x v="11"/>
    <x v="22"/>
    <x v="35"/>
  </r>
  <r>
    <x v="1"/>
    <x v="0"/>
    <x v="3"/>
    <x v="516"/>
    <s v="Automatic Payment Mj Asb Electricity Contactenrgy Mj 8Denning"/>
    <n v="-101.86"/>
    <x v="1"/>
    <x v="21"/>
    <x v="1"/>
  </r>
  <r>
    <x v="1"/>
    <x v="0"/>
    <x v="3"/>
    <x v="517"/>
    <s v="Automatic Payment Mj Asb Mj 8Denning Towerhouse Insurance"/>
    <n v="-1.1499999999999999"/>
    <x v="1"/>
    <x v="21"/>
    <x v="1"/>
  </r>
  <r>
    <x v="1"/>
    <x v="0"/>
    <x v="3"/>
    <x v="517"/>
    <s v="Automatic Payment Mj Asb 24 Panorama Tower H&amp;C Insurance"/>
    <n v="-104.73"/>
    <x v="1"/>
    <x v="21"/>
    <x v="1"/>
  </r>
  <r>
    <x v="1"/>
    <x v="0"/>
    <x v="3"/>
    <x v="518"/>
    <s v="Automatic Payment Mj Asb Mj 5B Tower H&amp;C Insurance"/>
    <n v="-117.48"/>
    <x v="1"/>
    <x v="21"/>
    <x v="1"/>
  </r>
  <r>
    <x v="1"/>
    <x v="0"/>
    <x v="3"/>
    <x v="519"/>
    <s v="Automatic Payment Mj Asb Mobile Sam Skinny"/>
    <n v="-5.43"/>
    <x v="1"/>
    <x v="21"/>
    <x v="1"/>
  </r>
  <r>
    <x v="1"/>
    <x v="0"/>
    <x v="3"/>
    <x v="520"/>
    <s v="Loan Payment To: xxxx-1001         004600"/>
    <n v="-415.37"/>
    <x v="1"/>
    <x v="21"/>
    <x v="1"/>
  </r>
  <r>
    <x v="1"/>
    <x v="0"/>
    <x v="3"/>
    <x v="520"/>
    <s v="Loan Payment To: xxxx-1002         004600"/>
    <n v="-319.72000000000003"/>
    <x v="1"/>
    <x v="21"/>
    <x v="1"/>
  </r>
  <r>
    <x v="1"/>
    <x v="0"/>
    <x v="3"/>
    <x v="520"/>
    <s v="Loan Payment To: xxxx-1003         004600"/>
    <n v="-284.77"/>
    <x v="1"/>
    <x v="21"/>
    <x v="1"/>
  </r>
  <r>
    <x v="1"/>
    <x v="0"/>
    <x v="3"/>
    <x v="521"/>
    <s v="Payment Sam Kiwibank Sam Kiwibank  "/>
    <n v="-52.93"/>
    <x v="1"/>
    <x v="21"/>
    <x v="1"/>
  </r>
  <r>
    <x v="1"/>
    <x v="0"/>
    <x v="3"/>
    <x v="522"/>
    <s v="Payment Mj Asb Mj Asb  "/>
    <n v="-42.23"/>
    <x v="1"/>
    <x v="21"/>
    <x v="1"/>
  </r>
  <r>
    <x v="1"/>
    <x v="0"/>
    <x v="3"/>
    <x v="523"/>
    <s v="Direct Credit Bidfood Limited   Bidfood"/>
    <n v="2420.1999999999998"/>
    <x v="11"/>
    <x v="22"/>
    <x v="35"/>
  </r>
  <r>
    <x v="1"/>
    <x v="0"/>
    <x v="3"/>
    <x v="524"/>
    <s v="Automatic Payment Mj Asb Aia Insurance Sammj"/>
    <n v="-117.01"/>
    <x v="1"/>
    <x v="21"/>
    <x v="1"/>
  </r>
  <r>
    <x v="1"/>
    <x v="0"/>
    <x v="3"/>
    <x v="525"/>
    <s v="Automatic Payment Mj Asb Mobile Mj Skinny"/>
    <n v="-13.77"/>
    <x v="1"/>
    <x v="21"/>
    <x v="1"/>
  </r>
  <r>
    <x v="1"/>
    <x v="0"/>
    <x v="3"/>
    <x v="49"/>
    <s v="Loan Payment To: xxxx-1001         004600"/>
    <n v="-223.49"/>
    <x v="1"/>
    <x v="21"/>
    <x v="1"/>
  </r>
  <r>
    <x v="1"/>
    <x v="0"/>
    <x v="3"/>
    <x v="49"/>
    <s v="Loan Payment To: xxxx-1002         004600"/>
    <n v="-44.3"/>
    <x v="1"/>
    <x v="21"/>
    <x v="1"/>
  </r>
  <r>
    <x v="1"/>
    <x v="0"/>
    <x v="3"/>
    <x v="49"/>
    <s v="Loan Payment To: xxxx-1003         004600"/>
    <n v="-237.33"/>
    <x v="1"/>
    <x v="21"/>
    <x v="1"/>
  </r>
  <r>
    <x v="1"/>
    <x v="0"/>
    <x v="3"/>
    <x v="526"/>
    <s v="Payment Sam Kiwibank Sam Kiwibank  "/>
    <n v="-554.13"/>
    <x v="1"/>
    <x v="21"/>
    <x v="1"/>
  </r>
  <r>
    <x v="1"/>
    <x v="0"/>
    <x v="3"/>
    <x v="527"/>
    <s v="Direct Credit Bidfood Limited   Bidfood"/>
    <n v="965.53"/>
    <x v="11"/>
    <x v="22"/>
    <x v="35"/>
  </r>
  <r>
    <x v="1"/>
    <x v="0"/>
    <x v="3"/>
    <x v="528"/>
    <s v="Automatic Payment Mj Asb Water  Mj 8Denning"/>
    <n v="-135.1"/>
    <x v="1"/>
    <x v="21"/>
    <x v="1"/>
  </r>
  <r>
    <x v="1"/>
    <x v="0"/>
    <x v="3"/>
    <x v="529"/>
    <s v="Automatic Payment Mj Asb Mj 8Denning Towercontent Insurance"/>
    <n v="-21.42"/>
    <x v="1"/>
    <x v="21"/>
    <x v="1"/>
  </r>
  <r>
    <x v="1"/>
    <x v="0"/>
    <x v="3"/>
    <x v="530"/>
    <s v="Automatic Payment Mj Asb Mj Apple Cloud Storage"/>
    <n v="-19.71"/>
    <x v="1"/>
    <x v="21"/>
    <x v="1"/>
  </r>
  <r>
    <x v="1"/>
    <x v="0"/>
    <x v="3"/>
    <x v="531"/>
    <s v="Automatic Payment Mj Asb Mj Mobile Us Phone Sam"/>
    <n v="-3.52"/>
    <x v="1"/>
    <x v="21"/>
    <x v="1"/>
  </r>
  <r>
    <x v="1"/>
    <x v="0"/>
    <x v="3"/>
    <x v="44"/>
    <s v="Loan Payment To: xxxx-1001         004600"/>
    <n v="-493.31"/>
    <x v="1"/>
    <x v="21"/>
    <x v="1"/>
  </r>
  <r>
    <x v="1"/>
    <x v="0"/>
    <x v="3"/>
    <x v="44"/>
    <s v="Loan Payment To: xxxx-1002         004600"/>
    <n v="-443.14"/>
    <x v="1"/>
    <x v="21"/>
    <x v="1"/>
  </r>
  <r>
    <x v="1"/>
    <x v="0"/>
    <x v="3"/>
    <x v="44"/>
    <s v="Loan Payment To: xxxx-1003         004600"/>
    <n v="-279.45999999999998"/>
    <x v="1"/>
    <x v="21"/>
    <x v="1"/>
  </r>
  <r>
    <x v="1"/>
    <x v="0"/>
    <x v="3"/>
    <x v="532"/>
    <s v="Payment Sam Kiwibank Sam Kiwibank  "/>
    <n v="-650.45000000000005"/>
    <x v="1"/>
    <x v="21"/>
    <x v="1"/>
  </r>
  <r>
    <x v="1"/>
    <x v="0"/>
    <x v="3"/>
    <x v="533"/>
    <s v="Payment Mj Asb Mj Asb  "/>
    <n v="-510.46"/>
    <x v="1"/>
    <x v="21"/>
    <x v="1"/>
  </r>
  <r>
    <x v="1"/>
    <x v="0"/>
    <x v="3"/>
    <x v="534"/>
    <s v="Direct Credit Bidfood Limited   Bidfood"/>
    <n v="1049.8900000000001"/>
    <x v="11"/>
    <x v="22"/>
    <x v="35"/>
  </r>
  <r>
    <x v="1"/>
    <x v="0"/>
    <x v="3"/>
    <x v="535"/>
    <s v="Automatic Payment Mj Asb Council Rate 8Denning"/>
    <n v="-1255.3800000000001"/>
    <x v="1"/>
    <x v="21"/>
    <x v="1"/>
  </r>
  <r>
    <x v="1"/>
    <x v="0"/>
    <x v="3"/>
    <x v="536"/>
    <s v="Automatic Payment Mj Asb Council Rate 24 Panorama"/>
    <n v="-479.56"/>
    <x v="1"/>
    <x v="21"/>
    <x v="1"/>
  </r>
  <r>
    <x v="1"/>
    <x v="0"/>
    <x v="3"/>
    <x v="536"/>
    <s v="Automatic Payment Mj Asb  Rate Mj 5B"/>
    <n v="-55.47"/>
    <x v="1"/>
    <x v="21"/>
    <x v="1"/>
  </r>
  <r>
    <x v="1"/>
    <x v="0"/>
    <x v="3"/>
    <x v="271"/>
    <s v="Loan Payment To: xxxx-1001         004600"/>
    <n v="-572.05999999999995"/>
    <x v="1"/>
    <x v="21"/>
    <x v="1"/>
  </r>
  <r>
    <x v="1"/>
    <x v="0"/>
    <x v="3"/>
    <x v="271"/>
    <s v="Loan Payment To: xxxx-1002         004600"/>
    <n v="-603.19000000000005"/>
    <x v="1"/>
    <x v="21"/>
    <x v="1"/>
  </r>
  <r>
    <x v="1"/>
    <x v="0"/>
    <x v="3"/>
    <x v="271"/>
    <s v="Loan Payment To: xxxx-1003         004600"/>
    <n v="-73.61"/>
    <x v="1"/>
    <x v="21"/>
    <x v="1"/>
  </r>
  <r>
    <x v="1"/>
    <x v="0"/>
    <x v="3"/>
    <x v="537"/>
    <s v="Automatic Payment Mj Asb Mj Asb Netflix 8Denning"/>
    <n v="-2.13"/>
    <x v="1"/>
    <x v="21"/>
    <x v="1"/>
  </r>
  <r>
    <x v="1"/>
    <x v="0"/>
    <x v="3"/>
    <x v="538"/>
    <s v="Direct Credit Bidfood Limited   Bidfood"/>
    <n v="2876.4"/>
    <x v="11"/>
    <x v="22"/>
    <x v="35"/>
  </r>
  <r>
    <x v="1"/>
    <x v="0"/>
    <x v="3"/>
    <x v="539"/>
    <s v="Bill Payment S Taebi Rate Council "/>
    <n v="609.62"/>
    <x v="1"/>
    <x v="21"/>
    <x v="1"/>
  </r>
  <r>
    <x v="1"/>
    <x v="0"/>
    <x v="3"/>
    <x v="540"/>
    <s v="Payment Mj Asb Mj Asb  "/>
    <n v="-14.92"/>
    <x v="1"/>
    <x v="21"/>
    <x v="1"/>
  </r>
  <r>
    <x v="1"/>
    <x v="0"/>
    <x v="3"/>
    <x v="541"/>
    <s v="Automatic Payment Mj Asb Electricity Contactenrgy Mj 8Denning"/>
    <n v="-177.33"/>
    <x v="1"/>
    <x v="21"/>
    <x v="1"/>
  </r>
  <r>
    <x v="1"/>
    <x v="0"/>
    <x v="3"/>
    <x v="542"/>
    <s v="Automatic Payment Mj Asb Mobile Sam Skinny"/>
    <n v="-4.96"/>
    <x v="1"/>
    <x v="21"/>
    <x v="1"/>
  </r>
  <r>
    <x v="1"/>
    <x v="0"/>
    <x v="3"/>
    <x v="543"/>
    <s v="Automatic Payment Mj Asb Mj 8Denning Towerhouse Insurance"/>
    <n v="-141.33000000000001"/>
    <x v="1"/>
    <x v="21"/>
    <x v="1"/>
  </r>
  <r>
    <x v="1"/>
    <x v="0"/>
    <x v="3"/>
    <x v="544"/>
    <s v="Automatic Payment Mj Asb 24 Panorama Tower H&amp;C Insurance"/>
    <n v="-24.55"/>
    <x v="1"/>
    <x v="21"/>
    <x v="1"/>
  </r>
  <r>
    <x v="1"/>
    <x v="0"/>
    <x v="3"/>
    <x v="545"/>
    <s v="Automatic Payment Mj Asb Mj 5B Tower H&amp;C Insurance"/>
    <n v="-131.16"/>
    <x v="1"/>
    <x v="21"/>
    <x v="1"/>
  </r>
  <r>
    <x v="1"/>
    <x v="0"/>
    <x v="3"/>
    <x v="34"/>
    <s v="Loan Payment To: xxxx-1001         004600"/>
    <n v="-161.36000000000001"/>
    <x v="1"/>
    <x v="21"/>
    <x v="1"/>
  </r>
  <r>
    <x v="1"/>
    <x v="0"/>
    <x v="3"/>
    <x v="34"/>
    <s v="Loan Payment To: xxxx-1002         004600"/>
    <n v="-643.53"/>
    <x v="1"/>
    <x v="21"/>
    <x v="1"/>
  </r>
  <r>
    <x v="1"/>
    <x v="0"/>
    <x v="3"/>
    <x v="34"/>
    <s v="Loan Payment To: xxxx-1003         004600"/>
    <n v="-163.82"/>
    <x v="1"/>
    <x v="21"/>
    <x v="1"/>
  </r>
  <r>
    <x v="1"/>
    <x v="0"/>
    <x v="3"/>
    <x v="546"/>
    <s v="Payment Sam Kiwibank Sam Kiwibank  "/>
    <n v="-22.38"/>
    <x v="1"/>
    <x v="21"/>
    <x v="1"/>
  </r>
  <r>
    <x v="1"/>
    <x v="0"/>
    <x v="3"/>
    <x v="547"/>
    <s v="Direct Credit Bidfood Limited   Bidfood"/>
    <n v="3187.5"/>
    <x v="11"/>
    <x v="22"/>
    <x v="35"/>
  </r>
  <r>
    <x v="1"/>
    <x v="0"/>
    <x v="3"/>
    <x v="548"/>
    <s v="Automatic Payment Mj Asb Aia Insurance Sammj"/>
    <n v="-16.39"/>
    <x v="1"/>
    <x v="21"/>
    <x v="1"/>
  </r>
  <r>
    <x v="1"/>
    <x v="0"/>
    <x v="3"/>
    <x v="549"/>
    <s v="Automatic Payment Mj Asb Mobile Mj Skinny"/>
    <n v="-0.35"/>
    <x v="1"/>
    <x v="21"/>
    <x v="1"/>
  </r>
  <r>
    <x v="1"/>
    <x v="0"/>
    <x v="3"/>
    <x v="550"/>
    <s v="Direct Debit Inland Revenue Dept Iit 111811989Inc 404348032"/>
    <n v="-2277.14"/>
    <x v="5"/>
    <x v="7"/>
    <x v="13"/>
  </r>
  <r>
    <x v="1"/>
    <x v="0"/>
    <x v="3"/>
    <x v="30"/>
    <s v="Loan Payment To: xxxx-1001         004600"/>
    <n v="-591.72"/>
    <x v="1"/>
    <x v="21"/>
    <x v="1"/>
  </r>
  <r>
    <x v="1"/>
    <x v="0"/>
    <x v="3"/>
    <x v="30"/>
    <s v="Loan Payment To: xxxx-1002         004600"/>
    <n v="-41.12"/>
    <x v="1"/>
    <x v="21"/>
    <x v="1"/>
  </r>
  <r>
    <x v="1"/>
    <x v="0"/>
    <x v="3"/>
    <x v="30"/>
    <s v="Loan Payment To: xxxx-1003         004600"/>
    <n v="-219.1"/>
    <x v="1"/>
    <x v="21"/>
    <x v="1"/>
  </r>
  <r>
    <x v="1"/>
    <x v="0"/>
    <x v="3"/>
    <x v="551"/>
    <s v="Bill Payment S Taebi   "/>
    <n v="5146.63"/>
    <x v="1"/>
    <x v="21"/>
    <x v="1"/>
  </r>
  <r>
    <x v="1"/>
    <x v="0"/>
    <x v="3"/>
    <x v="552"/>
    <s v="Direct Credit Bidfood Limited   Bidfood"/>
    <n v="1830.97"/>
    <x v="11"/>
    <x v="22"/>
    <x v="35"/>
  </r>
  <r>
    <x v="1"/>
    <x v="0"/>
    <x v="3"/>
    <x v="553"/>
    <s v="Automatic Payment Mj Asb Water  Mj 8Denning"/>
    <n v="-31.47"/>
    <x v="1"/>
    <x v="21"/>
    <x v="1"/>
  </r>
  <r>
    <x v="1"/>
    <x v="0"/>
    <x v="3"/>
    <x v="554"/>
    <s v="Automatic Payment Mj Asb Mj Mobile Us Phone Sam"/>
    <n v="-16.93"/>
    <x v="1"/>
    <x v="21"/>
    <x v="1"/>
  </r>
  <r>
    <x v="1"/>
    <x v="0"/>
    <x v="3"/>
    <x v="555"/>
    <s v="Automatic Payment Mj Asb Mj 8Denning Towercontent Insurance"/>
    <n v="-56.85"/>
    <x v="1"/>
    <x v="21"/>
    <x v="1"/>
  </r>
  <r>
    <x v="1"/>
    <x v="0"/>
    <x v="3"/>
    <x v="556"/>
    <s v="Automatic Payment Mj Asb Mj Apple Cloud Storage"/>
    <n v="-8.76"/>
    <x v="1"/>
    <x v="21"/>
    <x v="1"/>
  </r>
  <r>
    <x v="1"/>
    <x v="0"/>
    <x v="3"/>
    <x v="24"/>
    <s v="Loan Payment To: xxxx-1001         004600"/>
    <n v="-338.69"/>
    <x v="1"/>
    <x v="21"/>
    <x v="1"/>
  </r>
  <r>
    <x v="1"/>
    <x v="0"/>
    <x v="3"/>
    <x v="24"/>
    <s v="Loan Payment To: xxxx-1002         004600"/>
    <n v="-460.82"/>
    <x v="1"/>
    <x v="21"/>
    <x v="1"/>
  </r>
  <r>
    <x v="1"/>
    <x v="0"/>
    <x v="3"/>
    <x v="24"/>
    <s v="Loan Payment To: xxxx-1003         004600"/>
    <n v="-284.14999999999998"/>
    <x v="1"/>
    <x v="21"/>
    <x v="1"/>
  </r>
  <r>
    <x v="1"/>
    <x v="0"/>
    <x v="3"/>
    <x v="557"/>
    <s v="Payment Sam Kiwibank Sam Kiwibank  "/>
    <n v="-450.95"/>
    <x v="1"/>
    <x v="21"/>
    <x v="1"/>
  </r>
  <r>
    <x v="1"/>
    <x v="0"/>
    <x v="3"/>
    <x v="558"/>
    <s v="Payment Mj Asb Mj Asb  "/>
    <n v="-246.3"/>
    <x v="1"/>
    <x v="21"/>
    <x v="1"/>
  </r>
  <r>
    <x v="1"/>
    <x v="0"/>
    <x v="3"/>
    <x v="559"/>
    <s v="Direct Credit Bidfood Limited   Bidfood"/>
    <n v="1703.2"/>
    <x v="11"/>
    <x v="22"/>
    <x v="35"/>
  </r>
  <r>
    <x v="1"/>
    <x v="0"/>
    <x v="3"/>
    <x v="18"/>
    <s v="Loan Payment To: xxxx-1001         004600"/>
    <n v="-197.72"/>
    <x v="1"/>
    <x v="21"/>
    <x v="1"/>
  </r>
  <r>
    <x v="1"/>
    <x v="0"/>
    <x v="3"/>
    <x v="18"/>
    <s v="Loan Payment To: xxxx-1002         004600"/>
    <n v="-489.14"/>
    <x v="1"/>
    <x v="21"/>
    <x v="1"/>
  </r>
  <r>
    <x v="1"/>
    <x v="0"/>
    <x v="3"/>
    <x v="18"/>
    <s v="Loan Payment To: xxxx-1003         004600"/>
    <n v="-64.239999999999995"/>
    <x v="1"/>
    <x v="21"/>
    <x v="1"/>
  </r>
  <r>
    <x v="1"/>
    <x v="0"/>
    <x v="3"/>
    <x v="560"/>
    <s v="Payment Mj Asb Mj Asb  "/>
    <n v="-619.35"/>
    <x v="1"/>
    <x v="21"/>
    <x v="1"/>
  </r>
  <r>
    <x v="1"/>
    <x v="0"/>
    <x v="3"/>
    <x v="561"/>
    <s v="Direct Credit Bidfood Limited   Bidfood"/>
    <n v="1397.45"/>
    <x v="11"/>
    <x v="22"/>
    <x v="35"/>
  </r>
  <r>
    <x v="1"/>
    <x v="0"/>
    <x v="3"/>
    <x v="562"/>
    <s v="Automatic Payment Mj Asb Mj Asb Netflix 8Denning"/>
    <n v="-15.6"/>
    <x v="1"/>
    <x v="21"/>
    <x v="1"/>
  </r>
  <r>
    <x v="1"/>
    <x v="0"/>
    <x v="3"/>
    <x v="563"/>
    <s v="Automatic Payment Mj Asb Mobile Sam Skinny"/>
    <n v="-5.04"/>
    <x v="1"/>
    <x v="21"/>
    <x v="1"/>
  </r>
  <r>
    <x v="1"/>
    <x v="0"/>
    <x v="3"/>
    <x v="564"/>
    <s v="Automatic Payment Mj Asb Electricity Contactenrgy Mj 8Denning"/>
    <n v="-188.07"/>
    <x v="1"/>
    <x v="21"/>
    <x v="1"/>
  </r>
  <r>
    <x v="1"/>
    <x v="0"/>
    <x v="3"/>
    <x v="14"/>
    <s v="Loan Payment To: xxxx-1001         004600"/>
    <n v="-184.9"/>
    <x v="1"/>
    <x v="21"/>
    <x v="1"/>
  </r>
  <r>
    <x v="1"/>
    <x v="0"/>
    <x v="3"/>
    <x v="14"/>
    <s v="Loan Payment To: xxxx-1002         004600"/>
    <n v="-29.48"/>
    <x v="1"/>
    <x v="21"/>
    <x v="1"/>
  </r>
  <r>
    <x v="1"/>
    <x v="0"/>
    <x v="3"/>
    <x v="14"/>
    <s v="Loan Payment To: xxxx-1003         004600"/>
    <n v="-60.78"/>
    <x v="1"/>
    <x v="21"/>
    <x v="1"/>
  </r>
  <r>
    <x v="1"/>
    <x v="0"/>
    <x v="3"/>
    <x v="565"/>
    <s v="Payment Mj Asb Mj Asb  "/>
    <n v="-768.45"/>
    <x v="1"/>
    <x v="21"/>
    <x v="1"/>
  </r>
  <r>
    <x v="1"/>
    <x v="0"/>
    <x v="3"/>
    <x v="566"/>
    <s v="Direct Credit Bidfood Limited   Bidfood"/>
    <n v="1164.1400000000001"/>
    <x v="11"/>
    <x v="22"/>
    <x v="35"/>
  </r>
  <r>
    <x v="1"/>
    <x v="0"/>
    <x v="3"/>
    <x v="567"/>
    <s v="Automatic Payment Mj Asb Mj 8Denning Towerhouse Insurance"/>
    <n v="-9.43"/>
    <x v="1"/>
    <x v="21"/>
    <x v="1"/>
  </r>
  <r>
    <x v="1"/>
    <x v="0"/>
    <x v="3"/>
    <x v="568"/>
    <s v="Automatic Payment Mj Asb 24 Panorama Tower H&amp;C Insurance"/>
    <n v="-114.9"/>
    <x v="1"/>
    <x v="21"/>
    <x v="1"/>
  </r>
  <r>
    <x v="1"/>
    <x v="0"/>
    <x v="3"/>
    <x v="569"/>
    <s v="Automatic Payment Mj Asb Mj 5B Tower H&amp;C Insurance"/>
    <n v="-48.42"/>
    <x v="1"/>
    <x v="21"/>
    <x v="1"/>
  </r>
  <r>
    <x v="1"/>
    <x v="0"/>
    <x v="3"/>
    <x v="570"/>
    <s v="Automatic Payment Mj Asb Mobile Mj Skinny"/>
    <n v="-24.29"/>
    <x v="1"/>
    <x v="21"/>
    <x v="1"/>
  </r>
  <r>
    <x v="1"/>
    <x v="0"/>
    <x v="3"/>
    <x v="571"/>
    <s v="Automatic Payment Mj Asb Aia Insurance Sammj"/>
    <n v="-33.79"/>
    <x v="1"/>
    <x v="21"/>
    <x v="1"/>
  </r>
  <r>
    <x v="1"/>
    <x v="0"/>
    <x v="3"/>
    <x v="8"/>
    <s v="Loan Payment To: xxxx-1001         004600"/>
    <n v="-675.32"/>
    <x v="1"/>
    <x v="21"/>
    <x v="1"/>
  </r>
  <r>
    <x v="1"/>
    <x v="0"/>
    <x v="3"/>
    <x v="8"/>
    <s v="Loan Payment To: xxxx-1002         004600"/>
    <n v="-46.03"/>
    <x v="1"/>
    <x v="21"/>
    <x v="1"/>
  </r>
  <r>
    <x v="1"/>
    <x v="0"/>
    <x v="3"/>
    <x v="8"/>
    <s v="Loan Payment To: xxxx-1003         004600"/>
    <n v="-96.26"/>
    <x v="1"/>
    <x v="21"/>
    <x v="1"/>
  </r>
  <r>
    <x v="1"/>
    <x v="0"/>
    <x v="3"/>
    <x v="572"/>
    <s v="Payment Sam Kiwibank Sam Kiwibank  "/>
    <n v="-90.28"/>
    <x v="1"/>
    <x v="21"/>
    <x v="1"/>
  </r>
  <r>
    <x v="1"/>
    <x v="0"/>
    <x v="3"/>
    <x v="573"/>
    <s v="Direct Credit Bidfood Limited   Bidfood"/>
    <n v="1922.22"/>
    <x v="11"/>
    <x v="22"/>
    <x v="35"/>
  </r>
  <r>
    <x v="1"/>
    <x v="0"/>
    <x v="3"/>
    <x v="574"/>
    <s v="Automatic Payment Mj Asb Water  Mj 8Denning"/>
    <n v="-121.31"/>
    <x v="1"/>
    <x v="21"/>
    <x v="1"/>
  </r>
  <r>
    <x v="1"/>
    <x v="0"/>
    <x v="3"/>
    <x v="575"/>
    <s v="Automatic Payment Mj Asb Mj Mobile Us Phone Sam"/>
    <n v="-19.18"/>
    <x v="1"/>
    <x v="21"/>
    <x v="1"/>
  </r>
  <r>
    <x v="1"/>
    <x v="0"/>
    <x v="3"/>
    <x v="3"/>
    <s v="Loan Payment To: xxxx-1001         004600"/>
    <n v="-15.5"/>
    <x v="1"/>
    <x v="21"/>
    <x v="1"/>
  </r>
  <r>
    <x v="1"/>
    <x v="0"/>
    <x v="3"/>
    <x v="3"/>
    <s v="Loan Payment To: xxxx-1002         004600"/>
    <n v="-115.61"/>
    <x v="1"/>
    <x v="21"/>
    <x v="1"/>
  </r>
  <r>
    <x v="1"/>
    <x v="0"/>
    <x v="3"/>
    <x v="3"/>
    <s v="Loan Payment To: xxxx-1003         004600"/>
    <n v="-355.77"/>
    <x v="1"/>
    <x v="21"/>
    <x v="1"/>
  </r>
  <r>
    <x v="1"/>
    <x v="0"/>
    <x v="3"/>
    <x v="576"/>
    <s v="Payment Mj Asb Mj Asb  "/>
    <n v="-1243.8699999999999"/>
    <x v="1"/>
    <x v="21"/>
    <x v="1"/>
  </r>
  <r>
    <x v="1"/>
    <x v="0"/>
    <x v="3"/>
    <x v="577"/>
    <s v="Direct Credit Bidfood Limited   Bidfood"/>
    <n v="2967.91"/>
    <x v="11"/>
    <x v="22"/>
    <x v="35"/>
  </r>
  <r>
    <x v="1"/>
    <x v="0"/>
    <x v="3"/>
    <x v="578"/>
    <s v="Automatic Payment Mj Asb Mj 8Denning Towercontent Insurance"/>
    <n v="-59.41"/>
    <x v="1"/>
    <x v="21"/>
    <x v="1"/>
  </r>
  <r>
    <x v="1"/>
    <x v="0"/>
    <x v="3"/>
    <x v="579"/>
    <s v="Automatic Payment Mj Asb Mj Apple Cloud Storage"/>
    <n v="-4.46"/>
    <x v="1"/>
    <x v="21"/>
    <x v="1"/>
  </r>
  <r>
    <x v="1"/>
    <x v="2"/>
    <x v="4"/>
    <x v="292"/>
    <s v="Loan Payment"/>
    <n v="231.7"/>
    <x v="2"/>
    <x v="23"/>
    <x v="36"/>
  </r>
  <r>
    <x v="1"/>
    <x v="2"/>
    <x v="4"/>
    <x v="289"/>
    <s v="Loan Payment"/>
    <n v="268.33999999999997"/>
    <x v="2"/>
    <x v="23"/>
    <x v="36"/>
  </r>
  <r>
    <x v="1"/>
    <x v="2"/>
    <x v="4"/>
    <x v="250"/>
    <s v="Loan Payment"/>
    <n v="132.09"/>
    <x v="2"/>
    <x v="23"/>
    <x v="36"/>
  </r>
  <r>
    <x v="1"/>
    <x v="2"/>
    <x v="4"/>
    <x v="246"/>
    <s v="Loan Payment"/>
    <n v="487.43"/>
    <x v="2"/>
    <x v="23"/>
    <x v="36"/>
  </r>
  <r>
    <x v="1"/>
    <x v="2"/>
    <x v="4"/>
    <x v="241"/>
    <s v="Loan Interest"/>
    <n v="-1602.86"/>
    <x v="2"/>
    <x v="23"/>
    <x v="37"/>
  </r>
  <r>
    <x v="1"/>
    <x v="2"/>
    <x v="4"/>
    <x v="240"/>
    <s v="Loan Payment"/>
    <n v="473.48"/>
    <x v="2"/>
    <x v="23"/>
    <x v="36"/>
  </r>
  <r>
    <x v="1"/>
    <x v="2"/>
    <x v="4"/>
    <x v="234"/>
    <s v="Loan Payment"/>
    <n v="132.43"/>
    <x v="2"/>
    <x v="23"/>
    <x v="36"/>
  </r>
  <r>
    <x v="1"/>
    <x v="2"/>
    <x v="4"/>
    <x v="228"/>
    <s v="Loan Payment"/>
    <n v="328.17"/>
    <x v="2"/>
    <x v="23"/>
    <x v="36"/>
  </r>
  <r>
    <x v="1"/>
    <x v="2"/>
    <x v="4"/>
    <x v="224"/>
    <s v="Loan Payment"/>
    <n v="523.29"/>
    <x v="2"/>
    <x v="23"/>
    <x v="36"/>
  </r>
  <r>
    <x v="1"/>
    <x v="2"/>
    <x v="4"/>
    <x v="218"/>
    <s v="Loan Interest"/>
    <n v="-1942.39"/>
    <x v="2"/>
    <x v="23"/>
    <x v="37"/>
  </r>
  <r>
    <x v="1"/>
    <x v="2"/>
    <x v="4"/>
    <x v="218"/>
    <s v="Loan Payment"/>
    <n v="314.72000000000003"/>
    <x v="2"/>
    <x v="23"/>
    <x v="36"/>
  </r>
  <r>
    <x v="1"/>
    <x v="2"/>
    <x v="4"/>
    <x v="213"/>
    <s v="Loan Payment"/>
    <n v="205.67"/>
    <x v="2"/>
    <x v="23"/>
    <x v="36"/>
  </r>
  <r>
    <x v="1"/>
    <x v="2"/>
    <x v="4"/>
    <x v="206"/>
    <s v="Loan Payment"/>
    <n v="324.91000000000003"/>
    <x v="2"/>
    <x v="23"/>
    <x v="36"/>
  </r>
  <r>
    <x v="1"/>
    <x v="2"/>
    <x v="4"/>
    <x v="199"/>
    <s v="Loan Payment"/>
    <n v="336.26"/>
    <x v="2"/>
    <x v="23"/>
    <x v="36"/>
  </r>
  <r>
    <x v="1"/>
    <x v="2"/>
    <x v="4"/>
    <x v="192"/>
    <s v="Loan Payment"/>
    <n v="239.34"/>
    <x v="2"/>
    <x v="23"/>
    <x v="36"/>
  </r>
  <r>
    <x v="1"/>
    <x v="2"/>
    <x v="4"/>
    <x v="580"/>
    <s v="Loan Interest"/>
    <n v="-1234.99"/>
    <x v="2"/>
    <x v="23"/>
    <x v="37"/>
  </r>
  <r>
    <x v="1"/>
    <x v="2"/>
    <x v="4"/>
    <x v="286"/>
    <s v="Loan Payment"/>
    <n v="238.98"/>
    <x v="2"/>
    <x v="23"/>
    <x v="36"/>
  </r>
  <r>
    <x v="1"/>
    <x v="2"/>
    <x v="4"/>
    <x v="184"/>
    <s v="Loan Payment"/>
    <n v="378.34"/>
    <x v="2"/>
    <x v="23"/>
    <x v="36"/>
  </r>
  <r>
    <x v="1"/>
    <x v="2"/>
    <x v="4"/>
    <x v="180"/>
    <s v="Loan Payment"/>
    <n v="63.03"/>
    <x v="2"/>
    <x v="23"/>
    <x v="36"/>
  </r>
  <r>
    <x v="1"/>
    <x v="2"/>
    <x v="4"/>
    <x v="175"/>
    <s v="Loan Payment"/>
    <n v="336.04"/>
    <x v="2"/>
    <x v="23"/>
    <x v="36"/>
  </r>
  <r>
    <x v="1"/>
    <x v="2"/>
    <x v="4"/>
    <x v="170"/>
    <s v="Loan Interest"/>
    <n v="-308.39"/>
    <x v="2"/>
    <x v="23"/>
    <x v="37"/>
  </r>
  <r>
    <x v="1"/>
    <x v="2"/>
    <x v="4"/>
    <x v="169"/>
    <s v="Loan Payment"/>
    <n v="524.46"/>
    <x v="2"/>
    <x v="23"/>
    <x v="36"/>
  </r>
  <r>
    <x v="1"/>
    <x v="2"/>
    <x v="4"/>
    <x v="163"/>
    <s v="Loan Payment"/>
    <n v="437.16"/>
    <x v="2"/>
    <x v="23"/>
    <x v="36"/>
  </r>
  <r>
    <x v="1"/>
    <x v="2"/>
    <x v="4"/>
    <x v="157"/>
    <s v="Loan Payment"/>
    <n v="477.16"/>
    <x v="2"/>
    <x v="23"/>
    <x v="36"/>
  </r>
  <r>
    <x v="1"/>
    <x v="2"/>
    <x v="4"/>
    <x v="153"/>
    <s v="Loan Payment"/>
    <n v="176.71"/>
    <x v="2"/>
    <x v="23"/>
    <x v="36"/>
  </r>
  <r>
    <x v="1"/>
    <x v="2"/>
    <x v="4"/>
    <x v="147"/>
    <s v="Loan Payment"/>
    <n v="105.93"/>
    <x v="2"/>
    <x v="23"/>
    <x v="36"/>
  </r>
  <r>
    <x v="1"/>
    <x v="2"/>
    <x v="4"/>
    <x v="146"/>
    <s v="Loan Interest"/>
    <n v="-1085.52"/>
    <x v="2"/>
    <x v="23"/>
    <x v="37"/>
  </r>
  <r>
    <x v="1"/>
    <x v="2"/>
    <x v="4"/>
    <x v="142"/>
    <s v="Loan Payment"/>
    <n v="162.61000000000001"/>
    <x v="2"/>
    <x v="23"/>
    <x v="36"/>
  </r>
  <r>
    <x v="1"/>
    <x v="2"/>
    <x v="4"/>
    <x v="136"/>
    <s v="Loan Payment"/>
    <n v="316.67"/>
    <x v="2"/>
    <x v="23"/>
    <x v="36"/>
  </r>
  <r>
    <x v="1"/>
    <x v="2"/>
    <x v="4"/>
    <x v="422"/>
    <s v="Loan Payment"/>
    <n v="479.61"/>
    <x v="2"/>
    <x v="23"/>
    <x v="36"/>
  </r>
  <r>
    <x v="1"/>
    <x v="2"/>
    <x v="4"/>
    <x v="127"/>
    <s v="Loan Payment"/>
    <n v="314.97000000000003"/>
    <x v="2"/>
    <x v="23"/>
    <x v="36"/>
  </r>
  <r>
    <x v="1"/>
    <x v="2"/>
    <x v="4"/>
    <x v="581"/>
    <s v="Loan Interest"/>
    <n v="-1187.3699999999999"/>
    <x v="2"/>
    <x v="23"/>
    <x v="37"/>
  </r>
  <r>
    <x v="1"/>
    <x v="2"/>
    <x v="4"/>
    <x v="123"/>
    <s v="Loan Payment"/>
    <n v="352"/>
    <x v="2"/>
    <x v="23"/>
    <x v="36"/>
  </r>
  <r>
    <x v="1"/>
    <x v="2"/>
    <x v="4"/>
    <x v="117"/>
    <s v="Loan Payment"/>
    <n v="189.63"/>
    <x v="2"/>
    <x v="23"/>
    <x v="36"/>
  </r>
  <r>
    <x v="1"/>
    <x v="2"/>
    <x v="4"/>
    <x v="112"/>
    <s v="Loan Payment"/>
    <n v="399.67"/>
    <x v="2"/>
    <x v="23"/>
    <x v="36"/>
  </r>
  <r>
    <x v="1"/>
    <x v="2"/>
    <x v="4"/>
    <x v="106"/>
    <s v="Loan Payment"/>
    <n v="420.04"/>
    <x v="2"/>
    <x v="23"/>
    <x v="36"/>
  </r>
  <r>
    <x v="1"/>
    <x v="2"/>
    <x v="4"/>
    <x v="101"/>
    <s v="Loan Interest"/>
    <n v="-418.17"/>
    <x v="2"/>
    <x v="23"/>
    <x v="37"/>
  </r>
  <r>
    <x v="1"/>
    <x v="2"/>
    <x v="4"/>
    <x v="278"/>
    <s v="Loan Payment"/>
    <n v="102.92"/>
    <x v="2"/>
    <x v="23"/>
    <x v="36"/>
  </r>
  <r>
    <x v="1"/>
    <x v="2"/>
    <x v="4"/>
    <x v="96"/>
    <s v="Loan Payment"/>
    <n v="17.37"/>
    <x v="2"/>
    <x v="23"/>
    <x v="36"/>
  </r>
  <r>
    <x v="1"/>
    <x v="2"/>
    <x v="4"/>
    <x v="91"/>
    <s v="Loan Payment"/>
    <n v="281.64999999999998"/>
    <x v="2"/>
    <x v="23"/>
    <x v="36"/>
  </r>
  <r>
    <x v="1"/>
    <x v="2"/>
    <x v="4"/>
    <x v="86"/>
    <s v="Loan Payment"/>
    <n v="274.26"/>
    <x v="2"/>
    <x v="23"/>
    <x v="36"/>
  </r>
  <r>
    <x v="1"/>
    <x v="2"/>
    <x v="4"/>
    <x v="479"/>
    <s v="Loan Payment"/>
    <n v="457.56"/>
    <x v="2"/>
    <x v="23"/>
    <x v="36"/>
  </r>
  <r>
    <x v="1"/>
    <x v="2"/>
    <x v="4"/>
    <x v="582"/>
    <s v="Loan Interest"/>
    <n v="-1854.24"/>
    <x v="2"/>
    <x v="23"/>
    <x v="37"/>
  </r>
  <r>
    <x v="1"/>
    <x v="2"/>
    <x v="4"/>
    <x v="80"/>
    <s v="Loan Payment"/>
    <n v="254"/>
    <x v="2"/>
    <x v="23"/>
    <x v="36"/>
  </r>
  <r>
    <x v="1"/>
    <x v="2"/>
    <x v="4"/>
    <x v="75"/>
    <s v="Loan Payment"/>
    <n v="545.52"/>
    <x v="2"/>
    <x v="23"/>
    <x v="36"/>
  </r>
  <r>
    <x v="1"/>
    <x v="2"/>
    <x v="4"/>
    <x v="70"/>
    <s v="Loan Payment"/>
    <n v="502.98"/>
    <x v="2"/>
    <x v="23"/>
    <x v="36"/>
  </r>
  <r>
    <x v="1"/>
    <x v="2"/>
    <x v="4"/>
    <x v="65"/>
    <s v="Loan Payment"/>
    <n v="150.13"/>
    <x v="2"/>
    <x v="23"/>
    <x v="36"/>
  </r>
  <r>
    <x v="1"/>
    <x v="2"/>
    <x v="4"/>
    <x v="62"/>
    <s v="Loan Interest"/>
    <n v="-1660.04"/>
    <x v="2"/>
    <x v="23"/>
    <x v="37"/>
  </r>
  <r>
    <x v="1"/>
    <x v="2"/>
    <x v="4"/>
    <x v="508"/>
    <s v="Loan Payment"/>
    <n v="179.33"/>
    <x v="2"/>
    <x v="23"/>
    <x v="36"/>
  </r>
  <r>
    <x v="1"/>
    <x v="2"/>
    <x v="4"/>
    <x v="513"/>
    <s v="Loan Payment"/>
    <n v="131"/>
    <x v="2"/>
    <x v="23"/>
    <x v="36"/>
  </r>
  <r>
    <x v="1"/>
    <x v="2"/>
    <x v="4"/>
    <x v="520"/>
    <s v="Loan Payment"/>
    <n v="29.46"/>
    <x v="2"/>
    <x v="23"/>
    <x v="36"/>
  </r>
  <r>
    <x v="1"/>
    <x v="2"/>
    <x v="4"/>
    <x v="49"/>
    <s v="Loan Payment"/>
    <n v="716.22"/>
    <x v="2"/>
    <x v="23"/>
    <x v="36"/>
  </r>
  <r>
    <x v="1"/>
    <x v="2"/>
    <x v="4"/>
    <x v="44"/>
    <s v="Loan Interest"/>
    <n v="-1417.79"/>
    <x v="2"/>
    <x v="23"/>
    <x v="37"/>
  </r>
  <r>
    <x v="1"/>
    <x v="2"/>
    <x v="4"/>
    <x v="44"/>
    <s v="Loan Payment"/>
    <n v="332.3"/>
    <x v="2"/>
    <x v="23"/>
    <x v="36"/>
  </r>
  <r>
    <x v="1"/>
    <x v="2"/>
    <x v="4"/>
    <x v="271"/>
    <s v="Loan Payment"/>
    <n v="3.29"/>
    <x v="2"/>
    <x v="23"/>
    <x v="36"/>
  </r>
  <r>
    <x v="1"/>
    <x v="2"/>
    <x v="4"/>
    <x v="34"/>
    <s v="Loan Payment"/>
    <n v="527.51"/>
    <x v="2"/>
    <x v="23"/>
    <x v="36"/>
  </r>
  <r>
    <x v="1"/>
    <x v="2"/>
    <x v="4"/>
    <x v="30"/>
    <s v="Loan Payment"/>
    <n v="11.39"/>
    <x v="2"/>
    <x v="23"/>
    <x v="36"/>
  </r>
  <r>
    <x v="1"/>
    <x v="2"/>
    <x v="4"/>
    <x v="24"/>
    <s v="Loan Payment"/>
    <n v="478.52"/>
    <x v="2"/>
    <x v="23"/>
    <x v="36"/>
  </r>
  <r>
    <x v="1"/>
    <x v="2"/>
    <x v="4"/>
    <x v="21"/>
    <s v="Loan Interest"/>
    <n v="-275.95999999999998"/>
    <x v="2"/>
    <x v="23"/>
    <x v="37"/>
  </r>
  <r>
    <x v="1"/>
    <x v="2"/>
    <x v="4"/>
    <x v="18"/>
    <s v="Loan Payment"/>
    <n v="378.78"/>
    <x v="2"/>
    <x v="23"/>
    <x v="36"/>
  </r>
  <r>
    <x v="1"/>
    <x v="2"/>
    <x v="4"/>
    <x v="14"/>
    <s v="Loan Payment"/>
    <n v="134.94"/>
    <x v="2"/>
    <x v="23"/>
    <x v="36"/>
  </r>
  <r>
    <x v="1"/>
    <x v="2"/>
    <x v="4"/>
    <x v="8"/>
    <s v="Loan Payment"/>
    <n v="64.150000000000006"/>
    <x v="2"/>
    <x v="23"/>
    <x v="36"/>
  </r>
  <r>
    <x v="1"/>
    <x v="2"/>
    <x v="4"/>
    <x v="3"/>
    <s v="Loan Payment"/>
    <n v="642.65"/>
    <x v="2"/>
    <x v="23"/>
    <x v="36"/>
  </r>
  <r>
    <x v="1"/>
    <x v="2"/>
    <x v="4"/>
    <x v="262"/>
    <s v="Loan Interest"/>
    <n v="-826.64"/>
    <x v="2"/>
    <x v="23"/>
    <x v="37"/>
  </r>
  <r>
    <x v="1"/>
    <x v="2"/>
    <x v="5"/>
    <x v="292"/>
    <s v="Loan Payment"/>
    <n v="370.85"/>
    <x v="2"/>
    <x v="23"/>
    <x v="36"/>
  </r>
  <r>
    <x v="1"/>
    <x v="2"/>
    <x v="5"/>
    <x v="289"/>
    <s v="Loan Payment"/>
    <n v="362.16"/>
    <x v="2"/>
    <x v="23"/>
    <x v="36"/>
  </r>
  <r>
    <x v="1"/>
    <x v="2"/>
    <x v="5"/>
    <x v="250"/>
    <s v="Loan Payment"/>
    <n v="37.07"/>
    <x v="2"/>
    <x v="23"/>
    <x v="36"/>
  </r>
  <r>
    <x v="1"/>
    <x v="2"/>
    <x v="5"/>
    <x v="246"/>
    <s v="Loan Payment"/>
    <n v="470.66"/>
    <x v="2"/>
    <x v="23"/>
    <x v="36"/>
  </r>
  <r>
    <x v="1"/>
    <x v="2"/>
    <x v="5"/>
    <x v="241"/>
    <s v="Loan Interest"/>
    <n v="-1419"/>
    <x v="2"/>
    <x v="23"/>
    <x v="37"/>
  </r>
  <r>
    <x v="1"/>
    <x v="2"/>
    <x v="5"/>
    <x v="240"/>
    <s v="Loan Payment"/>
    <n v="193.32"/>
    <x v="2"/>
    <x v="23"/>
    <x v="36"/>
  </r>
  <r>
    <x v="1"/>
    <x v="2"/>
    <x v="5"/>
    <x v="234"/>
    <s v="Loan Payment"/>
    <n v="117.47"/>
    <x v="2"/>
    <x v="23"/>
    <x v="36"/>
  </r>
  <r>
    <x v="1"/>
    <x v="2"/>
    <x v="5"/>
    <x v="228"/>
    <s v="Loan Payment"/>
    <n v="350.9"/>
    <x v="2"/>
    <x v="23"/>
    <x v="36"/>
  </r>
  <r>
    <x v="1"/>
    <x v="2"/>
    <x v="5"/>
    <x v="224"/>
    <s v="Loan Payment"/>
    <n v="507.22"/>
    <x v="2"/>
    <x v="23"/>
    <x v="36"/>
  </r>
  <r>
    <x v="1"/>
    <x v="2"/>
    <x v="5"/>
    <x v="218"/>
    <s v="Loan Interest"/>
    <n v="-1466.68"/>
    <x v="2"/>
    <x v="23"/>
    <x v="37"/>
  </r>
  <r>
    <x v="1"/>
    <x v="2"/>
    <x v="5"/>
    <x v="218"/>
    <s v="Loan Payment"/>
    <n v="167.3"/>
    <x v="2"/>
    <x v="23"/>
    <x v="36"/>
  </r>
  <r>
    <x v="1"/>
    <x v="2"/>
    <x v="5"/>
    <x v="213"/>
    <s v="Loan Payment"/>
    <n v="120.88"/>
    <x v="2"/>
    <x v="23"/>
    <x v="36"/>
  </r>
  <r>
    <x v="1"/>
    <x v="2"/>
    <x v="5"/>
    <x v="206"/>
    <s v="Loan Payment"/>
    <n v="309.36"/>
    <x v="2"/>
    <x v="23"/>
    <x v="36"/>
  </r>
  <r>
    <x v="1"/>
    <x v="2"/>
    <x v="5"/>
    <x v="199"/>
    <s v="Loan Payment"/>
    <n v="94.33"/>
    <x v="2"/>
    <x v="23"/>
    <x v="36"/>
  </r>
  <r>
    <x v="1"/>
    <x v="2"/>
    <x v="5"/>
    <x v="192"/>
    <s v="Loan Payment"/>
    <n v="336.95"/>
    <x v="2"/>
    <x v="23"/>
    <x v="36"/>
  </r>
  <r>
    <x v="1"/>
    <x v="2"/>
    <x v="5"/>
    <x v="580"/>
    <s v="Loan Interest"/>
    <n v="-1319.97"/>
    <x v="2"/>
    <x v="23"/>
    <x v="37"/>
  </r>
  <r>
    <x v="1"/>
    <x v="2"/>
    <x v="5"/>
    <x v="286"/>
    <s v="Loan Payment"/>
    <n v="288.14999999999998"/>
    <x v="2"/>
    <x v="23"/>
    <x v="36"/>
  </r>
  <r>
    <x v="1"/>
    <x v="2"/>
    <x v="5"/>
    <x v="184"/>
    <s v="Loan Payment"/>
    <n v="147.22"/>
    <x v="2"/>
    <x v="23"/>
    <x v="36"/>
  </r>
  <r>
    <x v="1"/>
    <x v="2"/>
    <x v="5"/>
    <x v="180"/>
    <s v="Loan Payment"/>
    <n v="531.98"/>
    <x v="2"/>
    <x v="23"/>
    <x v="36"/>
  </r>
  <r>
    <x v="1"/>
    <x v="2"/>
    <x v="5"/>
    <x v="175"/>
    <s v="Loan Payment"/>
    <n v="102.01"/>
    <x v="2"/>
    <x v="23"/>
    <x v="36"/>
  </r>
  <r>
    <x v="1"/>
    <x v="2"/>
    <x v="5"/>
    <x v="170"/>
    <s v="Loan Interest"/>
    <n v="-28.9"/>
    <x v="2"/>
    <x v="23"/>
    <x v="37"/>
  </r>
  <r>
    <x v="1"/>
    <x v="2"/>
    <x v="5"/>
    <x v="169"/>
    <s v="Loan Payment"/>
    <n v="17.88"/>
    <x v="2"/>
    <x v="23"/>
    <x v="36"/>
  </r>
  <r>
    <x v="1"/>
    <x v="2"/>
    <x v="5"/>
    <x v="163"/>
    <s v="Loan Payment"/>
    <n v="499.97"/>
    <x v="2"/>
    <x v="23"/>
    <x v="36"/>
  </r>
  <r>
    <x v="1"/>
    <x v="2"/>
    <x v="5"/>
    <x v="157"/>
    <s v="Loan Payment"/>
    <n v="524.58000000000004"/>
    <x v="2"/>
    <x v="23"/>
    <x v="36"/>
  </r>
  <r>
    <x v="1"/>
    <x v="2"/>
    <x v="5"/>
    <x v="153"/>
    <s v="Loan Payment"/>
    <n v="198.08"/>
    <x v="2"/>
    <x v="23"/>
    <x v="36"/>
  </r>
  <r>
    <x v="1"/>
    <x v="2"/>
    <x v="5"/>
    <x v="147"/>
    <s v="Loan Payment"/>
    <n v="448.57"/>
    <x v="2"/>
    <x v="23"/>
    <x v="36"/>
  </r>
  <r>
    <x v="1"/>
    <x v="2"/>
    <x v="5"/>
    <x v="146"/>
    <s v="Loan Interest"/>
    <n v="-1326.73"/>
    <x v="2"/>
    <x v="23"/>
    <x v="37"/>
  </r>
  <r>
    <x v="1"/>
    <x v="2"/>
    <x v="5"/>
    <x v="142"/>
    <s v="Loan Payment"/>
    <n v="149.24"/>
    <x v="2"/>
    <x v="23"/>
    <x v="36"/>
  </r>
  <r>
    <x v="1"/>
    <x v="2"/>
    <x v="5"/>
    <x v="136"/>
    <s v="Loan Payment"/>
    <n v="226.74"/>
    <x v="2"/>
    <x v="23"/>
    <x v="36"/>
  </r>
  <r>
    <x v="1"/>
    <x v="2"/>
    <x v="5"/>
    <x v="422"/>
    <s v="Loan Payment"/>
    <n v="164.55"/>
    <x v="2"/>
    <x v="23"/>
    <x v="36"/>
  </r>
  <r>
    <x v="1"/>
    <x v="2"/>
    <x v="5"/>
    <x v="127"/>
    <s v="Loan Payment"/>
    <n v="194.51"/>
    <x v="2"/>
    <x v="23"/>
    <x v="36"/>
  </r>
  <r>
    <x v="1"/>
    <x v="2"/>
    <x v="5"/>
    <x v="581"/>
    <s v="Loan Interest"/>
    <n v="-1053.8900000000001"/>
    <x v="2"/>
    <x v="23"/>
    <x v="37"/>
  </r>
  <r>
    <x v="1"/>
    <x v="2"/>
    <x v="5"/>
    <x v="123"/>
    <s v="Loan Payment"/>
    <n v="210.98"/>
    <x v="2"/>
    <x v="23"/>
    <x v="36"/>
  </r>
  <r>
    <x v="1"/>
    <x v="2"/>
    <x v="5"/>
    <x v="117"/>
    <s v="Loan Payment"/>
    <n v="182.26"/>
    <x v="2"/>
    <x v="23"/>
    <x v="36"/>
  </r>
  <r>
    <x v="1"/>
    <x v="2"/>
    <x v="5"/>
    <x v="112"/>
    <s v="Loan Payment"/>
    <n v="357.3"/>
    <x v="2"/>
    <x v="23"/>
    <x v="36"/>
  </r>
  <r>
    <x v="1"/>
    <x v="2"/>
    <x v="5"/>
    <x v="106"/>
    <s v="Loan Payment"/>
    <n v="403.67"/>
    <x v="2"/>
    <x v="23"/>
    <x v="36"/>
  </r>
  <r>
    <x v="1"/>
    <x v="2"/>
    <x v="5"/>
    <x v="101"/>
    <s v="Loan Interest"/>
    <n v="-1813.92"/>
    <x v="2"/>
    <x v="23"/>
    <x v="37"/>
  </r>
  <r>
    <x v="1"/>
    <x v="2"/>
    <x v="5"/>
    <x v="278"/>
    <s v="Loan Payment"/>
    <n v="431.72"/>
    <x v="2"/>
    <x v="23"/>
    <x v="36"/>
  </r>
  <r>
    <x v="1"/>
    <x v="2"/>
    <x v="5"/>
    <x v="96"/>
    <s v="Loan Payment"/>
    <n v="465.92"/>
    <x v="2"/>
    <x v="23"/>
    <x v="36"/>
  </r>
  <r>
    <x v="1"/>
    <x v="2"/>
    <x v="5"/>
    <x v="91"/>
    <s v="Loan Payment"/>
    <n v="183.76"/>
    <x v="2"/>
    <x v="23"/>
    <x v="36"/>
  </r>
  <r>
    <x v="1"/>
    <x v="2"/>
    <x v="5"/>
    <x v="86"/>
    <s v="Loan Payment"/>
    <n v="552.03"/>
    <x v="2"/>
    <x v="23"/>
    <x v="36"/>
  </r>
  <r>
    <x v="1"/>
    <x v="2"/>
    <x v="5"/>
    <x v="479"/>
    <s v="Loan Payment"/>
    <n v="294.02999999999997"/>
    <x v="2"/>
    <x v="23"/>
    <x v="36"/>
  </r>
  <r>
    <x v="1"/>
    <x v="2"/>
    <x v="5"/>
    <x v="582"/>
    <s v="Loan Interest"/>
    <n v="-1624.25"/>
    <x v="2"/>
    <x v="23"/>
    <x v="37"/>
  </r>
  <r>
    <x v="1"/>
    <x v="2"/>
    <x v="5"/>
    <x v="80"/>
    <s v="Loan Payment"/>
    <n v="660.04"/>
    <x v="2"/>
    <x v="23"/>
    <x v="36"/>
  </r>
  <r>
    <x v="1"/>
    <x v="2"/>
    <x v="5"/>
    <x v="75"/>
    <s v="Loan Payment"/>
    <n v="73.180000000000007"/>
    <x v="2"/>
    <x v="23"/>
    <x v="36"/>
  </r>
  <r>
    <x v="1"/>
    <x v="2"/>
    <x v="5"/>
    <x v="70"/>
    <s v="Loan Payment"/>
    <n v="344.07"/>
    <x v="2"/>
    <x v="23"/>
    <x v="36"/>
  </r>
  <r>
    <x v="1"/>
    <x v="2"/>
    <x v="5"/>
    <x v="65"/>
    <s v="Loan Payment"/>
    <n v="326.77999999999997"/>
    <x v="2"/>
    <x v="23"/>
    <x v="36"/>
  </r>
  <r>
    <x v="1"/>
    <x v="2"/>
    <x v="5"/>
    <x v="62"/>
    <s v="Loan Interest"/>
    <n v="-1311.14"/>
    <x v="2"/>
    <x v="23"/>
    <x v="37"/>
  </r>
  <r>
    <x v="1"/>
    <x v="2"/>
    <x v="5"/>
    <x v="508"/>
    <s v="Loan Payment"/>
    <n v="141.03"/>
    <x v="2"/>
    <x v="23"/>
    <x v="36"/>
  </r>
  <r>
    <x v="1"/>
    <x v="2"/>
    <x v="5"/>
    <x v="513"/>
    <s v="Loan Payment"/>
    <n v="366.46"/>
    <x v="2"/>
    <x v="23"/>
    <x v="36"/>
  </r>
  <r>
    <x v="1"/>
    <x v="2"/>
    <x v="5"/>
    <x v="520"/>
    <s v="Loan Payment"/>
    <n v="666.13"/>
    <x v="2"/>
    <x v="23"/>
    <x v="36"/>
  </r>
  <r>
    <x v="1"/>
    <x v="2"/>
    <x v="5"/>
    <x v="49"/>
    <s v="Loan Payment"/>
    <n v="290.95999999999998"/>
    <x v="2"/>
    <x v="23"/>
    <x v="36"/>
  </r>
  <r>
    <x v="1"/>
    <x v="2"/>
    <x v="5"/>
    <x v="44"/>
    <s v="Loan Interest"/>
    <n v="-1218.26"/>
    <x v="2"/>
    <x v="23"/>
    <x v="37"/>
  </r>
  <r>
    <x v="1"/>
    <x v="2"/>
    <x v="5"/>
    <x v="44"/>
    <s v="Loan Payment"/>
    <n v="459.4"/>
    <x v="2"/>
    <x v="23"/>
    <x v="36"/>
  </r>
  <r>
    <x v="1"/>
    <x v="2"/>
    <x v="5"/>
    <x v="271"/>
    <s v="Loan Payment"/>
    <n v="209.27"/>
    <x v="2"/>
    <x v="23"/>
    <x v="36"/>
  </r>
  <r>
    <x v="1"/>
    <x v="2"/>
    <x v="5"/>
    <x v="34"/>
    <s v="Loan Payment"/>
    <n v="295.98"/>
    <x v="2"/>
    <x v="23"/>
    <x v="36"/>
  </r>
  <r>
    <x v="1"/>
    <x v="2"/>
    <x v="5"/>
    <x v="30"/>
    <s v="Loan Payment"/>
    <n v="47.27"/>
    <x v="2"/>
    <x v="23"/>
    <x v="36"/>
  </r>
  <r>
    <x v="1"/>
    <x v="2"/>
    <x v="5"/>
    <x v="24"/>
    <s v="Loan Payment"/>
    <n v="270.47000000000003"/>
    <x v="2"/>
    <x v="23"/>
    <x v="36"/>
  </r>
  <r>
    <x v="1"/>
    <x v="2"/>
    <x v="5"/>
    <x v="21"/>
    <s v="Loan Interest"/>
    <n v="-1718.83"/>
    <x v="2"/>
    <x v="23"/>
    <x v="37"/>
  </r>
  <r>
    <x v="1"/>
    <x v="2"/>
    <x v="5"/>
    <x v="18"/>
    <s v="Loan Payment"/>
    <n v="152.47"/>
    <x v="2"/>
    <x v="23"/>
    <x v="36"/>
  </r>
  <r>
    <x v="1"/>
    <x v="2"/>
    <x v="5"/>
    <x v="14"/>
    <s v="Loan Payment"/>
    <n v="187.79"/>
    <x v="2"/>
    <x v="23"/>
    <x v="36"/>
  </r>
  <r>
    <x v="1"/>
    <x v="2"/>
    <x v="5"/>
    <x v="8"/>
    <s v="Loan Payment"/>
    <n v="7.08"/>
    <x v="2"/>
    <x v="23"/>
    <x v="36"/>
  </r>
  <r>
    <x v="1"/>
    <x v="2"/>
    <x v="5"/>
    <x v="3"/>
    <s v="Loan Payment"/>
    <n v="361.43"/>
    <x v="2"/>
    <x v="23"/>
    <x v="36"/>
  </r>
  <r>
    <x v="1"/>
    <x v="2"/>
    <x v="5"/>
    <x v="262"/>
    <s v="Loan Interest"/>
    <n v="-1799.77"/>
    <x v="2"/>
    <x v="23"/>
    <x v="37"/>
  </r>
  <r>
    <x v="1"/>
    <x v="2"/>
    <x v="6"/>
    <x v="292"/>
    <s v="Loan Payment"/>
    <n v="149.57"/>
    <x v="2"/>
    <x v="23"/>
    <x v="36"/>
  </r>
  <r>
    <x v="1"/>
    <x v="2"/>
    <x v="6"/>
    <x v="289"/>
    <s v="Loan Payment"/>
    <n v="46.02"/>
    <x v="2"/>
    <x v="23"/>
    <x v="36"/>
  </r>
  <r>
    <x v="1"/>
    <x v="2"/>
    <x v="6"/>
    <x v="250"/>
    <s v="Loan Payment"/>
    <n v="343.64"/>
    <x v="2"/>
    <x v="23"/>
    <x v="36"/>
  </r>
  <r>
    <x v="1"/>
    <x v="2"/>
    <x v="6"/>
    <x v="246"/>
    <s v="Loan Payment"/>
    <n v="184.92"/>
    <x v="2"/>
    <x v="23"/>
    <x v="36"/>
  </r>
  <r>
    <x v="1"/>
    <x v="2"/>
    <x v="6"/>
    <x v="241"/>
    <s v="Loan Interest"/>
    <n v="-1085.95"/>
    <x v="2"/>
    <x v="23"/>
    <x v="37"/>
  </r>
  <r>
    <x v="1"/>
    <x v="2"/>
    <x v="6"/>
    <x v="240"/>
    <s v="Loan Payment"/>
    <n v="350.7"/>
    <x v="2"/>
    <x v="23"/>
    <x v="36"/>
  </r>
  <r>
    <x v="1"/>
    <x v="2"/>
    <x v="6"/>
    <x v="234"/>
    <s v="Loan Payment"/>
    <n v="282.52"/>
    <x v="2"/>
    <x v="23"/>
    <x v="36"/>
  </r>
  <r>
    <x v="1"/>
    <x v="2"/>
    <x v="6"/>
    <x v="228"/>
    <s v="Loan Payment"/>
    <n v="136.65"/>
    <x v="2"/>
    <x v="23"/>
    <x v="36"/>
  </r>
  <r>
    <x v="1"/>
    <x v="2"/>
    <x v="6"/>
    <x v="224"/>
    <s v="Loan Payment"/>
    <n v="93.48"/>
    <x v="2"/>
    <x v="23"/>
    <x v="36"/>
  </r>
  <r>
    <x v="1"/>
    <x v="2"/>
    <x v="6"/>
    <x v="218"/>
    <s v="Loan Interest"/>
    <n v="-1057.03"/>
    <x v="2"/>
    <x v="23"/>
    <x v="37"/>
  </r>
  <r>
    <x v="1"/>
    <x v="2"/>
    <x v="6"/>
    <x v="218"/>
    <s v="Loan Payment"/>
    <n v="76.02"/>
    <x v="2"/>
    <x v="23"/>
    <x v="36"/>
  </r>
  <r>
    <x v="1"/>
    <x v="2"/>
    <x v="6"/>
    <x v="213"/>
    <s v="Loan Payment"/>
    <n v="115.2"/>
    <x v="2"/>
    <x v="23"/>
    <x v="36"/>
  </r>
  <r>
    <x v="1"/>
    <x v="2"/>
    <x v="6"/>
    <x v="206"/>
    <s v="Loan Payment"/>
    <n v="325.49"/>
    <x v="2"/>
    <x v="23"/>
    <x v="36"/>
  </r>
  <r>
    <x v="1"/>
    <x v="2"/>
    <x v="6"/>
    <x v="199"/>
    <s v="Loan Payment"/>
    <n v="206.27"/>
    <x v="2"/>
    <x v="23"/>
    <x v="36"/>
  </r>
  <r>
    <x v="1"/>
    <x v="2"/>
    <x v="6"/>
    <x v="192"/>
    <s v="Loan Payment"/>
    <n v="12.56"/>
    <x v="2"/>
    <x v="23"/>
    <x v="36"/>
  </r>
  <r>
    <x v="1"/>
    <x v="2"/>
    <x v="6"/>
    <x v="580"/>
    <s v="Loan Interest"/>
    <n v="-437.23"/>
    <x v="2"/>
    <x v="23"/>
    <x v="37"/>
  </r>
  <r>
    <x v="1"/>
    <x v="2"/>
    <x v="6"/>
    <x v="286"/>
    <s v="Loan Payment"/>
    <n v="247.36"/>
    <x v="2"/>
    <x v="23"/>
    <x v="36"/>
  </r>
  <r>
    <x v="1"/>
    <x v="2"/>
    <x v="6"/>
    <x v="184"/>
    <s v="Loan Payment"/>
    <n v="197.86"/>
    <x v="2"/>
    <x v="23"/>
    <x v="36"/>
  </r>
  <r>
    <x v="1"/>
    <x v="2"/>
    <x v="6"/>
    <x v="180"/>
    <s v="Loan Payment"/>
    <n v="293.68"/>
    <x v="2"/>
    <x v="23"/>
    <x v="36"/>
  </r>
  <r>
    <x v="1"/>
    <x v="2"/>
    <x v="6"/>
    <x v="175"/>
    <s v="Loan Payment"/>
    <n v="247.85"/>
    <x v="2"/>
    <x v="23"/>
    <x v="36"/>
  </r>
  <r>
    <x v="1"/>
    <x v="2"/>
    <x v="6"/>
    <x v="170"/>
    <s v="Loan Interest"/>
    <n v="-1170.72"/>
    <x v="2"/>
    <x v="23"/>
    <x v="37"/>
  </r>
  <r>
    <x v="1"/>
    <x v="2"/>
    <x v="6"/>
    <x v="169"/>
    <s v="Loan Payment"/>
    <n v="51.65"/>
    <x v="2"/>
    <x v="23"/>
    <x v="36"/>
  </r>
  <r>
    <x v="1"/>
    <x v="2"/>
    <x v="6"/>
    <x v="163"/>
    <s v="Loan Payment"/>
    <n v="7.8"/>
    <x v="2"/>
    <x v="23"/>
    <x v="36"/>
  </r>
  <r>
    <x v="1"/>
    <x v="2"/>
    <x v="6"/>
    <x v="157"/>
    <s v="Loan Payment"/>
    <n v="348.21"/>
    <x v="2"/>
    <x v="23"/>
    <x v="36"/>
  </r>
  <r>
    <x v="1"/>
    <x v="2"/>
    <x v="6"/>
    <x v="153"/>
    <s v="Loan Payment"/>
    <n v="266.19"/>
    <x v="2"/>
    <x v="23"/>
    <x v="36"/>
  </r>
  <r>
    <x v="1"/>
    <x v="2"/>
    <x v="6"/>
    <x v="147"/>
    <s v="Loan Payment"/>
    <n v="316.89"/>
    <x v="2"/>
    <x v="23"/>
    <x v="36"/>
  </r>
  <r>
    <x v="1"/>
    <x v="2"/>
    <x v="6"/>
    <x v="146"/>
    <s v="Loan Interest"/>
    <n v="-1173.74"/>
    <x v="2"/>
    <x v="23"/>
    <x v="37"/>
  </r>
  <r>
    <x v="1"/>
    <x v="2"/>
    <x v="6"/>
    <x v="142"/>
    <s v="Loan Payment"/>
    <n v="351.04"/>
    <x v="2"/>
    <x v="23"/>
    <x v="36"/>
  </r>
  <r>
    <x v="1"/>
    <x v="2"/>
    <x v="6"/>
    <x v="136"/>
    <s v="Loan Payment"/>
    <n v="181.26"/>
    <x v="2"/>
    <x v="23"/>
    <x v="36"/>
  </r>
  <r>
    <x v="1"/>
    <x v="2"/>
    <x v="6"/>
    <x v="422"/>
    <s v="Loan Payment"/>
    <n v="124.47"/>
    <x v="2"/>
    <x v="23"/>
    <x v="36"/>
  </r>
  <r>
    <x v="1"/>
    <x v="2"/>
    <x v="6"/>
    <x v="127"/>
    <s v="Loan Payment"/>
    <n v="356.64"/>
    <x v="2"/>
    <x v="23"/>
    <x v="36"/>
  </r>
  <r>
    <x v="1"/>
    <x v="2"/>
    <x v="6"/>
    <x v="581"/>
    <s v="Loan Interest"/>
    <n v="-83.54"/>
    <x v="2"/>
    <x v="23"/>
    <x v="37"/>
  </r>
  <r>
    <x v="1"/>
    <x v="2"/>
    <x v="6"/>
    <x v="123"/>
    <s v="Loan Payment"/>
    <n v="309.32"/>
    <x v="2"/>
    <x v="23"/>
    <x v="36"/>
  </r>
  <r>
    <x v="1"/>
    <x v="2"/>
    <x v="6"/>
    <x v="117"/>
    <s v="Loan Payment"/>
    <n v="53.71"/>
    <x v="2"/>
    <x v="23"/>
    <x v="36"/>
  </r>
  <r>
    <x v="1"/>
    <x v="2"/>
    <x v="6"/>
    <x v="112"/>
    <s v="Loan Payment"/>
    <n v="237.22"/>
    <x v="2"/>
    <x v="23"/>
    <x v="36"/>
  </r>
  <r>
    <x v="1"/>
    <x v="2"/>
    <x v="6"/>
    <x v="106"/>
    <s v="Loan Payment"/>
    <n v="350.01"/>
    <x v="2"/>
    <x v="23"/>
    <x v="36"/>
  </r>
  <r>
    <x v="1"/>
    <x v="2"/>
    <x v="6"/>
    <x v="101"/>
    <s v="Loan Interest"/>
    <n v="-616.19000000000005"/>
    <x v="2"/>
    <x v="23"/>
    <x v="37"/>
  </r>
  <r>
    <x v="1"/>
    <x v="2"/>
    <x v="6"/>
    <x v="278"/>
    <s v="Loan Payment"/>
    <n v="122.67"/>
    <x v="2"/>
    <x v="23"/>
    <x v="36"/>
  </r>
  <r>
    <x v="1"/>
    <x v="2"/>
    <x v="6"/>
    <x v="96"/>
    <s v="Loan Payment"/>
    <n v="80.58"/>
    <x v="2"/>
    <x v="23"/>
    <x v="36"/>
  </r>
  <r>
    <x v="1"/>
    <x v="2"/>
    <x v="6"/>
    <x v="91"/>
    <s v="Loan Payment"/>
    <n v="19.45"/>
    <x v="2"/>
    <x v="23"/>
    <x v="36"/>
  </r>
  <r>
    <x v="1"/>
    <x v="2"/>
    <x v="6"/>
    <x v="86"/>
    <s v="Loan Payment"/>
    <n v="361.45"/>
    <x v="2"/>
    <x v="23"/>
    <x v="36"/>
  </r>
  <r>
    <x v="1"/>
    <x v="2"/>
    <x v="6"/>
    <x v="479"/>
    <s v="Loan Payment"/>
    <n v="257.16000000000003"/>
    <x v="2"/>
    <x v="23"/>
    <x v="36"/>
  </r>
  <r>
    <x v="1"/>
    <x v="2"/>
    <x v="6"/>
    <x v="582"/>
    <s v="Loan Interest"/>
    <n v="-124.68"/>
    <x v="2"/>
    <x v="23"/>
    <x v="37"/>
  </r>
  <r>
    <x v="1"/>
    <x v="2"/>
    <x v="6"/>
    <x v="80"/>
    <s v="Loan Payment"/>
    <n v="176.49"/>
    <x v="2"/>
    <x v="23"/>
    <x v="36"/>
  </r>
  <r>
    <x v="1"/>
    <x v="2"/>
    <x v="6"/>
    <x v="75"/>
    <s v="Loan Payment"/>
    <n v="104.4"/>
    <x v="2"/>
    <x v="23"/>
    <x v="36"/>
  </r>
  <r>
    <x v="1"/>
    <x v="2"/>
    <x v="6"/>
    <x v="70"/>
    <s v="Loan Payment"/>
    <n v="157.22999999999999"/>
    <x v="2"/>
    <x v="23"/>
    <x v="36"/>
  </r>
  <r>
    <x v="1"/>
    <x v="2"/>
    <x v="6"/>
    <x v="65"/>
    <s v="Loan Payment"/>
    <n v="121.5"/>
    <x v="2"/>
    <x v="23"/>
    <x v="36"/>
  </r>
  <r>
    <x v="1"/>
    <x v="2"/>
    <x v="6"/>
    <x v="62"/>
    <s v="Loan Interest"/>
    <n v="-829.51"/>
    <x v="2"/>
    <x v="23"/>
    <x v="37"/>
  </r>
  <r>
    <x v="1"/>
    <x v="2"/>
    <x v="6"/>
    <x v="508"/>
    <s v="Loan Payment"/>
    <n v="222.28"/>
    <x v="2"/>
    <x v="23"/>
    <x v="36"/>
  </r>
  <r>
    <x v="1"/>
    <x v="2"/>
    <x v="6"/>
    <x v="513"/>
    <s v="Loan Payment"/>
    <n v="277.11"/>
    <x v="2"/>
    <x v="23"/>
    <x v="36"/>
  </r>
  <r>
    <x v="1"/>
    <x v="2"/>
    <x v="6"/>
    <x v="520"/>
    <s v="Loan Payment"/>
    <n v="0.85"/>
    <x v="2"/>
    <x v="23"/>
    <x v="36"/>
  </r>
  <r>
    <x v="1"/>
    <x v="2"/>
    <x v="6"/>
    <x v="49"/>
    <s v="Loan Payment"/>
    <n v="4.55"/>
    <x v="2"/>
    <x v="23"/>
    <x v="36"/>
  </r>
  <r>
    <x v="1"/>
    <x v="2"/>
    <x v="6"/>
    <x v="44"/>
    <s v="Loan Interest"/>
    <n v="-1021.26"/>
    <x v="2"/>
    <x v="23"/>
    <x v="37"/>
  </r>
  <r>
    <x v="1"/>
    <x v="2"/>
    <x v="6"/>
    <x v="44"/>
    <s v="Loan Payment"/>
    <n v="361.71"/>
    <x v="2"/>
    <x v="23"/>
    <x v="36"/>
  </r>
  <r>
    <x v="1"/>
    <x v="2"/>
    <x v="6"/>
    <x v="271"/>
    <s v="Loan Payment"/>
    <n v="285.47000000000003"/>
    <x v="2"/>
    <x v="23"/>
    <x v="36"/>
  </r>
  <r>
    <x v="1"/>
    <x v="2"/>
    <x v="6"/>
    <x v="34"/>
    <s v="Loan Payment"/>
    <n v="258.07"/>
    <x v="2"/>
    <x v="23"/>
    <x v="36"/>
  </r>
  <r>
    <x v="1"/>
    <x v="2"/>
    <x v="6"/>
    <x v="30"/>
    <s v="Loan Payment"/>
    <n v="21.8"/>
    <x v="2"/>
    <x v="23"/>
    <x v="36"/>
  </r>
  <r>
    <x v="1"/>
    <x v="2"/>
    <x v="6"/>
    <x v="24"/>
    <s v="Loan Payment"/>
    <n v="189.57"/>
    <x v="2"/>
    <x v="23"/>
    <x v="36"/>
  </r>
  <r>
    <x v="1"/>
    <x v="2"/>
    <x v="6"/>
    <x v="21"/>
    <s v="Loan Interest"/>
    <n v="-131.56"/>
    <x v="2"/>
    <x v="23"/>
    <x v="37"/>
  </r>
  <r>
    <x v="1"/>
    <x v="2"/>
    <x v="6"/>
    <x v="18"/>
    <s v="Loan Payment"/>
    <n v="341.75"/>
    <x v="2"/>
    <x v="23"/>
    <x v="36"/>
  </r>
  <r>
    <x v="1"/>
    <x v="2"/>
    <x v="6"/>
    <x v="14"/>
    <s v="Loan Payment"/>
    <n v="275.33999999999997"/>
    <x v="2"/>
    <x v="23"/>
    <x v="36"/>
  </r>
  <r>
    <x v="1"/>
    <x v="2"/>
    <x v="6"/>
    <x v="8"/>
    <s v="Loan Payment"/>
    <n v="52.35"/>
    <x v="2"/>
    <x v="23"/>
    <x v="36"/>
  </r>
  <r>
    <x v="1"/>
    <x v="2"/>
    <x v="6"/>
    <x v="3"/>
    <s v="Loan Payment"/>
    <n v="285.85000000000002"/>
    <x v="2"/>
    <x v="23"/>
    <x v="36"/>
  </r>
  <r>
    <x v="1"/>
    <x v="2"/>
    <x v="6"/>
    <x v="262"/>
    <s v="Loan Interest"/>
    <n v="-608.49"/>
    <x v="2"/>
    <x v="23"/>
    <x v="37"/>
  </r>
  <r>
    <x v="2"/>
    <x v="0"/>
    <x v="7"/>
    <x v="0"/>
    <s v="TRF 4833481054851016 ;"/>
    <n v="-11.71"/>
    <x v="1"/>
    <x v="24"/>
    <x v="1"/>
  </r>
  <r>
    <x v="2"/>
    <x v="0"/>
    <x v="7"/>
    <x v="0"/>
    <s v="TRF 4833481054851016 ;"/>
    <n v="-7.56"/>
    <x v="1"/>
    <x v="24"/>
    <x v="1"/>
  </r>
  <r>
    <x v="2"/>
    <x v="0"/>
    <x v="7"/>
    <x v="263"/>
    <s v="TRF 4833481054851016 ;"/>
    <n v="-3.08"/>
    <x v="1"/>
    <x v="24"/>
    <x v="1"/>
  </r>
  <r>
    <x v="2"/>
    <x v="0"/>
    <x v="7"/>
    <x v="263"/>
    <s v="PAY subtlesweetness.nz ;SamTaebi"/>
    <n v="-22.57"/>
    <x v="0"/>
    <x v="0"/>
    <x v="0"/>
  </r>
  <r>
    <x v="2"/>
    <x v="0"/>
    <x v="7"/>
    <x v="2"/>
    <s v="TRANSFER FROM S TAEBI - 01 ;"/>
    <n v="1354.19"/>
    <x v="1"/>
    <x v="24"/>
    <x v="1"/>
  </r>
  <r>
    <x v="2"/>
    <x v="0"/>
    <x v="7"/>
    <x v="3"/>
    <s v="Direct Credit MJ ASB MR S M ALAVI ;Ref: MJ ASB MR S M ALAVI"/>
    <n v="155.5"/>
    <x v="1"/>
    <x v="24"/>
    <x v="1"/>
  </r>
  <r>
    <x v="2"/>
    <x v="0"/>
    <x v="7"/>
    <x v="3"/>
    <s v="TRANSFER TO S TAEBI - 01 ;"/>
    <n v="-10.67"/>
    <x v="1"/>
    <x v="24"/>
    <x v="1"/>
  </r>
  <r>
    <x v="2"/>
    <x v="0"/>
    <x v="7"/>
    <x v="3"/>
    <s v="TRF 4327420538275015 ;"/>
    <n v="-7.74"/>
    <x v="1"/>
    <x v="24"/>
    <x v="1"/>
  </r>
  <r>
    <x v="2"/>
    <x v="0"/>
    <x v="7"/>
    <x v="3"/>
    <s v="TRF 4833481054851016 ;"/>
    <n v="-89.21"/>
    <x v="1"/>
    <x v="24"/>
    <x v="1"/>
  </r>
  <r>
    <x v="2"/>
    <x v="0"/>
    <x v="7"/>
    <x v="4"/>
    <s v="TRF 4833481054851016 ;"/>
    <n v="-67.19"/>
    <x v="1"/>
    <x v="24"/>
    <x v="1"/>
  </r>
  <r>
    <x v="2"/>
    <x v="0"/>
    <x v="7"/>
    <x v="6"/>
    <s v="AP#18495353 TO S TAEBI  S M ALAVI ;Transfer to S TAEBI  S M ALAVI - 06"/>
    <n v="-50.03"/>
    <x v="1"/>
    <x v="24"/>
    <x v="1"/>
  </r>
  <r>
    <x v="2"/>
    <x v="0"/>
    <x v="7"/>
    <x v="6"/>
    <s v="AP#18495354 TO S TAEBI  S M ALAVI ;Transfer to S TAEBI  S M ALAVI - 07"/>
    <n v="-349.5"/>
    <x v="1"/>
    <x v="24"/>
    <x v="1"/>
  </r>
  <r>
    <x v="2"/>
    <x v="0"/>
    <x v="7"/>
    <x v="6"/>
    <s v="AP#20595693 TO S TAEBI  S M ALAVI ;Transfer to S TAEBI  S M ALAVI - 08"/>
    <n v="-293.02999999999997"/>
    <x v="1"/>
    <x v="24"/>
    <x v="1"/>
  </r>
  <r>
    <x v="2"/>
    <x v="0"/>
    <x v="7"/>
    <x v="7"/>
    <s v="Salary KIWIBANK FORTNIGHT ;"/>
    <n v="4855.08"/>
    <x v="11"/>
    <x v="22"/>
    <x v="38"/>
  </r>
  <r>
    <x v="2"/>
    <x v="0"/>
    <x v="7"/>
    <x v="7"/>
    <s v="TRF 4833481054851016 ;"/>
    <n v="-176.4"/>
    <x v="1"/>
    <x v="24"/>
    <x v="1"/>
  </r>
  <r>
    <x v="2"/>
    <x v="0"/>
    <x v="7"/>
    <x v="7"/>
    <s v="Bill Payment MJ ANZ ALAVI SEYED M ;Ref: MJ ANZ ALAVI SEYED M"/>
    <n v="139.87"/>
    <x v="1"/>
    <x v="24"/>
    <x v="1"/>
  </r>
  <r>
    <x v="2"/>
    <x v="0"/>
    <x v="7"/>
    <x v="7"/>
    <s v="Direct Credit MJ ASB MR S M ALAVI ;Ref: MJ ASB MR S M ALAVI"/>
    <n v="165.94"/>
    <x v="1"/>
    <x v="24"/>
    <x v="1"/>
  </r>
  <r>
    <x v="2"/>
    <x v="0"/>
    <x v="7"/>
    <x v="7"/>
    <s v="AP#18696077 TO HSBC ;HSBC 5B-Cleary"/>
    <n v="-2258.38"/>
    <x v="1"/>
    <x v="24"/>
    <x v="1"/>
  </r>
  <r>
    <x v="2"/>
    <x v="0"/>
    <x v="7"/>
    <x v="7"/>
    <s v="TRANSFER TO S TAEBI - 01 ;"/>
    <n v="-2399.5100000000002"/>
    <x v="1"/>
    <x v="24"/>
    <x v="1"/>
  </r>
  <r>
    <x v="2"/>
    <x v="0"/>
    <x v="7"/>
    <x v="9"/>
    <s v="PAY MJ ASB ;mam dad ticket perth"/>
    <n v="-126.12"/>
    <x v="1"/>
    <x v="24"/>
    <x v="1"/>
  </r>
  <r>
    <x v="2"/>
    <x v="0"/>
    <x v="7"/>
    <x v="9"/>
    <s v="Direct Debit -SOUTHERN CROSS MEDICAL CARE SOCIETY ;Ref: 23284297 000 029648197"/>
    <n v="-18.88"/>
    <x v="8"/>
    <x v="25"/>
    <x v="39"/>
  </r>
  <r>
    <x v="2"/>
    <x v="0"/>
    <x v="7"/>
    <x v="10"/>
    <s v="TRF 4833481054851016 ;"/>
    <n v="-300.98"/>
    <x v="1"/>
    <x v="24"/>
    <x v="1"/>
  </r>
  <r>
    <x v="2"/>
    <x v="0"/>
    <x v="7"/>
    <x v="10"/>
    <s v="TRF 4833481054851016 ;"/>
    <n v="-26.95"/>
    <x v="1"/>
    <x v="24"/>
    <x v="1"/>
  </r>
  <r>
    <x v="2"/>
    <x v="0"/>
    <x v="7"/>
    <x v="266"/>
    <s v="Spotify P226DD34E7 Stockholm ;"/>
    <n v="-15.63"/>
    <x v="7"/>
    <x v="26"/>
    <x v="40"/>
  </r>
  <r>
    <x v="2"/>
    <x v="0"/>
    <x v="7"/>
    <x v="13"/>
    <s v="TRF 4833481054851016 ;"/>
    <n v="-23.29"/>
    <x v="1"/>
    <x v="24"/>
    <x v="1"/>
  </r>
  <r>
    <x v="2"/>
    <x v="0"/>
    <x v="7"/>
    <x v="13"/>
    <s v="TRF 4833481054851016 ;"/>
    <n v="-2.9"/>
    <x v="1"/>
    <x v="24"/>
    <x v="1"/>
  </r>
  <r>
    <x v="2"/>
    <x v="0"/>
    <x v="7"/>
    <x v="14"/>
    <s v="TRANSFER FROM S TAEBI - 01 ;"/>
    <n v="2044.07"/>
    <x v="1"/>
    <x v="24"/>
    <x v="1"/>
  </r>
  <r>
    <x v="2"/>
    <x v="0"/>
    <x v="7"/>
    <x v="14"/>
    <s v="TRANSFER FROM S TAEBI - 01 ;"/>
    <n v="590.62"/>
    <x v="1"/>
    <x v="24"/>
    <x v="1"/>
  </r>
  <r>
    <x v="2"/>
    <x v="0"/>
    <x v="7"/>
    <x v="14"/>
    <s v="PAY MJ ASB ;queenstown"/>
    <n v="-1020.2"/>
    <x v="1"/>
    <x v="24"/>
    <x v="1"/>
  </r>
  <r>
    <x v="2"/>
    <x v="0"/>
    <x v="7"/>
    <x v="583"/>
    <s v="AP#18495353 TO S TAEBI  S M ALAVI ;Transfer to S TAEBI  S M ALAVI - 06"/>
    <n v="-1468.4"/>
    <x v="1"/>
    <x v="24"/>
    <x v="1"/>
  </r>
  <r>
    <x v="2"/>
    <x v="0"/>
    <x v="7"/>
    <x v="583"/>
    <s v="AP#18495354 TO S TAEBI  S M ALAVI ;Transfer to S TAEBI  S M ALAVI - 07"/>
    <n v="-884.31"/>
    <x v="1"/>
    <x v="24"/>
    <x v="1"/>
  </r>
  <r>
    <x v="2"/>
    <x v="0"/>
    <x v="7"/>
    <x v="583"/>
    <s v="AP#20595693 TO S TAEBI  S M ALAVI ;Transfer to S TAEBI  S M ALAVI - 08"/>
    <n v="-493.81"/>
    <x v="1"/>
    <x v="24"/>
    <x v="1"/>
  </r>
  <r>
    <x v="2"/>
    <x v="0"/>
    <x v="7"/>
    <x v="584"/>
    <s v="TRF 4833481054851016 ;"/>
    <n v="-52.77"/>
    <x v="1"/>
    <x v="24"/>
    <x v="1"/>
  </r>
  <r>
    <x v="2"/>
    <x v="0"/>
    <x v="7"/>
    <x v="584"/>
    <s v="TRF 4833481054851016 ;"/>
    <n v="-1.0900000000000001"/>
    <x v="1"/>
    <x v="24"/>
    <x v="1"/>
  </r>
  <r>
    <x v="2"/>
    <x v="0"/>
    <x v="7"/>
    <x v="17"/>
    <s v="Salary KIWIBANK FORTNIGHT ;"/>
    <n v="300.04000000000002"/>
    <x v="11"/>
    <x v="22"/>
    <x v="38"/>
  </r>
  <r>
    <x v="2"/>
    <x v="0"/>
    <x v="7"/>
    <x v="17"/>
    <s v="AP#18696077 TO HSBC ;HSBC 5B-Cleary"/>
    <n v="-1735.67"/>
    <x v="1"/>
    <x v="24"/>
    <x v="1"/>
  </r>
  <r>
    <x v="2"/>
    <x v="0"/>
    <x v="7"/>
    <x v="18"/>
    <s v="TRF 4833481054851016 ;"/>
    <n v="-1673.32"/>
    <x v="1"/>
    <x v="24"/>
    <x v="1"/>
  </r>
  <r>
    <x v="2"/>
    <x v="0"/>
    <x v="7"/>
    <x v="18"/>
    <s v="TRF 4833481054851016 ;"/>
    <n v="-161.41999999999999"/>
    <x v="1"/>
    <x v="24"/>
    <x v="1"/>
  </r>
  <r>
    <x v="2"/>
    <x v="0"/>
    <x v="7"/>
    <x v="18"/>
    <s v="TRF 4833481054851016 ;"/>
    <n v="-3.51"/>
    <x v="1"/>
    <x v="24"/>
    <x v="1"/>
  </r>
  <r>
    <x v="2"/>
    <x v="0"/>
    <x v="7"/>
    <x v="18"/>
    <s v="TRF 4833481054851016 ;"/>
    <n v="-18.420000000000002"/>
    <x v="1"/>
    <x v="24"/>
    <x v="1"/>
  </r>
  <r>
    <x v="2"/>
    <x v="0"/>
    <x v="7"/>
    <x v="18"/>
    <s v="Direct Credit MJ ASB MR S M ALAVI ;Ref: MJ ASB MR S M ALAVI"/>
    <n v="205.53"/>
    <x v="1"/>
    <x v="24"/>
    <x v="1"/>
  </r>
  <r>
    <x v="2"/>
    <x v="0"/>
    <x v="7"/>
    <x v="19"/>
    <s v="TRANSFER TO S TAEBI - 01 ;"/>
    <n v="-575.34"/>
    <x v="1"/>
    <x v="24"/>
    <x v="1"/>
  </r>
  <r>
    <x v="2"/>
    <x v="0"/>
    <x v="7"/>
    <x v="19"/>
    <s v="TRF 4833481054851016 ;"/>
    <n v="-163.08000000000001"/>
    <x v="1"/>
    <x v="24"/>
    <x v="1"/>
  </r>
  <r>
    <x v="2"/>
    <x v="0"/>
    <x v="7"/>
    <x v="19"/>
    <s v="Direct Debit -SOUTHERN CROSS MEDICAL CARE SOCIETY ;Ref: 23284297 000 029780294"/>
    <n v="-21.66"/>
    <x v="8"/>
    <x v="25"/>
    <x v="39"/>
  </r>
  <r>
    <x v="2"/>
    <x v="0"/>
    <x v="7"/>
    <x v="267"/>
    <s v="TRF 4833481054851016 ;"/>
    <n v="-48.94"/>
    <x v="1"/>
    <x v="24"/>
    <x v="1"/>
  </r>
  <r>
    <x v="2"/>
    <x v="0"/>
    <x v="7"/>
    <x v="267"/>
    <s v="TRF 4833481054851016 ;"/>
    <n v="-6.55"/>
    <x v="1"/>
    <x v="24"/>
    <x v="1"/>
  </r>
  <r>
    <x v="2"/>
    <x v="0"/>
    <x v="7"/>
    <x v="267"/>
    <s v="TRANSFER FROM S TAEBI - 01 ;"/>
    <n v="160.25"/>
    <x v="1"/>
    <x v="24"/>
    <x v="1"/>
  </r>
  <r>
    <x v="2"/>
    <x v="0"/>
    <x v="7"/>
    <x v="267"/>
    <s v="TRF 4833481054851016 ;"/>
    <n v="-29.72"/>
    <x v="1"/>
    <x v="24"/>
    <x v="1"/>
  </r>
  <r>
    <x v="2"/>
    <x v="0"/>
    <x v="7"/>
    <x v="20"/>
    <s v="TRF 4833481054851016 ;"/>
    <n v="-55.92"/>
    <x v="1"/>
    <x v="24"/>
    <x v="1"/>
  </r>
  <r>
    <x v="2"/>
    <x v="0"/>
    <x v="7"/>
    <x v="22"/>
    <s v="TRF 4833481054851016 ;"/>
    <n v="-94.97"/>
    <x v="1"/>
    <x v="24"/>
    <x v="1"/>
  </r>
  <r>
    <x v="2"/>
    <x v="0"/>
    <x v="7"/>
    <x v="23"/>
    <s v="TRF 4833481054851016 ;"/>
    <n v="-110.17"/>
    <x v="1"/>
    <x v="24"/>
    <x v="1"/>
  </r>
  <r>
    <x v="2"/>
    <x v="0"/>
    <x v="7"/>
    <x v="23"/>
    <s v="TRANSFER FROM S TAEBI - 01 ;"/>
    <n v="4244.8599999999997"/>
    <x v="1"/>
    <x v="24"/>
    <x v="1"/>
  </r>
  <r>
    <x v="2"/>
    <x v="0"/>
    <x v="7"/>
    <x v="23"/>
    <s v="Bill Payment MJ ANZ ALAVI SEYED M ;Ref: MJ ANZ ALAVI SEYED M"/>
    <n v="703.85"/>
    <x v="1"/>
    <x v="24"/>
    <x v="1"/>
  </r>
  <r>
    <x v="2"/>
    <x v="0"/>
    <x v="7"/>
    <x v="24"/>
    <s v="Direct Credit MJ ASB MR S M ALAVI ;Ref: MJ ASB MR S M ALAVI"/>
    <n v="38.47"/>
    <x v="1"/>
    <x v="24"/>
    <x v="1"/>
  </r>
  <r>
    <x v="2"/>
    <x v="0"/>
    <x v="7"/>
    <x v="24"/>
    <s v="TRF 4833481054851016 ;"/>
    <n v="-167.45"/>
    <x v="1"/>
    <x v="24"/>
    <x v="1"/>
  </r>
  <r>
    <x v="2"/>
    <x v="0"/>
    <x v="7"/>
    <x v="25"/>
    <s v="AP#18495353 TO S TAEBI  S M ALAVI ;Transfer to S TAEBI  S M ALAVI - 06"/>
    <n v="-812.53"/>
    <x v="1"/>
    <x v="24"/>
    <x v="1"/>
  </r>
  <r>
    <x v="2"/>
    <x v="0"/>
    <x v="7"/>
    <x v="25"/>
    <s v="AP#18495354 TO S TAEBI  S M ALAVI ;Transfer to S TAEBI  S M ALAVI - 07"/>
    <n v="-206.53"/>
    <x v="1"/>
    <x v="24"/>
    <x v="1"/>
  </r>
  <r>
    <x v="2"/>
    <x v="0"/>
    <x v="7"/>
    <x v="25"/>
    <s v="AP#20595693 TO S TAEBI  S M ALAVI ;Transfer to S TAEBI  S M ALAVI - 08"/>
    <n v="-35.270000000000003"/>
    <x v="1"/>
    <x v="24"/>
    <x v="1"/>
  </r>
  <r>
    <x v="2"/>
    <x v="0"/>
    <x v="7"/>
    <x v="26"/>
    <s v="TRF 4327420538275015 ;"/>
    <n v="-15.46"/>
    <x v="1"/>
    <x v="24"/>
    <x v="1"/>
  </r>
  <r>
    <x v="2"/>
    <x v="0"/>
    <x v="7"/>
    <x v="27"/>
    <s v="TRF 4833481054851016 ;"/>
    <n v="-83.03"/>
    <x v="1"/>
    <x v="24"/>
    <x v="1"/>
  </r>
  <r>
    <x v="2"/>
    <x v="0"/>
    <x v="7"/>
    <x v="27"/>
    <s v="TRANSFER FROM S TAEBI - 01 ;"/>
    <n v="1508.81"/>
    <x v="1"/>
    <x v="24"/>
    <x v="1"/>
  </r>
  <r>
    <x v="2"/>
    <x v="0"/>
    <x v="7"/>
    <x v="27"/>
    <s v="TRF 4833481054851016 ;"/>
    <n v="-1950.15"/>
    <x v="1"/>
    <x v="24"/>
    <x v="1"/>
  </r>
  <r>
    <x v="2"/>
    <x v="0"/>
    <x v="7"/>
    <x v="27"/>
    <s v="TRF 4833481054851016 ;"/>
    <n v="-0.71"/>
    <x v="1"/>
    <x v="24"/>
    <x v="1"/>
  </r>
  <r>
    <x v="2"/>
    <x v="0"/>
    <x v="7"/>
    <x v="28"/>
    <s v="TRF 4833481054851016 ;"/>
    <n v="-1.55"/>
    <x v="1"/>
    <x v="24"/>
    <x v="1"/>
  </r>
  <r>
    <x v="2"/>
    <x v="0"/>
    <x v="7"/>
    <x v="29"/>
    <s v="TRANSFER FROM S TAEBI - 01 ;"/>
    <n v="2119.8000000000002"/>
    <x v="1"/>
    <x v="24"/>
    <x v="1"/>
  </r>
  <r>
    <x v="2"/>
    <x v="0"/>
    <x v="7"/>
    <x v="29"/>
    <s v="Direct Credit MJ ASB MR S M ALAVI ;Ref: MJ ASB MR S M ALAVI"/>
    <n v="575.59"/>
    <x v="1"/>
    <x v="24"/>
    <x v="1"/>
  </r>
  <r>
    <x v="2"/>
    <x v="0"/>
    <x v="7"/>
    <x v="29"/>
    <s v="Salary KIWIBANK FORTNIGHT ;"/>
    <n v="2900.02"/>
    <x v="11"/>
    <x v="22"/>
    <x v="38"/>
  </r>
  <r>
    <x v="2"/>
    <x v="0"/>
    <x v="7"/>
    <x v="29"/>
    <s v="TRANSFER FROM S TAEBI - 01 ;"/>
    <n v="521.64"/>
    <x v="1"/>
    <x v="24"/>
    <x v="1"/>
  </r>
  <r>
    <x v="2"/>
    <x v="0"/>
    <x v="7"/>
    <x v="29"/>
    <s v="PAY ANZ MJ ;"/>
    <n v="-6950.38"/>
    <x v="1"/>
    <x v="24"/>
    <x v="1"/>
  </r>
  <r>
    <x v="2"/>
    <x v="0"/>
    <x v="7"/>
    <x v="29"/>
    <s v="AP#18696077 TO HSBC ;HSBC 5B-Cleary"/>
    <n v="-1869.07"/>
    <x v="1"/>
    <x v="24"/>
    <x v="1"/>
  </r>
  <r>
    <x v="2"/>
    <x v="0"/>
    <x v="7"/>
    <x v="29"/>
    <s v="TRANSFER FROM S TAEBI - 01 ;"/>
    <n v="672.05"/>
    <x v="1"/>
    <x v="24"/>
    <x v="1"/>
  </r>
  <r>
    <x v="2"/>
    <x v="0"/>
    <x v="7"/>
    <x v="30"/>
    <s v="TRF 4833481054851016 ;"/>
    <n v="-3.5"/>
    <x v="1"/>
    <x v="24"/>
    <x v="1"/>
  </r>
  <r>
    <x v="2"/>
    <x v="0"/>
    <x v="7"/>
    <x v="30"/>
    <s v="PAY MJ ASB ;mam dad ticket perth"/>
    <n v="-79.349999999999994"/>
    <x v="1"/>
    <x v="24"/>
    <x v="1"/>
  </r>
  <r>
    <x v="2"/>
    <x v="0"/>
    <x v="7"/>
    <x v="30"/>
    <s v="TRF 4833481054851016 ;"/>
    <n v="-1.43"/>
    <x v="1"/>
    <x v="24"/>
    <x v="1"/>
  </r>
  <r>
    <x v="2"/>
    <x v="0"/>
    <x v="7"/>
    <x v="30"/>
    <s v="TRF 4833481054851016 ;"/>
    <n v="-8.82"/>
    <x v="1"/>
    <x v="24"/>
    <x v="1"/>
  </r>
  <r>
    <x v="2"/>
    <x v="0"/>
    <x v="7"/>
    <x v="30"/>
    <s v="TRF 4833481054851016 ;"/>
    <n v="-20.149999999999999"/>
    <x v="1"/>
    <x v="24"/>
    <x v="1"/>
  </r>
  <r>
    <x v="2"/>
    <x v="0"/>
    <x v="7"/>
    <x v="30"/>
    <s v="Direct Debit -INLAND REVENUE DEPARTMENT ;Ref: 1239391360 I IT 113165197 INC"/>
    <n v="-51.43"/>
    <x v="12"/>
    <x v="27"/>
    <x v="41"/>
  </r>
  <r>
    <x v="2"/>
    <x v="0"/>
    <x v="7"/>
    <x v="31"/>
    <s v="Direct Debit -SOUTHERN CROSS MEDICAL CARE SOCIETY ;Ref: 23284297 000 029915150"/>
    <n v="-9.75"/>
    <x v="8"/>
    <x v="25"/>
    <x v="39"/>
  </r>
  <r>
    <x v="2"/>
    <x v="0"/>
    <x v="7"/>
    <x v="269"/>
    <s v="TRF 4833481054851016 ;"/>
    <n v="-0.19"/>
    <x v="1"/>
    <x v="24"/>
    <x v="1"/>
  </r>
  <r>
    <x v="2"/>
    <x v="0"/>
    <x v="7"/>
    <x v="269"/>
    <s v="PAY mina ;"/>
    <n v="-52.9"/>
    <x v="4"/>
    <x v="12"/>
    <x v="12"/>
  </r>
  <r>
    <x v="2"/>
    <x v="0"/>
    <x v="7"/>
    <x v="269"/>
    <s v="TRANSFER FROM S TAEBI - 01 ;"/>
    <n v="67.86"/>
    <x v="1"/>
    <x v="24"/>
    <x v="1"/>
  </r>
  <r>
    <x v="2"/>
    <x v="0"/>
    <x v="7"/>
    <x v="269"/>
    <s v="PAY mina ;"/>
    <n v="-12.64"/>
    <x v="4"/>
    <x v="12"/>
    <x v="12"/>
  </r>
  <r>
    <x v="2"/>
    <x v="0"/>
    <x v="7"/>
    <x v="32"/>
    <s v="TRANSFER FROM S TAEBI - 01 ;"/>
    <n v="312.23"/>
    <x v="1"/>
    <x v="24"/>
    <x v="1"/>
  </r>
  <r>
    <x v="2"/>
    <x v="0"/>
    <x v="7"/>
    <x v="32"/>
    <s v="TRF 4833481054851016 ;"/>
    <n v="-119.6"/>
    <x v="1"/>
    <x v="24"/>
    <x v="1"/>
  </r>
  <r>
    <x v="2"/>
    <x v="0"/>
    <x v="7"/>
    <x v="32"/>
    <s v="PAY MJ ASB ;"/>
    <n v="-110.09"/>
    <x v="1"/>
    <x v="24"/>
    <x v="1"/>
  </r>
  <r>
    <x v="2"/>
    <x v="0"/>
    <x v="7"/>
    <x v="32"/>
    <s v="TRF 4833481054851016 ;"/>
    <n v="0"/>
    <x v="1"/>
    <x v="24"/>
    <x v="1"/>
  </r>
  <r>
    <x v="2"/>
    <x v="0"/>
    <x v="7"/>
    <x v="585"/>
    <s v="TRF 4833481054851016 ;"/>
    <n v="-124.32"/>
    <x v="1"/>
    <x v="24"/>
    <x v="1"/>
  </r>
  <r>
    <x v="2"/>
    <x v="0"/>
    <x v="7"/>
    <x v="33"/>
    <s v="Spotify P231A9FC00 Stockholm ;"/>
    <n v="-3.49"/>
    <x v="7"/>
    <x v="26"/>
    <x v="40"/>
  </r>
  <r>
    <x v="2"/>
    <x v="0"/>
    <x v="7"/>
    <x v="34"/>
    <s v="TRANSFER FROM S TAEBI - 01 ;"/>
    <n v="3620.84"/>
    <x v="1"/>
    <x v="24"/>
    <x v="1"/>
  </r>
  <r>
    <x v="2"/>
    <x v="0"/>
    <x v="7"/>
    <x v="34"/>
    <s v="Bill Payment MJ ANZ ALAVI SEYED M ;Ref: MJ ANZ ALAVI SEYED M"/>
    <n v="18.260000000000002"/>
    <x v="1"/>
    <x v="24"/>
    <x v="1"/>
  </r>
  <r>
    <x v="2"/>
    <x v="0"/>
    <x v="7"/>
    <x v="35"/>
    <s v="TRANSFER FROM S TAEBI - 01 ;"/>
    <n v="19.61"/>
    <x v="1"/>
    <x v="24"/>
    <x v="1"/>
  </r>
  <r>
    <x v="2"/>
    <x v="0"/>
    <x v="7"/>
    <x v="35"/>
    <s v="TRF 4327420538275015 ;"/>
    <n v="-57.58"/>
    <x v="1"/>
    <x v="24"/>
    <x v="1"/>
  </r>
  <r>
    <x v="2"/>
    <x v="0"/>
    <x v="7"/>
    <x v="35"/>
    <s v="TRANSFER FROM S TAEBI - 01 ;"/>
    <n v="157.91999999999999"/>
    <x v="1"/>
    <x v="24"/>
    <x v="1"/>
  </r>
  <r>
    <x v="2"/>
    <x v="0"/>
    <x v="7"/>
    <x v="35"/>
    <s v="TRF 4833481054851016 ;"/>
    <n v="-95.32"/>
    <x v="1"/>
    <x v="24"/>
    <x v="1"/>
  </r>
  <r>
    <x v="2"/>
    <x v="0"/>
    <x v="7"/>
    <x v="35"/>
    <s v="TRANSFER FROM S TAEBI - 01 ;"/>
    <n v="80.52"/>
    <x v="1"/>
    <x v="24"/>
    <x v="1"/>
  </r>
  <r>
    <x v="2"/>
    <x v="0"/>
    <x v="7"/>
    <x v="35"/>
    <s v="PAY MJ ASB ;"/>
    <n v="-117.06"/>
    <x v="1"/>
    <x v="24"/>
    <x v="1"/>
  </r>
  <r>
    <x v="2"/>
    <x v="0"/>
    <x v="7"/>
    <x v="35"/>
    <s v="AP#18495353 TO S TAEBI  S M ALAVI ;Transfer to S TAEBI  S M ALAVI - 06"/>
    <n v="-928.94"/>
    <x v="1"/>
    <x v="24"/>
    <x v="1"/>
  </r>
  <r>
    <x v="2"/>
    <x v="0"/>
    <x v="7"/>
    <x v="35"/>
    <s v="AP#18495354 TO S TAEBI  S M ALAVI ;Transfer to S TAEBI  S M ALAVI - 07"/>
    <n v="-453.7"/>
    <x v="1"/>
    <x v="24"/>
    <x v="1"/>
  </r>
  <r>
    <x v="2"/>
    <x v="0"/>
    <x v="7"/>
    <x v="35"/>
    <s v="AP#20595693 TO S TAEBI  S M ALAVI ;Transfer to S TAEBI  S M ALAVI - 08"/>
    <n v="-472.63"/>
    <x v="1"/>
    <x v="24"/>
    <x v="1"/>
  </r>
  <r>
    <x v="2"/>
    <x v="0"/>
    <x v="7"/>
    <x v="36"/>
    <s v="TRANSFER FROM S TAEBI - 01 ;"/>
    <n v="376.25"/>
    <x v="1"/>
    <x v="24"/>
    <x v="1"/>
  </r>
  <r>
    <x v="2"/>
    <x v="0"/>
    <x v="7"/>
    <x v="36"/>
    <s v="TRF 4833481054851016 ;"/>
    <n v="-297.18"/>
    <x v="1"/>
    <x v="24"/>
    <x v="1"/>
  </r>
  <r>
    <x v="2"/>
    <x v="0"/>
    <x v="7"/>
    <x v="37"/>
    <s v="TRF 4833481054851016 ;"/>
    <n v="-122.24"/>
    <x v="1"/>
    <x v="24"/>
    <x v="1"/>
  </r>
  <r>
    <x v="2"/>
    <x v="0"/>
    <x v="7"/>
    <x v="39"/>
    <s v="PAY MJ ASB ;"/>
    <n v="-4.49"/>
    <x v="1"/>
    <x v="24"/>
    <x v="1"/>
  </r>
  <r>
    <x v="2"/>
    <x v="0"/>
    <x v="7"/>
    <x v="40"/>
    <s v="Salary KIWIBANK FORTNIGHT ;"/>
    <n v="2772.66"/>
    <x v="11"/>
    <x v="22"/>
    <x v="38"/>
  </r>
  <r>
    <x v="2"/>
    <x v="0"/>
    <x v="7"/>
    <x v="40"/>
    <s v="Direct Credit MJ ASB MR S M ALAVI ;Ref: MJ ASB MR S M ALAVI"/>
    <n v="1004.96"/>
    <x v="1"/>
    <x v="24"/>
    <x v="1"/>
  </r>
  <r>
    <x v="2"/>
    <x v="0"/>
    <x v="7"/>
    <x v="40"/>
    <s v="PAY ANZ MJ ;rate council"/>
    <n v="-1013.04"/>
    <x v="1"/>
    <x v="24"/>
    <x v="1"/>
  </r>
  <r>
    <x v="2"/>
    <x v="0"/>
    <x v="7"/>
    <x v="40"/>
    <s v="AP#18696077 TO HSBC ;HSBC 5B-Cleary"/>
    <n v="-2392"/>
    <x v="1"/>
    <x v="24"/>
    <x v="1"/>
  </r>
  <r>
    <x v="2"/>
    <x v="0"/>
    <x v="7"/>
    <x v="271"/>
    <s v="TRANSFER TO S TAEBI - 01 ;"/>
    <n v="-1160.74"/>
    <x v="1"/>
    <x v="24"/>
    <x v="1"/>
  </r>
  <r>
    <x v="2"/>
    <x v="0"/>
    <x v="7"/>
    <x v="41"/>
    <s v="TRANSFER FROM S TAEBI - 01 ;"/>
    <n v="89.88"/>
    <x v="1"/>
    <x v="24"/>
    <x v="1"/>
  </r>
  <r>
    <x v="2"/>
    <x v="0"/>
    <x v="7"/>
    <x v="41"/>
    <s v="TRF 4833481054851016 ;"/>
    <n v="-137.38"/>
    <x v="1"/>
    <x v="24"/>
    <x v="1"/>
  </r>
  <r>
    <x v="2"/>
    <x v="0"/>
    <x v="7"/>
    <x v="41"/>
    <s v="Direct Debit -SOUTHERN CROSS MEDICAL CARE SOCIETY ;Ref: 23284297 000 030050831"/>
    <n v="-14.6"/>
    <x v="8"/>
    <x v="25"/>
    <x v="39"/>
  </r>
  <r>
    <x v="2"/>
    <x v="0"/>
    <x v="7"/>
    <x v="42"/>
    <s v="Direct Credit rates MJ ASB MR S M ALAVI ;Ref: rates MJ ASB MR S M ALAVI"/>
    <n v="2073.63"/>
    <x v="1"/>
    <x v="24"/>
    <x v="1"/>
  </r>
  <r>
    <x v="2"/>
    <x v="0"/>
    <x v="7"/>
    <x v="42"/>
    <s v="TRF 4833481054851016 ;"/>
    <n v="-2955.52"/>
    <x v="1"/>
    <x v="24"/>
    <x v="1"/>
  </r>
  <r>
    <x v="2"/>
    <x v="0"/>
    <x v="7"/>
    <x v="42"/>
    <s v="TRANSFER FROM S TAEBI - 01 ;"/>
    <n v="107.46"/>
    <x v="1"/>
    <x v="24"/>
    <x v="1"/>
  </r>
  <r>
    <x v="2"/>
    <x v="0"/>
    <x v="7"/>
    <x v="42"/>
    <s v="TRF 4833481054851016 ;"/>
    <n v="-26.17"/>
    <x v="1"/>
    <x v="24"/>
    <x v="1"/>
  </r>
  <r>
    <x v="2"/>
    <x v="0"/>
    <x v="7"/>
    <x v="43"/>
    <s v="TRANSFER FROM S TAEBI - 01 ;"/>
    <n v="2309.4699999999998"/>
    <x v="1"/>
    <x v="24"/>
    <x v="1"/>
  </r>
  <r>
    <x v="2"/>
    <x v="0"/>
    <x v="7"/>
    <x v="43"/>
    <s v="TRF 4833481054851016 ;"/>
    <n v="-101.8"/>
    <x v="1"/>
    <x v="24"/>
    <x v="1"/>
  </r>
  <r>
    <x v="2"/>
    <x v="0"/>
    <x v="7"/>
    <x v="43"/>
    <s v="Bill Payment MJ ANZ ALAVI SEYED M ;Ref: MJ ANZ ALAVI SEYED M"/>
    <n v="324.29000000000002"/>
    <x v="1"/>
    <x v="24"/>
    <x v="1"/>
  </r>
  <r>
    <x v="2"/>
    <x v="0"/>
    <x v="7"/>
    <x v="586"/>
    <s v="TRANSFER FROM S TAEBI - 01 ;"/>
    <n v="283.72000000000003"/>
    <x v="1"/>
    <x v="24"/>
    <x v="1"/>
  </r>
  <r>
    <x v="2"/>
    <x v="0"/>
    <x v="7"/>
    <x v="586"/>
    <s v="TRF 4833481054851016 ;"/>
    <n v="-82.72"/>
    <x v="1"/>
    <x v="24"/>
    <x v="1"/>
  </r>
  <r>
    <x v="2"/>
    <x v="0"/>
    <x v="7"/>
    <x v="586"/>
    <s v="AP#18495353 TO S TAEBI  S M ALAVI ;Transfer to S TAEBI  S M ALAVI - 06"/>
    <n v="-1426.31"/>
    <x v="1"/>
    <x v="24"/>
    <x v="1"/>
  </r>
  <r>
    <x v="2"/>
    <x v="0"/>
    <x v="7"/>
    <x v="586"/>
    <s v="AP#18495354 TO S TAEBI  S M ALAVI ;Transfer to S TAEBI  S M ALAVI - 07"/>
    <n v="-741.94"/>
    <x v="1"/>
    <x v="24"/>
    <x v="1"/>
  </r>
  <r>
    <x v="2"/>
    <x v="0"/>
    <x v="7"/>
    <x v="586"/>
    <s v="AP#20595693 TO S TAEBI  S M ALAVI ;Transfer to S TAEBI  S M ALAVI - 08"/>
    <n v="-9.5299999999999994"/>
    <x v="1"/>
    <x v="24"/>
    <x v="1"/>
  </r>
  <r>
    <x v="2"/>
    <x v="0"/>
    <x v="7"/>
    <x v="587"/>
    <s v="TRANSFER FROM S TAEBI - 01 ;"/>
    <n v="72.89"/>
    <x v="1"/>
    <x v="24"/>
    <x v="1"/>
  </r>
  <r>
    <x v="2"/>
    <x v="0"/>
    <x v="7"/>
    <x v="587"/>
    <s v="TRF 4833481054851016 ;"/>
    <n v="-67.67"/>
    <x v="1"/>
    <x v="24"/>
    <x v="1"/>
  </r>
  <r>
    <x v="2"/>
    <x v="0"/>
    <x v="7"/>
    <x v="587"/>
    <s v="TRF 4833481054851016 ;"/>
    <n v="-3.45"/>
    <x v="1"/>
    <x v="24"/>
    <x v="1"/>
  </r>
  <r>
    <x v="2"/>
    <x v="0"/>
    <x v="7"/>
    <x v="48"/>
    <s v="AP#18696077 TO HSBC ;HSBC 5B-Cleary"/>
    <n v="-957.39"/>
    <x v="1"/>
    <x v="24"/>
    <x v="1"/>
  </r>
  <r>
    <x v="2"/>
    <x v="0"/>
    <x v="7"/>
    <x v="48"/>
    <s v="Salary KIWIBANK FORTNIGHT ;"/>
    <n v="1262.5"/>
    <x v="11"/>
    <x v="22"/>
    <x v="38"/>
  </r>
  <r>
    <x v="2"/>
    <x v="0"/>
    <x v="7"/>
    <x v="48"/>
    <s v="TRF 4833481054851016 ;"/>
    <n v="-11.3"/>
    <x v="1"/>
    <x v="24"/>
    <x v="1"/>
  </r>
  <r>
    <x v="2"/>
    <x v="0"/>
    <x v="7"/>
    <x v="48"/>
    <s v="Bill Payment MJ ANZ ALAVI SEYED M ;Ref: MJ ANZ ALAVI SEYED M"/>
    <n v="437.17"/>
    <x v="1"/>
    <x v="24"/>
    <x v="1"/>
  </r>
  <r>
    <x v="2"/>
    <x v="0"/>
    <x v="7"/>
    <x v="48"/>
    <s v="Direct Credit MJ ASB MR S M ALAVI ;Ref: MJ ASB MR S M ALAVI"/>
    <n v="1697.19"/>
    <x v="1"/>
    <x v="24"/>
    <x v="1"/>
  </r>
  <r>
    <x v="2"/>
    <x v="0"/>
    <x v="7"/>
    <x v="49"/>
    <s v="Direct Credit Pckg RefundCS3405206 Kiwibank B C CONTINGENCY ACCO ;Ref: Pckg RefundCS3405206 Kiwibank B C CONTINGENCY ACCO"/>
    <n v="73.42"/>
    <x v="13"/>
    <x v="24"/>
    <x v="42"/>
  </r>
  <r>
    <x v="2"/>
    <x v="0"/>
    <x v="7"/>
    <x v="49"/>
    <s v="TRF 4833481054851016 ;"/>
    <n v="-5.98"/>
    <x v="1"/>
    <x v="24"/>
    <x v="42"/>
  </r>
  <r>
    <x v="2"/>
    <x v="0"/>
    <x v="7"/>
    <x v="50"/>
    <s v="TRF 4833481054851016 ;"/>
    <n v="-0.12"/>
    <x v="1"/>
    <x v="24"/>
    <x v="42"/>
  </r>
  <r>
    <x v="2"/>
    <x v="0"/>
    <x v="7"/>
    <x v="50"/>
    <s v="TRF 4833481054851016 ;"/>
    <n v="-8.81"/>
    <x v="1"/>
    <x v="24"/>
    <x v="42"/>
  </r>
  <r>
    <x v="2"/>
    <x v="0"/>
    <x v="7"/>
    <x v="50"/>
    <s v="Direct Debit -SOUTHERN CROSS MEDICAL CARE SOCIETY ;Ref: 23284297 000 030184860"/>
    <n v="-19.010000000000002"/>
    <x v="8"/>
    <x v="25"/>
    <x v="42"/>
  </r>
  <r>
    <x v="2"/>
    <x v="0"/>
    <x v="7"/>
    <x v="588"/>
    <s v="TRF 4833481054851016 ;"/>
    <n v="-27.89"/>
    <x v="1"/>
    <x v="24"/>
    <x v="42"/>
  </r>
  <r>
    <x v="2"/>
    <x v="0"/>
    <x v="7"/>
    <x v="53"/>
    <s v="TRF 4833481054851016 ;"/>
    <n v="-99.68"/>
    <x v="1"/>
    <x v="24"/>
    <x v="42"/>
  </r>
  <r>
    <x v="2"/>
    <x v="0"/>
    <x v="7"/>
    <x v="53"/>
    <s v="Bill Payment MJ ANZ ALAVI SEYED M ;Ref: MJ ANZ ALAVI SEYED M"/>
    <n v="411.34"/>
    <x v="1"/>
    <x v="24"/>
    <x v="42"/>
  </r>
  <r>
    <x v="2"/>
    <x v="0"/>
    <x v="7"/>
    <x v="520"/>
    <s v="TRF 4833481054851016 ;"/>
    <n v="-20.98"/>
    <x v="1"/>
    <x v="24"/>
    <x v="42"/>
  </r>
  <r>
    <x v="2"/>
    <x v="0"/>
    <x v="7"/>
    <x v="589"/>
    <s v="AP#18495353 TO S TAEBI  S M ALAVI ;Transfer to S TAEBI  S M ALAVI - 06"/>
    <n v="-944.8"/>
    <x v="1"/>
    <x v="24"/>
    <x v="42"/>
  </r>
  <r>
    <x v="2"/>
    <x v="0"/>
    <x v="7"/>
    <x v="589"/>
    <s v="AP#18495354 TO S TAEBI  S M ALAVI ;Transfer to S TAEBI  S M ALAVI - 07"/>
    <n v="-22.59"/>
    <x v="1"/>
    <x v="24"/>
    <x v="42"/>
  </r>
  <r>
    <x v="2"/>
    <x v="0"/>
    <x v="7"/>
    <x v="589"/>
    <s v="AP#20595693 TO S TAEBI  S M ALAVI ;Transfer to S TAEBI  S M ALAVI - 08"/>
    <n v="-84.32"/>
    <x v="1"/>
    <x v="24"/>
    <x v="42"/>
  </r>
  <r>
    <x v="2"/>
    <x v="0"/>
    <x v="7"/>
    <x v="590"/>
    <s v="Spotify P23BCFC316 Stockholm ;"/>
    <n v="-12.62"/>
    <x v="7"/>
    <x v="26"/>
    <x v="42"/>
  </r>
  <r>
    <x v="2"/>
    <x v="0"/>
    <x v="7"/>
    <x v="55"/>
    <s v="TRF 4833481054851016 ;"/>
    <n v="-452.6"/>
    <x v="1"/>
    <x v="24"/>
    <x v="42"/>
  </r>
  <r>
    <x v="2"/>
    <x v="0"/>
    <x v="7"/>
    <x v="56"/>
    <s v="AP#18696077 TO HSBC ;HSBC 5B-Cleary"/>
    <n v="-2108.81"/>
    <x v="1"/>
    <x v="24"/>
    <x v="42"/>
  </r>
  <r>
    <x v="2"/>
    <x v="0"/>
    <x v="7"/>
    <x v="56"/>
    <s v="Salary KIWIBANK FORTNIGHT ;"/>
    <n v="453.71"/>
    <x v="11"/>
    <x v="22"/>
    <x v="42"/>
  </r>
  <r>
    <x v="2"/>
    <x v="0"/>
    <x v="7"/>
    <x v="56"/>
    <s v="Bill Payment MJ ANZ ALAVI SEYED M ;Ref: MJ ANZ ALAVI SEYED M"/>
    <n v="1168.8499999999999"/>
    <x v="1"/>
    <x v="24"/>
    <x v="42"/>
  </r>
  <r>
    <x v="2"/>
    <x v="0"/>
    <x v="7"/>
    <x v="56"/>
    <s v="Direct Credit MJ ASB MR S M ALAVI ;Ref: MJ ASB MR S M ALAVI"/>
    <n v="2764.8"/>
    <x v="1"/>
    <x v="24"/>
    <x v="42"/>
  </r>
  <r>
    <x v="2"/>
    <x v="0"/>
    <x v="7"/>
    <x v="56"/>
    <s v="TRANSFER TO S TAEBI - 01 ;"/>
    <n v="-885.75"/>
    <x v="1"/>
    <x v="24"/>
    <x v="1"/>
  </r>
  <r>
    <x v="2"/>
    <x v="0"/>
    <x v="7"/>
    <x v="591"/>
    <s v="TRF 4833481054851016 ;"/>
    <n v="-23.07"/>
    <x v="1"/>
    <x v="24"/>
    <x v="1"/>
  </r>
  <r>
    <x v="2"/>
    <x v="0"/>
    <x v="7"/>
    <x v="591"/>
    <s v="Direct Debit -SOUTHERN CROSS MEDICAL CARE SOCIETY ;Ref: 23284297 000 030318383"/>
    <n v="-24.9"/>
    <x v="8"/>
    <x v="25"/>
    <x v="39"/>
  </r>
  <r>
    <x v="2"/>
    <x v="0"/>
    <x v="7"/>
    <x v="57"/>
    <s v="TRF 4833481054851016 ;"/>
    <n v="-1.6"/>
    <x v="1"/>
    <x v="24"/>
    <x v="1"/>
  </r>
  <r>
    <x v="2"/>
    <x v="0"/>
    <x v="7"/>
    <x v="59"/>
    <s v="TRF 4833481054851016 ;"/>
    <n v="-10.97"/>
    <x v="1"/>
    <x v="24"/>
    <x v="1"/>
  </r>
  <r>
    <x v="2"/>
    <x v="0"/>
    <x v="7"/>
    <x v="60"/>
    <s v="TRF 4833481054851016 ;"/>
    <n v="-248.23"/>
    <x v="1"/>
    <x v="24"/>
    <x v="1"/>
  </r>
  <r>
    <x v="2"/>
    <x v="0"/>
    <x v="7"/>
    <x v="60"/>
    <s v="TRF 4833481054851016 ;"/>
    <n v="-9.75"/>
    <x v="1"/>
    <x v="24"/>
    <x v="1"/>
  </r>
  <r>
    <x v="2"/>
    <x v="0"/>
    <x v="7"/>
    <x v="61"/>
    <s v="Bill Payment MJ ANZ ALAVI SEYED M ;Ref: MJ ANZ ALAVI SEYED M"/>
    <n v="103.23"/>
    <x v="1"/>
    <x v="24"/>
    <x v="1"/>
  </r>
  <r>
    <x v="2"/>
    <x v="0"/>
    <x v="7"/>
    <x v="61"/>
    <s v="TRANSFER TO S TAEBI - 01 ;"/>
    <n v="-283.8"/>
    <x v="1"/>
    <x v="24"/>
    <x v="1"/>
  </r>
  <r>
    <x v="2"/>
    <x v="0"/>
    <x v="7"/>
    <x v="508"/>
    <s v="TRF 4833481054851016 ;"/>
    <n v="-16.39"/>
    <x v="1"/>
    <x v="24"/>
    <x v="1"/>
  </r>
  <r>
    <x v="2"/>
    <x v="0"/>
    <x v="7"/>
    <x v="592"/>
    <s v="TRANSFER FROM S TAEBI - 01 ;"/>
    <n v="2481.6"/>
    <x v="1"/>
    <x v="24"/>
    <x v="1"/>
  </r>
  <r>
    <x v="2"/>
    <x v="0"/>
    <x v="7"/>
    <x v="592"/>
    <s v="TRF 4833481054851016 ;"/>
    <n v="-2062.7800000000002"/>
    <x v="1"/>
    <x v="24"/>
    <x v="1"/>
  </r>
  <r>
    <x v="2"/>
    <x v="0"/>
    <x v="7"/>
    <x v="592"/>
    <s v="AP#18495353 TO S TAEBI  S M ALAVI ;Transfer to S TAEBI  S M ALAVI - 06"/>
    <n v="-1329.26"/>
    <x v="1"/>
    <x v="24"/>
    <x v="1"/>
  </r>
  <r>
    <x v="2"/>
    <x v="0"/>
    <x v="7"/>
    <x v="592"/>
    <s v="AP#18495354 TO S TAEBI  S M ALAVI ;Transfer to S TAEBI  S M ALAVI - 07"/>
    <n v="-1902.37"/>
    <x v="1"/>
    <x v="24"/>
    <x v="1"/>
  </r>
  <r>
    <x v="2"/>
    <x v="0"/>
    <x v="7"/>
    <x v="592"/>
    <s v="AP#20595693 TO S TAEBI  S M ALAVI ;Transfer to S TAEBI  S M ALAVI - 08"/>
    <n v="-162.83000000000001"/>
    <x v="1"/>
    <x v="24"/>
    <x v="1"/>
  </r>
  <r>
    <x v="2"/>
    <x v="0"/>
    <x v="7"/>
    <x v="62"/>
    <s v="TRF 4833481054851016 ;"/>
    <n v="-0.28999999999999998"/>
    <x v="1"/>
    <x v="24"/>
    <x v="1"/>
  </r>
  <r>
    <x v="2"/>
    <x v="0"/>
    <x v="7"/>
    <x v="62"/>
    <s v="TRANSFER TO S TAEBI - 01 ;"/>
    <n v="-186.87"/>
    <x v="1"/>
    <x v="24"/>
    <x v="1"/>
  </r>
  <r>
    <x v="2"/>
    <x v="0"/>
    <x v="7"/>
    <x v="62"/>
    <s v="TRANSFER FROM S TAEBI - 01 ;"/>
    <n v="515.57000000000005"/>
    <x v="1"/>
    <x v="24"/>
    <x v="1"/>
  </r>
  <r>
    <x v="2"/>
    <x v="0"/>
    <x v="7"/>
    <x v="62"/>
    <s v="TRF 4833481054851016 ;"/>
    <n v="-94.36"/>
    <x v="1"/>
    <x v="24"/>
    <x v="1"/>
  </r>
  <r>
    <x v="2"/>
    <x v="0"/>
    <x v="7"/>
    <x v="273"/>
    <s v="TRF 4833481054851016 ;"/>
    <n v="-74.88"/>
    <x v="1"/>
    <x v="24"/>
    <x v="1"/>
  </r>
  <r>
    <x v="2"/>
    <x v="0"/>
    <x v="7"/>
    <x v="593"/>
    <s v="TRF 4833481054851016 ;"/>
    <n v="-79.2"/>
    <x v="1"/>
    <x v="24"/>
    <x v="1"/>
  </r>
  <r>
    <x v="2"/>
    <x v="0"/>
    <x v="7"/>
    <x v="593"/>
    <s v="TRF 4833481054851016 ;"/>
    <n v="-7.27"/>
    <x v="1"/>
    <x v="24"/>
    <x v="1"/>
  </r>
  <r>
    <x v="2"/>
    <x v="0"/>
    <x v="7"/>
    <x v="64"/>
    <s v="Salary KIWIBANK FORTNIGHT ;"/>
    <n v="3875.59"/>
    <x v="11"/>
    <x v="22"/>
    <x v="38"/>
  </r>
  <r>
    <x v="2"/>
    <x v="0"/>
    <x v="7"/>
    <x v="64"/>
    <s v="Direct Credit MJ ASB MR S M ALAVI ;Ref: MJ ASB MR S M ALAVI"/>
    <n v="1348.83"/>
    <x v="1"/>
    <x v="24"/>
    <x v="1"/>
  </r>
  <r>
    <x v="2"/>
    <x v="0"/>
    <x v="7"/>
    <x v="64"/>
    <s v="Bill Payment MJ ANZ ALAVI SEYED M ;Ref: MJ ANZ ALAVI SEYED M"/>
    <n v="164.95"/>
    <x v="1"/>
    <x v="24"/>
    <x v="1"/>
  </r>
  <r>
    <x v="2"/>
    <x v="0"/>
    <x v="7"/>
    <x v="64"/>
    <s v="AP#18696077 TO HSBC ;HSBC 5B-Cleary"/>
    <n v="-2203.39"/>
    <x v="1"/>
    <x v="24"/>
    <x v="1"/>
  </r>
  <r>
    <x v="2"/>
    <x v="0"/>
    <x v="7"/>
    <x v="64"/>
    <s v="TRF 4833481054851016 ;"/>
    <n v="-60.55"/>
    <x v="1"/>
    <x v="24"/>
    <x v="1"/>
  </r>
  <r>
    <x v="2"/>
    <x v="0"/>
    <x v="7"/>
    <x v="64"/>
    <s v="TRANSFER TO S TAEBI - 01 ;"/>
    <n v="-111.72"/>
    <x v="1"/>
    <x v="24"/>
    <x v="1"/>
  </r>
  <r>
    <x v="2"/>
    <x v="0"/>
    <x v="7"/>
    <x v="64"/>
    <s v="TRANSFER TO S TAEBI - 01 ;"/>
    <n v="-3849.36"/>
    <x v="1"/>
    <x v="24"/>
    <x v="1"/>
  </r>
  <r>
    <x v="2"/>
    <x v="0"/>
    <x v="7"/>
    <x v="65"/>
    <s v="TRF 4833481054851016 ;"/>
    <n v="-37.619999999999997"/>
    <x v="1"/>
    <x v="24"/>
    <x v="1"/>
  </r>
  <r>
    <x v="2"/>
    <x v="0"/>
    <x v="7"/>
    <x v="65"/>
    <s v="TRF 4833481054851016 ;"/>
    <n v="-2.34"/>
    <x v="1"/>
    <x v="24"/>
    <x v="1"/>
  </r>
  <r>
    <x v="2"/>
    <x v="0"/>
    <x v="7"/>
    <x v="66"/>
    <s v="TRF 4833481054851016 ;"/>
    <n v="-27.8"/>
    <x v="1"/>
    <x v="24"/>
    <x v="1"/>
  </r>
  <r>
    <x v="2"/>
    <x v="0"/>
    <x v="7"/>
    <x v="66"/>
    <s v="Direct Debit -SOUTHERN CROSS MEDICAL CARE SOCIETY ;Ref: 23284297 000 030453529"/>
    <n v="-7.06"/>
    <x v="8"/>
    <x v="25"/>
    <x v="39"/>
  </r>
  <r>
    <x v="2"/>
    <x v="0"/>
    <x v="7"/>
    <x v="67"/>
    <s v="TRF 4833481054851016 ;"/>
    <n v="-64.73"/>
    <x v="1"/>
    <x v="24"/>
    <x v="1"/>
  </r>
  <r>
    <x v="2"/>
    <x v="0"/>
    <x v="7"/>
    <x v="69"/>
    <s v="Bill Payment MJ ANZ ALAVI SEYED M ;Ref: MJ ANZ ALAVI SEYED M"/>
    <n v="74.06"/>
    <x v="1"/>
    <x v="24"/>
    <x v="1"/>
  </r>
  <r>
    <x v="2"/>
    <x v="0"/>
    <x v="7"/>
    <x v="69"/>
    <s v="TRANSFER FROM S TAEBI - 01 ;"/>
    <n v="450.42"/>
    <x v="1"/>
    <x v="24"/>
    <x v="1"/>
  </r>
  <r>
    <x v="2"/>
    <x v="0"/>
    <x v="7"/>
    <x v="69"/>
    <s v="TRF 4833481054851016 ;"/>
    <n v="-12.13"/>
    <x v="1"/>
    <x v="24"/>
    <x v="1"/>
  </r>
  <r>
    <x v="2"/>
    <x v="0"/>
    <x v="7"/>
    <x v="69"/>
    <s v="TRANSFER FROM S TAEBI - 01 ;"/>
    <n v="960.21"/>
    <x v="1"/>
    <x v="24"/>
    <x v="1"/>
  </r>
  <r>
    <x v="2"/>
    <x v="0"/>
    <x v="7"/>
    <x v="69"/>
    <s v="PAY MJ ASB ;"/>
    <n v="-1928.76"/>
    <x v="1"/>
    <x v="24"/>
    <x v="1"/>
  </r>
  <r>
    <x v="2"/>
    <x v="0"/>
    <x v="7"/>
    <x v="70"/>
    <s v="TRF 4833481054851016 ;"/>
    <n v="-2.98"/>
    <x v="1"/>
    <x v="24"/>
    <x v="1"/>
  </r>
  <r>
    <x v="2"/>
    <x v="0"/>
    <x v="7"/>
    <x v="594"/>
    <s v="TRF 4833481054851016 ;"/>
    <n v="-78.38"/>
    <x v="1"/>
    <x v="24"/>
    <x v="1"/>
  </r>
  <r>
    <x v="2"/>
    <x v="0"/>
    <x v="7"/>
    <x v="594"/>
    <s v="AP#18495353 TO S TAEBI  S M ALAVI ;Transfer to S TAEBI  S M ALAVI - 06"/>
    <n v="-1740.44"/>
    <x v="1"/>
    <x v="24"/>
    <x v="1"/>
  </r>
  <r>
    <x v="2"/>
    <x v="0"/>
    <x v="7"/>
    <x v="594"/>
    <s v="AP#18495354 TO S TAEBI  S M ALAVI ;Transfer to S TAEBI  S M ALAVI - 07"/>
    <n v="-840.37"/>
    <x v="1"/>
    <x v="24"/>
    <x v="1"/>
  </r>
  <r>
    <x v="2"/>
    <x v="0"/>
    <x v="7"/>
    <x v="594"/>
    <s v="AP#20595693 TO S TAEBI  S M ALAVI ;Transfer to S TAEBI  S M ALAVI - 08"/>
    <n v="-94.22"/>
    <x v="1"/>
    <x v="24"/>
    <x v="1"/>
  </r>
  <r>
    <x v="2"/>
    <x v="0"/>
    <x v="7"/>
    <x v="595"/>
    <s v="TRANSFER FROM S TAEBI - 01 ;"/>
    <n v="199.36"/>
    <x v="1"/>
    <x v="24"/>
    <x v="1"/>
  </r>
  <r>
    <x v="2"/>
    <x v="0"/>
    <x v="7"/>
    <x v="595"/>
    <s v="TRF 4833481054851016 ;"/>
    <n v="-60.94"/>
    <x v="1"/>
    <x v="24"/>
    <x v="1"/>
  </r>
  <r>
    <x v="2"/>
    <x v="0"/>
    <x v="7"/>
    <x v="595"/>
    <s v="TRF 4833481054851016 ;"/>
    <n v="-1.1399999999999999"/>
    <x v="1"/>
    <x v="24"/>
    <x v="1"/>
  </r>
  <r>
    <x v="2"/>
    <x v="0"/>
    <x v="7"/>
    <x v="595"/>
    <s v="TRF 4833481054851016 ;"/>
    <n v="-81.650000000000006"/>
    <x v="1"/>
    <x v="24"/>
    <x v="1"/>
  </r>
  <r>
    <x v="2"/>
    <x v="0"/>
    <x v="7"/>
    <x v="72"/>
    <s v="Spotify P245E5BD94 Stockholm ;"/>
    <n v="-10.42"/>
    <x v="7"/>
    <x v="26"/>
    <x v="40"/>
  </r>
  <r>
    <x v="2"/>
    <x v="0"/>
    <x v="7"/>
    <x v="74"/>
    <s v="Salary KIWIBANK FORTNIGHT ;"/>
    <n v="5131.87"/>
    <x v="11"/>
    <x v="22"/>
    <x v="38"/>
  </r>
  <r>
    <x v="2"/>
    <x v="0"/>
    <x v="7"/>
    <x v="74"/>
    <s v="TRANSFER TO S TAEBI - 01 ;"/>
    <n v="-5205.41"/>
    <x v="1"/>
    <x v="24"/>
    <x v="1"/>
  </r>
  <r>
    <x v="2"/>
    <x v="0"/>
    <x v="7"/>
    <x v="74"/>
    <s v="Bill Payment MJ ANZ ALAVI SEYED M ;Ref: MJ ANZ ALAVI SEYED M"/>
    <n v="969.99"/>
    <x v="1"/>
    <x v="24"/>
    <x v="1"/>
  </r>
  <r>
    <x v="2"/>
    <x v="0"/>
    <x v="7"/>
    <x v="74"/>
    <s v="Direct Credit MJ ASB MR S M ALAVI ;Ref: MJ ASB MR S M ALAVI"/>
    <n v="144.80000000000001"/>
    <x v="1"/>
    <x v="24"/>
    <x v="1"/>
  </r>
  <r>
    <x v="2"/>
    <x v="0"/>
    <x v="7"/>
    <x v="74"/>
    <s v="TRANSFER TO S TAEBI - 01 ;"/>
    <n v="-1211.26"/>
    <x v="1"/>
    <x v="24"/>
    <x v="1"/>
  </r>
  <r>
    <x v="2"/>
    <x v="0"/>
    <x v="7"/>
    <x v="74"/>
    <s v="TRF 4833481054851016 ;"/>
    <n v="-97.66"/>
    <x v="1"/>
    <x v="24"/>
    <x v="1"/>
  </r>
  <r>
    <x v="2"/>
    <x v="0"/>
    <x v="7"/>
    <x v="74"/>
    <s v="AP#18696077 TO HSBC ;HSBC 5B-Cleary"/>
    <n v="-2152.29"/>
    <x v="1"/>
    <x v="24"/>
    <x v="1"/>
  </r>
  <r>
    <x v="2"/>
    <x v="0"/>
    <x v="7"/>
    <x v="75"/>
    <s v="TRANSFER FROM S TAEBI - 01 ;"/>
    <n v="195.22"/>
    <x v="1"/>
    <x v="24"/>
    <x v="1"/>
  </r>
  <r>
    <x v="2"/>
    <x v="0"/>
    <x v="7"/>
    <x v="75"/>
    <s v="TRF 4833481054851016 ;"/>
    <n v="-17.989999999999998"/>
    <x v="1"/>
    <x v="24"/>
    <x v="1"/>
  </r>
  <r>
    <x v="2"/>
    <x v="0"/>
    <x v="7"/>
    <x v="75"/>
    <s v="TRF 4833481054851016 ;"/>
    <n v="-10.23"/>
    <x v="1"/>
    <x v="24"/>
    <x v="1"/>
  </r>
  <r>
    <x v="2"/>
    <x v="0"/>
    <x v="7"/>
    <x v="76"/>
    <s v="TRF 4833481054851016 ;"/>
    <n v="-13.21"/>
    <x v="1"/>
    <x v="24"/>
    <x v="1"/>
  </r>
  <r>
    <x v="2"/>
    <x v="0"/>
    <x v="7"/>
    <x v="76"/>
    <s v="Spotify P245E5BD94 Stockholm ;"/>
    <n v="22.25"/>
    <x v="7"/>
    <x v="26"/>
    <x v="40"/>
  </r>
  <r>
    <x v="2"/>
    <x v="0"/>
    <x v="7"/>
    <x v="76"/>
    <s v="Direct Debit -SOUTHERN CROSS MEDICAL CARE SOCIETY ;Ref: 23284297 000 030584168"/>
    <n v="-25.23"/>
    <x v="8"/>
    <x v="25"/>
    <x v="39"/>
  </r>
  <r>
    <x v="2"/>
    <x v="0"/>
    <x v="7"/>
    <x v="77"/>
    <s v="TRF 4833481054851016 ;"/>
    <n v="-14.05"/>
    <x v="1"/>
    <x v="24"/>
    <x v="1"/>
  </r>
  <r>
    <x v="2"/>
    <x v="0"/>
    <x v="7"/>
    <x v="77"/>
    <s v="Direct Credit MJ ASB MR S M ALAVI ;Ref: MJ ASB MR S M ALAVI"/>
    <n v="218.05"/>
    <x v="1"/>
    <x v="24"/>
    <x v="1"/>
  </r>
  <r>
    <x v="2"/>
    <x v="0"/>
    <x v="7"/>
    <x v="77"/>
    <s v="TRF 4833481054851016 ;"/>
    <n v="-23.68"/>
    <x v="1"/>
    <x v="24"/>
    <x v="1"/>
  </r>
  <r>
    <x v="2"/>
    <x v="0"/>
    <x v="7"/>
    <x v="78"/>
    <s v="TRF 4833481054851016 ;"/>
    <n v="-4.91"/>
    <x v="1"/>
    <x v="24"/>
    <x v="1"/>
  </r>
  <r>
    <x v="2"/>
    <x v="0"/>
    <x v="7"/>
    <x v="79"/>
    <s v="TRANSFER FROM S TAEBI - 01 ;"/>
    <n v="1800.03"/>
    <x v="1"/>
    <x v="24"/>
    <x v="1"/>
  </r>
  <r>
    <x v="2"/>
    <x v="0"/>
    <x v="7"/>
    <x v="79"/>
    <s v="TRF 4833481054851016 ;"/>
    <n v="-179.67"/>
    <x v="1"/>
    <x v="24"/>
    <x v="1"/>
  </r>
  <r>
    <x v="2"/>
    <x v="0"/>
    <x v="7"/>
    <x v="79"/>
    <s v="Bill Payment MJ ANZ ALAVI SEYED M ;Ref: MJ ANZ ALAVI SEYED M"/>
    <n v="151.62"/>
    <x v="1"/>
    <x v="24"/>
    <x v="1"/>
  </r>
  <r>
    <x v="2"/>
    <x v="0"/>
    <x v="7"/>
    <x v="80"/>
    <s v="TRF 4833481054851016 ;"/>
    <n v="-14.25"/>
    <x v="1"/>
    <x v="24"/>
    <x v="1"/>
  </r>
  <r>
    <x v="2"/>
    <x v="0"/>
    <x v="7"/>
    <x v="596"/>
    <s v="AP#18495353 TO S TAEBI  S M ALAVI ;Transfer to S TAEBI  S M ALAVI - 06"/>
    <n v="-530.54"/>
    <x v="1"/>
    <x v="24"/>
    <x v="1"/>
  </r>
  <r>
    <x v="2"/>
    <x v="0"/>
    <x v="7"/>
    <x v="596"/>
    <s v="AP#18495354 TO S TAEBI  S M ALAVI ;Transfer to S TAEBI  S M ALAVI - 07"/>
    <n v="-68.64"/>
    <x v="1"/>
    <x v="24"/>
    <x v="1"/>
  </r>
  <r>
    <x v="2"/>
    <x v="0"/>
    <x v="7"/>
    <x v="596"/>
    <s v="AP#20595693 TO S TAEBI  S M ALAVI ;Transfer to S TAEBI  S M ALAVI - 08"/>
    <n v="-539.92999999999995"/>
    <x v="1"/>
    <x v="24"/>
    <x v="1"/>
  </r>
  <r>
    <x v="2"/>
    <x v="0"/>
    <x v="7"/>
    <x v="275"/>
    <s v="TRF 4833481054851016 ;"/>
    <n v="-8.2899999999999991"/>
    <x v="1"/>
    <x v="24"/>
    <x v="1"/>
  </r>
  <r>
    <x v="2"/>
    <x v="0"/>
    <x v="7"/>
    <x v="275"/>
    <s v="TRF 4833481054851016 ;"/>
    <n v="-33.119999999999997"/>
    <x v="1"/>
    <x v="24"/>
    <x v="1"/>
  </r>
  <r>
    <x v="2"/>
    <x v="0"/>
    <x v="7"/>
    <x v="81"/>
    <s v="TRF 4833481054851016 ;"/>
    <n v="-10.68"/>
    <x v="1"/>
    <x v="24"/>
    <x v="1"/>
  </r>
  <r>
    <x v="2"/>
    <x v="0"/>
    <x v="7"/>
    <x v="597"/>
    <s v="INTEREST DEBIT ;"/>
    <n v="-0.5"/>
    <x v="5"/>
    <x v="7"/>
    <x v="7"/>
  </r>
  <r>
    <x v="2"/>
    <x v="0"/>
    <x v="7"/>
    <x v="597"/>
    <s v="ACCOUNT OUT OF ORDER FEE ;"/>
    <n v="-2.2000000000000002"/>
    <x v="5"/>
    <x v="7"/>
    <x v="7"/>
  </r>
  <r>
    <x v="2"/>
    <x v="0"/>
    <x v="7"/>
    <x v="82"/>
    <s v="Salary KIWIBANK FORTNIGHT ;"/>
    <n v="3762.17"/>
    <x v="11"/>
    <x v="22"/>
    <x v="38"/>
  </r>
  <r>
    <x v="2"/>
    <x v="0"/>
    <x v="7"/>
    <x v="82"/>
    <s v="Bill Payment MJ ANZ ALAVI SEYED M ;Ref: MJ ANZ ALAVI SEYED M"/>
    <n v="116.27"/>
    <x v="1"/>
    <x v="24"/>
    <x v="1"/>
  </r>
  <r>
    <x v="2"/>
    <x v="0"/>
    <x v="7"/>
    <x v="82"/>
    <s v="TRANSFER TO S TAEBI - 01 ;"/>
    <n v="-435.67"/>
    <x v="1"/>
    <x v="24"/>
    <x v="1"/>
  </r>
  <r>
    <x v="2"/>
    <x v="0"/>
    <x v="7"/>
    <x v="82"/>
    <s v="Direct Credit MJ ASB MR S M ALAVI ;Ref: MJ ASB MR S M ALAVI"/>
    <n v="1457.8"/>
    <x v="1"/>
    <x v="24"/>
    <x v="1"/>
  </r>
  <r>
    <x v="2"/>
    <x v="0"/>
    <x v="7"/>
    <x v="82"/>
    <s v="TRANSFER TO S TAEBI - 01 ;"/>
    <n v="-1076.56"/>
    <x v="1"/>
    <x v="24"/>
    <x v="1"/>
  </r>
  <r>
    <x v="2"/>
    <x v="0"/>
    <x v="7"/>
    <x v="82"/>
    <s v="TRF 4833481054851016 ;"/>
    <n v="-0.11"/>
    <x v="1"/>
    <x v="24"/>
    <x v="1"/>
  </r>
  <r>
    <x v="2"/>
    <x v="0"/>
    <x v="7"/>
    <x v="82"/>
    <s v="TRANSFER TO S TAEBI - 01 ;"/>
    <n v="-229.87"/>
    <x v="1"/>
    <x v="24"/>
    <x v="1"/>
  </r>
  <r>
    <x v="2"/>
    <x v="0"/>
    <x v="7"/>
    <x v="82"/>
    <s v="AP#18696077 TO HSBC ;HSBC 5B-Cleary"/>
    <n v="-933.38"/>
    <x v="1"/>
    <x v="24"/>
    <x v="1"/>
  </r>
  <r>
    <x v="2"/>
    <x v="0"/>
    <x v="7"/>
    <x v="479"/>
    <s v="TRF 4833481054851016 ;"/>
    <n v="-42.4"/>
    <x v="1"/>
    <x v="24"/>
    <x v="1"/>
  </r>
  <r>
    <x v="2"/>
    <x v="0"/>
    <x v="7"/>
    <x v="83"/>
    <s v="Direct Credit MJ ASB MR S M ALAVI ;Ref: MJ ASB MR S M ALAVI"/>
    <n v="12.51"/>
    <x v="1"/>
    <x v="24"/>
    <x v="1"/>
  </r>
  <r>
    <x v="2"/>
    <x v="0"/>
    <x v="7"/>
    <x v="83"/>
    <s v="TRF 4833481054851016 ;"/>
    <n v="-16.149999999999999"/>
    <x v="1"/>
    <x v="24"/>
    <x v="1"/>
  </r>
  <r>
    <x v="2"/>
    <x v="0"/>
    <x v="7"/>
    <x v="83"/>
    <s v="Bill Payment MJ ANZ ALAVI SEYED M ;Ref: MJ ANZ ALAVI SEYED M"/>
    <n v="5056.74"/>
    <x v="1"/>
    <x v="24"/>
    <x v="1"/>
  </r>
  <r>
    <x v="2"/>
    <x v="0"/>
    <x v="7"/>
    <x v="83"/>
    <s v="TRANSFER TO S TAEBI - 01 ;"/>
    <n v="-5218.9399999999996"/>
    <x v="1"/>
    <x v="24"/>
    <x v="1"/>
  </r>
  <r>
    <x v="2"/>
    <x v="0"/>
    <x v="7"/>
    <x v="83"/>
    <s v="Direct Debit -SOUTHERN CROSS MEDICAL CARE SOCIETY ;Ref: 23284297 000 030719249"/>
    <n v="-15.39"/>
    <x v="8"/>
    <x v="25"/>
    <x v="39"/>
  </r>
  <r>
    <x v="2"/>
    <x v="0"/>
    <x v="7"/>
    <x v="84"/>
    <s v="TRF 4833481054851016 ;"/>
    <n v="-54.37"/>
    <x v="1"/>
    <x v="24"/>
    <x v="1"/>
  </r>
  <r>
    <x v="2"/>
    <x v="0"/>
    <x v="7"/>
    <x v="84"/>
    <s v="TRF 4833481054851016 ;"/>
    <n v="-10.52"/>
    <x v="1"/>
    <x v="24"/>
    <x v="1"/>
  </r>
  <r>
    <x v="2"/>
    <x v="0"/>
    <x v="7"/>
    <x v="84"/>
    <s v="TRF 4833481054851016 ;"/>
    <n v="-47.51"/>
    <x v="1"/>
    <x v="24"/>
    <x v="1"/>
  </r>
  <r>
    <x v="2"/>
    <x v="0"/>
    <x v="7"/>
    <x v="85"/>
    <s v="TRF 4833481054851016 ;"/>
    <n v="-147.52000000000001"/>
    <x v="1"/>
    <x v="24"/>
    <x v="1"/>
  </r>
  <r>
    <x v="2"/>
    <x v="0"/>
    <x v="7"/>
    <x v="86"/>
    <s v="TRANSFER FROM S TAEBI - 01 ;"/>
    <n v="81.52"/>
    <x v="1"/>
    <x v="24"/>
    <x v="1"/>
  </r>
  <r>
    <x v="2"/>
    <x v="0"/>
    <x v="7"/>
    <x v="86"/>
    <s v="TRF 4833481054851016 ;"/>
    <n v="-12.23"/>
    <x v="1"/>
    <x v="24"/>
    <x v="1"/>
  </r>
  <r>
    <x v="2"/>
    <x v="0"/>
    <x v="7"/>
    <x v="86"/>
    <s v="Bill Payment MJ ANZ ALAVI SEYED M ;Ref: MJ ANZ ALAVI SEYED M"/>
    <n v="95.5"/>
    <x v="1"/>
    <x v="24"/>
    <x v="1"/>
  </r>
  <r>
    <x v="2"/>
    <x v="0"/>
    <x v="7"/>
    <x v="87"/>
    <s v="TRF 4833481054851016 ;"/>
    <n v="-261.17"/>
    <x v="1"/>
    <x v="24"/>
    <x v="1"/>
  </r>
  <r>
    <x v="2"/>
    <x v="0"/>
    <x v="7"/>
    <x v="87"/>
    <s v="AP#18495353 TO S TAEBI  S M ALAVI ;Transfer to S TAEBI  S M ALAVI - 06"/>
    <n v="-1798.75"/>
    <x v="1"/>
    <x v="24"/>
    <x v="1"/>
  </r>
  <r>
    <x v="2"/>
    <x v="0"/>
    <x v="7"/>
    <x v="87"/>
    <s v="AP#18495354 TO S TAEBI  S M ALAVI ;Transfer to S TAEBI  S M ALAVI - 07"/>
    <n v="-2019.75"/>
    <x v="1"/>
    <x v="24"/>
    <x v="1"/>
  </r>
  <r>
    <x v="2"/>
    <x v="0"/>
    <x v="7"/>
    <x v="87"/>
    <s v="AP#20595693 TO S TAEBI  S M ALAVI ;Transfer to S TAEBI  S M ALAVI - 08"/>
    <n v="-112.15"/>
    <x v="1"/>
    <x v="24"/>
    <x v="1"/>
  </r>
  <r>
    <x v="2"/>
    <x v="0"/>
    <x v="7"/>
    <x v="598"/>
    <s v="TRF 4833481054851016 ;"/>
    <n v="-82.65"/>
    <x v="1"/>
    <x v="24"/>
    <x v="1"/>
  </r>
  <r>
    <x v="2"/>
    <x v="0"/>
    <x v="7"/>
    <x v="598"/>
    <s v="TRANSFER TO S TAEBI - 01 ;"/>
    <n v="-219.87"/>
    <x v="1"/>
    <x v="24"/>
    <x v="1"/>
  </r>
  <r>
    <x v="2"/>
    <x v="0"/>
    <x v="7"/>
    <x v="88"/>
    <s v="TRF 4833481054851016 ;"/>
    <n v="-23.72"/>
    <x v="1"/>
    <x v="24"/>
    <x v="1"/>
  </r>
  <r>
    <x v="2"/>
    <x v="0"/>
    <x v="7"/>
    <x v="89"/>
    <s v="TRF 4833481054851016 ;"/>
    <n v="-6.33"/>
    <x v="1"/>
    <x v="24"/>
    <x v="1"/>
  </r>
  <r>
    <x v="2"/>
    <x v="0"/>
    <x v="7"/>
    <x v="276"/>
    <s v="REPLACEMENT VISA DEBIT CARD#VISADEBITFEE15082023112202 ;"/>
    <n v="-0.38"/>
    <x v="5"/>
    <x v="7"/>
    <x v="7"/>
  </r>
  <r>
    <x v="2"/>
    <x v="0"/>
    <x v="7"/>
    <x v="90"/>
    <s v="Salary KIWIBANK FORTNIGHT ;"/>
    <n v="235.68"/>
    <x v="11"/>
    <x v="22"/>
    <x v="38"/>
  </r>
  <r>
    <x v="2"/>
    <x v="0"/>
    <x v="7"/>
    <x v="90"/>
    <s v="TRANSFER TO S TAEBI - 01 ;"/>
    <n v="-4017.96"/>
    <x v="1"/>
    <x v="24"/>
    <x v="1"/>
  </r>
  <r>
    <x v="2"/>
    <x v="0"/>
    <x v="7"/>
    <x v="90"/>
    <s v="Bill Payment MJ ANZ ALAVI SEYED M ;Ref: MJ ANZ ALAVI SEYED M"/>
    <n v="807.19"/>
    <x v="1"/>
    <x v="24"/>
    <x v="1"/>
  </r>
  <r>
    <x v="2"/>
    <x v="0"/>
    <x v="7"/>
    <x v="90"/>
    <s v="Direct Credit MJ ASB MR S M ALAVI ;Ref: MJ ASB MR S M ALAVI"/>
    <n v="1191.3699999999999"/>
    <x v="1"/>
    <x v="24"/>
    <x v="1"/>
  </r>
  <r>
    <x v="2"/>
    <x v="0"/>
    <x v="7"/>
    <x v="90"/>
    <s v="TRF 4327420538275015 ;"/>
    <n v="-16.809999999999999"/>
    <x v="1"/>
    <x v="24"/>
    <x v="1"/>
  </r>
  <r>
    <x v="2"/>
    <x v="0"/>
    <x v="7"/>
    <x v="90"/>
    <s v="AP#18696077 TO HSBC ;HSBC 5B-Cleary"/>
    <n v="-579.87"/>
    <x v="1"/>
    <x v="24"/>
    <x v="1"/>
  </r>
  <r>
    <x v="2"/>
    <x v="0"/>
    <x v="7"/>
    <x v="91"/>
    <s v="TRANSFER FROM S TAEBI - 01 ;"/>
    <n v="194.02"/>
    <x v="1"/>
    <x v="24"/>
    <x v="1"/>
  </r>
  <r>
    <x v="2"/>
    <x v="0"/>
    <x v="7"/>
    <x v="91"/>
    <s v="PAY MJ ASB ;"/>
    <n v="-121.92"/>
    <x v="1"/>
    <x v="24"/>
    <x v="1"/>
  </r>
  <r>
    <x v="2"/>
    <x v="0"/>
    <x v="7"/>
    <x v="92"/>
    <s v="TRF 4833481054851040 ;"/>
    <n v="-0.54"/>
    <x v="1"/>
    <x v="24"/>
    <x v="1"/>
  </r>
  <r>
    <x v="2"/>
    <x v="0"/>
    <x v="7"/>
    <x v="92"/>
    <s v="Direct Debit -SOUTHERN CROSS MEDICAL CARE SOCIETY ;Ref: 23284297 000 030848922"/>
    <n v="-20.190000000000001"/>
    <x v="8"/>
    <x v="25"/>
    <x v="39"/>
  </r>
  <r>
    <x v="2"/>
    <x v="0"/>
    <x v="7"/>
    <x v="599"/>
    <s v="TRF 4833481054851032 ;"/>
    <n v="-309.16000000000003"/>
    <x v="1"/>
    <x v="24"/>
    <x v="1"/>
  </r>
  <r>
    <x v="2"/>
    <x v="0"/>
    <x v="7"/>
    <x v="93"/>
    <s v="Direct Credit MJ ASB MR S M ALAVI ;Ref: MJ ASB MR S M ALAVI"/>
    <n v="604.87"/>
    <x v="1"/>
    <x v="24"/>
    <x v="1"/>
  </r>
  <r>
    <x v="2"/>
    <x v="0"/>
    <x v="7"/>
    <x v="93"/>
    <s v="TRF 4833481054851032 ;"/>
    <n v="-617.41"/>
    <x v="1"/>
    <x v="24"/>
    <x v="1"/>
  </r>
  <r>
    <x v="2"/>
    <x v="0"/>
    <x v="7"/>
    <x v="93"/>
    <s v="TRF 4833481054851032 ;"/>
    <n v="-0.46"/>
    <x v="1"/>
    <x v="24"/>
    <x v="1"/>
  </r>
  <r>
    <x v="2"/>
    <x v="0"/>
    <x v="7"/>
    <x v="93"/>
    <s v="TRF 4833481054851032 ;"/>
    <n v="-8.69"/>
    <x v="1"/>
    <x v="24"/>
    <x v="1"/>
  </r>
  <r>
    <x v="2"/>
    <x v="0"/>
    <x v="7"/>
    <x v="95"/>
    <s v="TRF 4833481054851032 ;"/>
    <n v="-0.09"/>
    <x v="1"/>
    <x v="24"/>
    <x v="1"/>
  </r>
  <r>
    <x v="2"/>
    <x v="0"/>
    <x v="7"/>
    <x v="96"/>
    <s v="TRANSFER FROM S TAEBI - 01 ;"/>
    <n v="2933.58"/>
    <x v="1"/>
    <x v="24"/>
    <x v="1"/>
  </r>
  <r>
    <x v="2"/>
    <x v="0"/>
    <x v="7"/>
    <x v="96"/>
    <s v="TRANSFER FROM S TAEBI - 01 ;"/>
    <n v="2902.45"/>
    <x v="1"/>
    <x v="24"/>
    <x v="1"/>
  </r>
  <r>
    <x v="2"/>
    <x v="0"/>
    <x v="7"/>
    <x v="96"/>
    <s v="TRANSFER FROM S TAEBI - 01 ;MJ IRD"/>
    <n v="2981.04"/>
    <x v="1"/>
    <x v="24"/>
    <x v="1"/>
  </r>
  <r>
    <x v="2"/>
    <x v="0"/>
    <x v="7"/>
    <x v="96"/>
    <s v="PAY ANZ MJ ;MJ IRD"/>
    <n v="-536.08000000000004"/>
    <x v="1"/>
    <x v="24"/>
    <x v="1"/>
  </r>
  <r>
    <x v="2"/>
    <x v="0"/>
    <x v="7"/>
    <x v="96"/>
    <s v="TRANSFER FROM S TAEBI - 01 ;"/>
    <n v="2761.52"/>
    <x v="1"/>
    <x v="24"/>
    <x v="1"/>
  </r>
  <r>
    <x v="2"/>
    <x v="0"/>
    <x v="7"/>
    <x v="96"/>
    <s v="PAY AklCouncil ;228965DpsA2A AklCouncil 12345853594"/>
    <n v="-2657.84"/>
    <x v="4"/>
    <x v="28"/>
    <x v="43"/>
  </r>
  <r>
    <x v="2"/>
    <x v="0"/>
    <x v="7"/>
    <x v="96"/>
    <s v="Direct Debit -INLAND REVENUE DEPARTMENT ;Ref: 2124987008 I IT 113165197 INC"/>
    <n v="-459.44"/>
    <x v="12"/>
    <x v="27"/>
    <x v="41"/>
  </r>
  <r>
    <x v="2"/>
    <x v="0"/>
    <x v="7"/>
    <x v="97"/>
    <s v="Bill Payment MJ ANZ ALAVI SEYED M ;Ref: MJ ANZ ALAVI SEYED M"/>
    <n v="1384.13"/>
    <x v="1"/>
    <x v="24"/>
    <x v="1"/>
  </r>
  <r>
    <x v="2"/>
    <x v="0"/>
    <x v="7"/>
    <x v="97"/>
    <s v="TRANSFER TO S TAEBI - 01 ;"/>
    <n v="-338.75"/>
    <x v="1"/>
    <x v="24"/>
    <x v="1"/>
  </r>
  <r>
    <x v="2"/>
    <x v="0"/>
    <x v="7"/>
    <x v="97"/>
    <s v="TRANSFER TO S TAEBI - 01 ;"/>
    <n v="-526.39"/>
    <x v="1"/>
    <x v="24"/>
    <x v="1"/>
  </r>
  <r>
    <x v="2"/>
    <x v="0"/>
    <x v="7"/>
    <x v="97"/>
    <s v="Salary KIWIBANK FORTNIGHT ;"/>
    <n v="950.68"/>
    <x v="11"/>
    <x v="22"/>
    <x v="38"/>
  </r>
  <r>
    <x v="2"/>
    <x v="0"/>
    <x v="7"/>
    <x v="97"/>
    <s v="AP#18495353 TO S TAEBI  S M ALAVI ;Transfer to S TAEBI  S M ALAVI - 06"/>
    <n v="-960.65"/>
    <x v="1"/>
    <x v="24"/>
    <x v="1"/>
  </r>
  <r>
    <x v="2"/>
    <x v="0"/>
    <x v="7"/>
    <x v="97"/>
    <s v="AP#18495354 TO S TAEBI  S M ALAVI ;Transfer to S TAEBI  S M ALAVI - 07"/>
    <n v="-1986.42"/>
    <x v="1"/>
    <x v="24"/>
    <x v="1"/>
  </r>
  <r>
    <x v="2"/>
    <x v="0"/>
    <x v="7"/>
    <x v="97"/>
    <s v="AP#20595693 TO S TAEBI  S M ALAVI ;Transfer to S TAEBI  S M ALAVI - 08"/>
    <n v="-518.89"/>
    <x v="1"/>
    <x v="24"/>
    <x v="1"/>
  </r>
  <r>
    <x v="2"/>
    <x v="0"/>
    <x v="7"/>
    <x v="98"/>
    <s v="PAY MJ ASB ;"/>
    <n v="-108.28"/>
    <x v="1"/>
    <x v="24"/>
    <x v="1"/>
  </r>
  <r>
    <x v="2"/>
    <x v="0"/>
    <x v="7"/>
    <x v="100"/>
    <s v="Salary KIWIBANK FORTNIGHT ;"/>
    <n v="2786.97"/>
    <x v="11"/>
    <x v="22"/>
    <x v="38"/>
  </r>
  <r>
    <x v="2"/>
    <x v="0"/>
    <x v="7"/>
    <x v="100"/>
    <s v="Bill Payment MJ ANZ ALAVI SEYED M ;Ref: MJ ANZ ALAVI SEYED M"/>
    <n v="1567.69"/>
    <x v="1"/>
    <x v="24"/>
    <x v="1"/>
  </r>
  <r>
    <x v="2"/>
    <x v="0"/>
    <x v="7"/>
    <x v="100"/>
    <s v="Direct Credit MJ ASB MR S M ALAVI ;Ref: MJ ASB MR S M ALAVI"/>
    <n v="414.29"/>
    <x v="1"/>
    <x v="24"/>
    <x v="1"/>
  </r>
  <r>
    <x v="2"/>
    <x v="0"/>
    <x v="7"/>
    <x v="100"/>
    <s v="Direct Credit MJ ASB MR S M ALAVI ;Ref: MJ ASB MR S M ALAVI"/>
    <n v="675.12"/>
    <x v="1"/>
    <x v="24"/>
    <x v="1"/>
  </r>
  <r>
    <x v="2"/>
    <x v="0"/>
    <x v="7"/>
    <x v="100"/>
    <s v="TRANSFER TO S TAEBI - 01 ;"/>
    <n v="-431.76"/>
    <x v="1"/>
    <x v="24"/>
    <x v="1"/>
  </r>
  <r>
    <x v="2"/>
    <x v="0"/>
    <x v="7"/>
    <x v="100"/>
    <s v="AP#18696077 TO HSBC ;HSBC 5B-Cleary"/>
    <n v="-1330"/>
    <x v="1"/>
    <x v="24"/>
    <x v="1"/>
  </r>
  <r>
    <x v="2"/>
    <x v="0"/>
    <x v="7"/>
    <x v="278"/>
    <s v="TRF 4833481054851032 ;"/>
    <n v="-3.85"/>
    <x v="1"/>
    <x v="24"/>
    <x v="1"/>
  </r>
  <r>
    <x v="2"/>
    <x v="0"/>
    <x v="7"/>
    <x v="101"/>
    <s v="TRF 4833481054851032 ;"/>
    <n v="-0.34"/>
    <x v="1"/>
    <x v="24"/>
    <x v="1"/>
  </r>
  <r>
    <x v="2"/>
    <x v="0"/>
    <x v="7"/>
    <x v="101"/>
    <s v="Direct Debit -SOUTHERN CROSS MEDICAL CARE SOCIETY ;Ref: 23284297 000 030983164"/>
    <n v="-20.99"/>
    <x v="8"/>
    <x v="25"/>
    <x v="39"/>
  </r>
  <r>
    <x v="2"/>
    <x v="0"/>
    <x v="7"/>
    <x v="102"/>
    <s v="TRF 4833481054851032 ;"/>
    <n v="-137"/>
    <x v="1"/>
    <x v="24"/>
    <x v="1"/>
  </r>
  <r>
    <x v="2"/>
    <x v="0"/>
    <x v="7"/>
    <x v="102"/>
    <s v="TRF 4833481054851032 ;"/>
    <n v="-6.18"/>
    <x v="1"/>
    <x v="24"/>
    <x v="1"/>
  </r>
  <r>
    <x v="2"/>
    <x v="0"/>
    <x v="7"/>
    <x v="103"/>
    <s v="TRF 4833481054851032 ;"/>
    <n v="-106.58"/>
    <x v="1"/>
    <x v="24"/>
    <x v="1"/>
  </r>
  <r>
    <x v="2"/>
    <x v="0"/>
    <x v="7"/>
    <x v="103"/>
    <s v="TRANSFER FROM S TAEBI - 01 ;"/>
    <n v="36.29"/>
    <x v="1"/>
    <x v="24"/>
    <x v="1"/>
  </r>
  <r>
    <x v="2"/>
    <x v="0"/>
    <x v="7"/>
    <x v="279"/>
    <s v="TRF 4833481054851032 ;"/>
    <n v="-7.68"/>
    <x v="1"/>
    <x v="24"/>
    <x v="1"/>
  </r>
  <r>
    <x v="2"/>
    <x v="0"/>
    <x v="7"/>
    <x v="106"/>
    <s v="TRANSFER FROM S TAEBI - 01 ;"/>
    <n v="2216.06"/>
    <x v="1"/>
    <x v="24"/>
    <x v="1"/>
  </r>
  <r>
    <x v="2"/>
    <x v="0"/>
    <x v="7"/>
    <x v="106"/>
    <s v="TRF 4833481054851032 ;"/>
    <n v="-668.38"/>
    <x v="1"/>
    <x v="24"/>
    <x v="1"/>
  </r>
  <r>
    <x v="2"/>
    <x v="0"/>
    <x v="7"/>
    <x v="106"/>
    <s v="TRANSFER FROM S TAEBI - 01 ;"/>
    <n v="852.88"/>
    <x v="1"/>
    <x v="24"/>
    <x v="1"/>
  </r>
  <r>
    <x v="2"/>
    <x v="0"/>
    <x v="7"/>
    <x v="106"/>
    <s v="TRANSFER FROM S TAEBI - 01 ;"/>
    <n v="312"/>
    <x v="1"/>
    <x v="24"/>
    <x v="1"/>
  </r>
  <r>
    <x v="2"/>
    <x v="0"/>
    <x v="7"/>
    <x v="106"/>
    <s v="PAY MJ ASB ;"/>
    <n v="-254.95"/>
    <x v="1"/>
    <x v="24"/>
    <x v="1"/>
  </r>
  <r>
    <x v="2"/>
    <x v="0"/>
    <x v="7"/>
    <x v="106"/>
    <s v="Bill Payment MJ ANZ ALAVI SEYED M ;Ref: MJ ANZ ALAVI SEYED M"/>
    <n v="1269.33"/>
    <x v="1"/>
    <x v="24"/>
    <x v="1"/>
  </r>
  <r>
    <x v="2"/>
    <x v="0"/>
    <x v="7"/>
    <x v="107"/>
    <s v="TRANSFER FROM S TAEBI - 01 ;"/>
    <n v="143.96"/>
    <x v="1"/>
    <x v="24"/>
    <x v="1"/>
  </r>
  <r>
    <x v="2"/>
    <x v="0"/>
    <x v="7"/>
    <x v="107"/>
    <s v="TRF 4833481054851032 ;"/>
    <n v="-14.49"/>
    <x v="1"/>
    <x v="24"/>
    <x v="1"/>
  </r>
  <r>
    <x v="2"/>
    <x v="0"/>
    <x v="7"/>
    <x v="107"/>
    <s v="AP#18495353 TO S TAEBI  S M ALAVI ;Transfer to S TAEBI  S M ALAVI - 06"/>
    <n v="-1474.06"/>
    <x v="1"/>
    <x v="24"/>
    <x v="1"/>
  </r>
  <r>
    <x v="2"/>
    <x v="0"/>
    <x v="7"/>
    <x v="107"/>
    <s v="AP#18495354 TO S TAEBI  S M ALAVI ;Transfer to S TAEBI  S M ALAVI - 07"/>
    <n v="-1766.56"/>
    <x v="1"/>
    <x v="24"/>
    <x v="1"/>
  </r>
  <r>
    <x v="2"/>
    <x v="0"/>
    <x v="7"/>
    <x v="107"/>
    <s v="AP#20595693 TO S TAEBI  S M ALAVI ;Transfer to S TAEBI  S M ALAVI - 08"/>
    <n v="-478.77"/>
    <x v="1"/>
    <x v="24"/>
    <x v="1"/>
  </r>
  <r>
    <x v="2"/>
    <x v="0"/>
    <x v="7"/>
    <x v="600"/>
    <s v="TRANSFER TO S TAEBI - 01 ;"/>
    <n v="-196.42"/>
    <x v="1"/>
    <x v="24"/>
    <x v="1"/>
  </r>
  <r>
    <x v="2"/>
    <x v="0"/>
    <x v="7"/>
    <x v="600"/>
    <s v="TRF 4833481054851032 ;"/>
    <n v="-77.89"/>
    <x v="1"/>
    <x v="24"/>
    <x v="1"/>
  </r>
  <r>
    <x v="2"/>
    <x v="0"/>
    <x v="7"/>
    <x v="600"/>
    <s v="TRANSFER FROM S TAEBI - 01 ;"/>
    <n v="659.47"/>
    <x v="1"/>
    <x v="24"/>
    <x v="1"/>
  </r>
  <r>
    <x v="2"/>
    <x v="0"/>
    <x v="7"/>
    <x v="600"/>
    <s v="TRF 4833481054851032 ;"/>
    <n v="-585.02"/>
    <x v="1"/>
    <x v="24"/>
    <x v="1"/>
  </r>
  <r>
    <x v="2"/>
    <x v="0"/>
    <x v="7"/>
    <x v="108"/>
    <s v="TRF 4833481054851032 ;"/>
    <n v="-35.9"/>
    <x v="1"/>
    <x v="24"/>
    <x v="1"/>
  </r>
  <r>
    <x v="2"/>
    <x v="0"/>
    <x v="7"/>
    <x v="108"/>
    <s v="TRF 4833481054851032 ;"/>
    <n v="-0.31"/>
    <x v="1"/>
    <x v="24"/>
    <x v="1"/>
  </r>
  <r>
    <x v="2"/>
    <x v="0"/>
    <x v="7"/>
    <x v="108"/>
    <s v="TRANSFER FROM S TAEBI - 01 ;"/>
    <n v="445.81"/>
    <x v="1"/>
    <x v="24"/>
    <x v="1"/>
  </r>
  <r>
    <x v="2"/>
    <x v="0"/>
    <x v="7"/>
    <x v="108"/>
    <s v="TRF 4833481054851032 ;"/>
    <n v="-89.51"/>
    <x v="1"/>
    <x v="24"/>
    <x v="1"/>
  </r>
  <r>
    <x v="2"/>
    <x v="0"/>
    <x v="7"/>
    <x v="109"/>
    <s v="TRANSFER TO S M ALAVI  S TAEBI - 00 ;"/>
    <n v="-173.24"/>
    <x v="1"/>
    <x v="24"/>
    <x v="1"/>
  </r>
  <r>
    <x v="2"/>
    <x v="0"/>
    <x v="7"/>
    <x v="110"/>
    <s v="TRF 4833481054851032 ;"/>
    <n v="-5.14"/>
    <x v="1"/>
    <x v="24"/>
    <x v="1"/>
  </r>
  <r>
    <x v="2"/>
    <x v="0"/>
    <x v="7"/>
    <x v="111"/>
    <s v="Salary KIWIBANK FORTNIGHT ;"/>
    <n v="5250.49"/>
    <x v="11"/>
    <x v="22"/>
    <x v="38"/>
  </r>
  <r>
    <x v="2"/>
    <x v="0"/>
    <x v="7"/>
    <x v="111"/>
    <s v="TRF 4833481054851032 ;"/>
    <n v="-61.01"/>
    <x v="1"/>
    <x v="24"/>
    <x v="1"/>
  </r>
  <r>
    <x v="2"/>
    <x v="0"/>
    <x v="7"/>
    <x v="111"/>
    <s v="Bill Payment MJ ANZ ALAVI SEYED M ;Ref: MJ ANZ ALAVI SEYED M"/>
    <n v="71.2"/>
    <x v="1"/>
    <x v="24"/>
    <x v="1"/>
  </r>
  <r>
    <x v="2"/>
    <x v="0"/>
    <x v="7"/>
    <x v="111"/>
    <s v="Direct Credit MJ ASB MR S M ALAVI ;Ref: MJ ASB MR S M ALAVI"/>
    <n v="49.8"/>
    <x v="1"/>
    <x v="24"/>
    <x v="1"/>
  </r>
  <r>
    <x v="2"/>
    <x v="0"/>
    <x v="7"/>
    <x v="111"/>
    <s v="TRANSFER TO S TAEBI - 01 ;"/>
    <n v="-2617.4499999999998"/>
    <x v="1"/>
    <x v="24"/>
    <x v="1"/>
  </r>
  <r>
    <x v="2"/>
    <x v="0"/>
    <x v="7"/>
    <x v="111"/>
    <s v="TRF 4833481054851032 ;"/>
    <n v="-45.6"/>
    <x v="1"/>
    <x v="24"/>
    <x v="1"/>
  </r>
  <r>
    <x v="2"/>
    <x v="0"/>
    <x v="7"/>
    <x v="111"/>
    <s v="AP#18696077 TO HSBC ;HSBC 5B-Cleary"/>
    <n v="-1600.46"/>
    <x v="1"/>
    <x v="24"/>
    <x v="1"/>
  </r>
  <r>
    <x v="2"/>
    <x v="0"/>
    <x v="7"/>
    <x v="113"/>
    <s v="TRF 4833481054851032 ;"/>
    <n v="-146.38"/>
    <x v="1"/>
    <x v="24"/>
    <x v="1"/>
  </r>
  <r>
    <x v="2"/>
    <x v="0"/>
    <x v="7"/>
    <x v="113"/>
    <s v="TRANSFER FROM S TAEBI - 01 ;"/>
    <n v="116.41"/>
    <x v="1"/>
    <x v="24"/>
    <x v="1"/>
  </r>
  <r>
    <x v="2"/>
    <x v="0"/>
    <x v="7"/>
    <x v="113"/>
    <s v="TRF 4833481054851032 ;"/>
    <n v="-31.43"/>
    <x v="1"/>
    <x v="24"/>
    <x v="1"/>
  </r>
  <r>
    <x v="2"/>
    <x v="0"/>
    <x v="7"/>
    <x v="113"/>
    <s v="Direct Credit MJ ASB MR S M ALAVI ;Ref: MJ ASB MR S M ALAVI"/>
    <n v="122.58"/>
    <x v="1"/>
    <x v="24"/>
    <x v="1"/>
  </r>
  <r>
    <x v="2"/>
    <x v="0"/>
    <x v="7"/>
    <x v="113"/>
    <s v="Direct Debit -SOUTHERN CROSS MEDICAL CARE SOCIETY ;Ref: 23284297 000 031116966"/>
    <n v="-22.19"/>
    <x v="8"/>
    <x v="25"/>
    <x v="39"/>
  </r>
  <r>
    <x v="2"/>
    <x v="0"/>
    <x v="7"/>
    <x v="601"/>
    <s v="TRANSFER FROM S TAEBI - 01 ;"/>
    <n v="1375.04"/>
    <x v="1"/>
    <x v="24"/>
    <x v="1"/>
  </r>
  <r>
    <x v="2"/>
    <x v="0"/>
    <x v="7"/>
    <x v="601"/>
    <s v="TRF 4833481054851032 ;"/>
    <n v="-848.84"/>
    <x v="1"/>
    <x v="24"/>
    <x v="1"/>
  </r>
  <r>
    <x v="2"/>
    <x v="0"/>
    <x v="7"/>
    <x v="116"/>
    <s v="Direct Credit MJ ASB MR S M ALAVI ;Ref: MJ ASB MR S M ALAVI"/>
    <n v="439.2"/>
    <x v="1"/>
    <x v="24"/>
    <x v="1"/>
  </r>
  <r>
    <x v="2"/>
    <x v="0"/>
    <x v="7"/>
    <x v="116"/>
    <s v="Direct Credit 00105706023900051988883ENTRUST NEW ENTRUST NEW ZEALAND ;Ref: 00105706023900051988883ENTRUST NEW ENTRUST NEW ZEALAND"/>
    <n v="398.5"/>
    <x v="13"/>
    <x v="24"/>
    <x v="42"/>
  </r>
  <r>
    <x v="2"/>
    <x v="0"/>
    <x v="7"/>
    <x v="117"/>
    <s v="PAY MJ ASB ;"/>
    <n v="-70.540000000000006"/>
    <x v="1"/>
    <x v="24"/>
    <x v="1"/>
  </r>
  <r>
    <x v="2"/>
    <x v="0"/>
    <x v="7"/>
    <x v="117"/>
    <s v="TRANSFER FROM S TAEBI - 01 ;"/>
    <n v="2547.69"/>
    <x v="1"/>
    <x v="24"/>
    <x v="1"/>
  </r>
  <r>
    <x v="2"/>
    <x v="0"/>
    <x v="7"/>
    <x v="117"/>
    <s v="Bill Payment MJ ANZ ALAVI SEYED M ;Ref: MJ ANZ ALAVI SEYED M"/>
    <n v="589.72"/>
    <x v="1"/>
    <x v="24"/>
    <x v="1"/>
  </r>
  <r>
    <x v="2"/>
    <x v="0"/>
    <x v="7"/>
    <x v="117"/>
    <s v="TRF 4833481054851032 ;"/>
    <n v="-453.35"/>
    <x v="1"/>
    <x v="24"/>
    <x v="1"/>
  </r>
  <r>
    <x v="2"/>
    <x v="0"/>
    <x v="7"/>
    <x v="117"/>
    <s v="TRF 4833481054851032 ;"/>
    <n v="-228.55"/>
    <x v="1"/>
    <x v="24"/>
    <x v="1"/>
  </r>
  <r>
    <x v="2"/>
    <x v="0"/>
    <x v="7"/>
    <x v="118"/>
    <s v="TRF 4833481054851032 ;"/>
    <n v="-120.77"/>
    <x v="1"/>
    <x v="24"/>
    <x v="1"/>
  </r>
  <r>
    <x v="2"/>
    <x v="0"/>
    <x v="7"/>
    <x v="118"/>
    <s v="AP#18495353 TO S TAEBI  S M ALAVI ;Transfer to S TAEBI  S M ALAVI - 06"/>
    <n v="-168.52"/>
    <x v="1"/>
    <x v="24"/>
    <x v="1"/>
  </r>
  <r>
    <x v="2"/>
    <x v="0"/>
    <x v="7"/>
    <x v="118"/>
    <s v="AP#18495354 TO S TAEBI  S M ALAVI ;Transfer to S TAEBI  S M ALAVI - 07"/>
    <n v="-2037.83"/>
    <x v="1"/>
    <x v="24"/>
    <x v="1"/>
  </r>
  <r>
    <x v="2"/>
    <x v="0"/>
    <x v="7"/>
    <x v="118"/>
    <s v="AP#20595693 TO S TAEBI  S M ALAVI ;Transfer to S TAEBI  S M ALAVI - 08"/>
    <n v="-52.07"/>
    <x v="1"/>
    <x v="24"/>
    <x v="1"/>
  </r>
  <r>
    <x v="2"/>
    <x v="0"/>
    <x v="7"/>
    <x v="119"/>
    <s v="TRF 4833481054851032 ;"/>
    <n v="-20.87"/>
    <x v="1"/>
    <x v="24"/>
    <x v="1"/>
  </r>
  <r>
    <x v="2"/>
    <x v="0"/>
    <x v="7"/>
    <x v="120"/>
    <s v="TRF 4833481054851032 ;"/>
    <n v="-11.4"/>
    <x v="1"/>
    <x v="24"/>
    <x v="1"/>
  </r>
  <r>
    <x v="2"/>
    <x v="0"/>
    <x v="7"/>
    <x v="121"/>
    <s v="TRF 4833481054851032 ;"/>
    <n v="-37.270000000000003"/>
    <x v="1"/>
    <x v="24"/>
    <x v="1"/>
  </r>
  <r>
    <x v="2"/>
    <x v="0"/>
    <x v="7"/>
    <x v="121"/>
    <s v="TRF 4833481054851032 ;"/>
    <n v="-77.77"/>
    <x v="1"/>
    <x v="24"/>
    <x v="1"/>
  </r>
  <r>
    <x v="2"/>
    <x v="0"/>
    <x v="7"/>
    <x v="122"/>
    <s v="Salary KIWIBANK FORTNIGHT ;"/>
    <n v="3721.19"/>
    <x v="11"/>
    <x v="22"/>
    <x v="38"/>
  </r>
  <r>
    <x v="2"/>
    <x v="0"/>
    <x v="7"/>
    <x v="122"/>
    <s v="Bill Payment MJ ANZ ALAVI SEYED M ;Ref: MJ ANZ ALAVI SEYED M"/>
    <n v="1538.79"/>
    <x v="1"/>
    <x v="24"/>
    <x v="1"/>
  </r>
  <r>
    <x v="2"/>
    <x v="0"/>
    <x v="7"/>
    <x v="122"/>
    <s v="TRF 4833481054851032 ;"/>
    <n v="-0.84"/>
    <x v="1"/>
    <x v="24"/>
    <x v="1"/>
  </r>
  <r>
    <x v="2"/>
    <x v="0"/>
    <x v="7"/>
    <x v="122"/>
    <s v="Direct Credit MJ ASB MR S M ALAVI ;Ref: MJ ASB MR S M ALAVI"/>
    <n v="211.05"/>
    <x v="1"/>
    <x v="24"/>
    <x v="1"/>
  </r>
  <r>
    <x v="2"/>
    <x v="0"/>
    <x v="7"/>
    <x v="122"/>
    <s v="TRANSFER TO S TAEBI - 01 ;"/>
    <n v="-3117.78"/>
    <x v="1"/>
    <x v="24"/>
    <x v="1"/>
  </r>
  <r>
    <x v="2"/>
    <x v="0"/>
    <x v="7"/>
    <x v="122"/>
    <s v="AP#18696077 TO HSBC ;HSBC 5B-Cleary"/>
    <n v="-1686.36"/>
    <x v="1"/>
    <x v="24"/>
    <x v="1"/>
  </r>
  <r>
    <x v="2"/>
    <x v="0"/>
    <x v="7"/>
    <x v="124"/>
    <s v="TRF 4833481054851032 ;"/>
    <n v="-0.02"/>
    <x v="1"/>
    <x v="24"/>
    <x v="1"/>
  </r>
  <r>
    <x v="2"/>
    <x v="0"/>
    <x v="7"/>
    <x v="124"/>
    <s v="Direct Debit -SOUTHERN CROSS MEDICAL CARE SOCIETY ;Ref: 23284297 000 031248332"/>
    <n v="-0.48"/>
    <x v="8"/>
    <x v="25"/>
    <x v="39"/>
  </r>
  <r>
    <x v="2"/>
    <x v="0"/>
    <x v="7"/>
    <x v="602"/>
    <s v="TRF 4833481054851032 ;"/>
    <n v="-21.59"/>
    <x v="1"/>
    <x v="24"/>
    <x v="1"/>
  </r>
  <r>
    <x v="2"/>
    <x v="0"/>
    <x v="7"/>
    <x v="126"/>
    <s v="TRANSFER FROM S TAEBI - 01 ;"/>
    <n v="64.56"/>
    <x v="1"/>
    <x v="24"/>
    <x v="1"/>
  </r>
  <r>
    <x v="2"/>
    <x v="0"/>
    <x v="7"/>
    <x v="126"/>
    <s v="TRANSFER FROM S TAEBI - 01 ;"/>
    <n v="764.34"/>
    <x v="1"/>
    <x v="24"/>
    <x v="1"/>
  </r>
  <r>
    <x v="2"/>
    <x v="0"/>
    <x v="7"/>
    <x v="126"/>
    <s v="Direct Credit MJ ASB MR S M ALAVI ;Ref: MJ ASB MR S M ALAVI"/>
    <n v="129.29"/>
    <x v="1"/>
    <x v="24"/>
    <x v="1"/>
  </r>
  <r>
    <x v="2"/>
    <x v="0"/>
    <x v="7"/>
    <x v="127"/>
    <s v="TRF 4833481054851032 ;"/>
    <n v="-4.05"/>
    <x v="1"/>
    <x v="24"/>
    <x v="1"/>
  </r>
  <r>
    <x v="2"/>
    <x v="0"/>
    <x v="7"/>
    <x v="127"/>
    <s v="Direct Credit MJ ASB MR S M ALAVI ;Ref: MJ ASB MR S M ALAVI"/>
    <n v="42.5"/>
    <x v="1"/>
    <x v="24"/>
    <x v="1"/>
  </r>
  <r>
    <x v="2"/>
    <x v="0"/>
    <x v="7"/>
    <x v="127"/>
    <s v="TRF 4833481054851032 ;"/>
    <n v="-10.24"/>
    <x v="1"/>
    <x v="24"/>
    <x v="1"/>
  </r>
  <r>
    <x v="2"/>
    <x v="0"/>
    <x v="7"/>
    <x v="128"/>
    <s v="TRANSFER FROM S TAEBI - 01 ;"/>
    <n v="260.88"/>
    <x v="1"/>
    <x v="24"/>
    <x v="1"/>
  </r>
  <r>
    <x v="2"/>
    <x v="0"/>
    <x v="7"/>
    <x v="128"/>
    <s v="TRF 4833481054851032 ;"/>
    <n v="-309.44"/>
    <x v="1"/>
    <x v="24"/>
    <x v="1"/>
  </r>
  <r>
    <x v="2"/>
    <x v="0"/>
    <x v="7"/>
    <x v="128"/>
    <s v="AP#18495353 TO S TAEBI  S M ALAVI ;Transfer to S TAEBI  S M ALAVI - 06"/>
    <n v="-785.4"/>
    <x v="1"/>
    <x v="24"/>
    <x v="1"/>
  </r>
  <r>
    <x v="2"/>
    <x v="0"/>
    <x v="7"/>
    <x v="128"/>
    <s v="AP#18495354 TO S TAEBI  S M ALAVI ;Transfer to S TAEBI  S M ALAVI - 07"/>
    <n v="-1580.73"/>
    <x v="1"/>
    <x v="24"/>
    <x v="1"/>
  </r>
  <r>
    <x v="2"/>
    <x v="0"/>
    <x v="7"/>
    <x v="128"/>
    <s v="AP#20595693 TO S TAEBI  S M ALAVI ;Transfer to S TAEBI  S M ALAVI - 08"/>
    <n v="-90.83"/>
    <x v="1"/>
    <x v="24"/>
    <x v="1"/>
  </r>
  <r>
    <x v="2"/>
    <x v="0"/>
    <x v="7"/>
    <x v="129"/>
    <s v="TRF 4833481054851032 ;"/>
    <n v="-9.2200000000000006"/>
    <x v="1"/>
    <x v="24"/>
    <x v="1"/>
  </r>
  <r>
    <x v="2"/>
    <x v="0"/>
    <x v="7"/>
    <x v="129"/>
    <s v="TRF 4833481054851032 ;"/>
    <n v="-117.2"/>
    <x v="1"/>
    <x v="24"/>
    <x v="1"/>
  </r>
  <r>
    <x v="2"/>
    <x v="0"/>
    <x v="7"/>
    <x v="129"/>
    <s v="TRF 4833481054851032 ;"/>
    <n v="-44.04"/>
    <x v="1"/>
    <x v="24"/>
    <x v="1"/>
  </r>
  <r>
    <x v="2"/>
    <x v="0"/>
    <x v="7"/>
    <x v="131"/>
    <s v="Salary KIWIBANK FORTNIGHT ;"/>
    <n v="816.06"/>
    <x v="11"/>
    <x v="22"/>
    <x v="38"/>
  </r>
  <r>
    <x v="2"/>
    <x v="0"/>
    <x v="7"/>
    <x v="131"/>
    <s v="Direct Credit MJ ASB MR S M ALAVI ;Ref: MJ ASB MR S M ALAVI"/>
    <n v="803.21"/>
    <x v="1"/>
    <x v="24"/>
    <x v="1"/>
  </r>
  <r>
    <x v="2"/>
    <x v="0"/>
    <x v="7"/>
    <x v="131"/>
    <s v="TRF 4833481054851032 ;"/>
    <n v="-277.62"/>
    <x v="1"/>
    <x v="24"/>
    <x v="1"/>
  </r>
  <r>
    <x v="2"/>
    <x v="0"/>
    <x v="7"/>
    <x v="131"/>
    <s v="Bill Payment MJ ANZ ALAVI SEYED M ;Ref: MJ ANZ ALAVI SEYED M"/>
    <n v="1003.13"/>
    <x v="1"/>
    <x v="24"/>
    <x v="1"/>
  </r>
  <r>
    <x v="2"/>
    <x v="0"/>
    <x v="7"/>
    <x v="131"/>
    <s v="TRANSFER TO S TAEBI - 01 ;"/>
    <n v="-1883.59"/>
    <x v="1"/>
    <x v="24"/>
    <x v="1"/>
  </r>
  <r>
    <x v="2"/>
    <x v="0"/>
    <x v="7"/>
    <x v="131"/>
    <s v="TRF 4833481054851032 ;"/>
    <n v="-215.74"/>
    <x v="1"/>
    <x v="24"/>
    <x v="1"/>
  </r>
  <r>
    <x v="2"/>
    <x v="0"/>
    <x v="7"/>
    <x v="131"/>
    <s v="AP#18696077 TO HSBC ;HSBC 5B-Cleary"/>
    <n v="-198.87"/>
    <x v="1"/>
    <x v="24"/>
    <x v="1"/>
  </r>
  <r>
    <x v="2"/>
    <x v="0"/>
    <x v="7"/>
    <x v="132"/>
    <s v="Direct Debit -SOUTHERN CROSS MEDICAL CARE SOCIETY ;Ref: 23284297 000 031380392"/>
    <n v="-8.92"/>
    <x v="8"/>
    <x v="25"/>
    <x v="39"/>
  </r>
  <r>
    <x v="2"/>
    <x v="0"/>
    <x v="7"/>
    <x v="134"/>
    <s v="PAY mina ;"/>
    <n v="-176.76"/>
    <x v="4"/>
    <x v="12"/>
    <x v="12"/>
  </r>
  <r>
    <x v="2"/>
    <x v="0"/>
    <x v="7"/>
    <x v="136"/>
    <s v="TRANSFER FROM S TAEBI - 01 ;"/>
    <n v="2675.98"/>
    <x v="1"/>
    <x v="24"/>
    <x v="1"/>
  </r>
  <r>
    <x v="2"/>
    <x v="0"/>
    <x v="7"/>
    <x v="136"/>
    <s v="Direct Credit MJ ASB MR S M ALAVI ;Ref: MJ ASB MR S M ALAVI"/>
    <n v="308.93"/>
    <x v="1"/>
    <x v="24"/>
    <x v="1"/>
  </r>
  <r>
    <x v="2"/>
    <x v="0"/>
    <x v="7"/>
    <x v="137"/>
    <s v="TRANSFER FROM S TAEBI - 01 ;"/>
    <n v="518.02"/>
    <x v="1"/>
    <x v="24"/>
    <x v="1"/>
  </r>
  <r>
    <x v="2"/>
    <x v="0"/>
    <x v="7"/>
    <x v="137"/>
    <s v="TRF 4833481054851032 ;"/>
    <n v="-211.28"/>
    <x v="1"/>
    <x v="24"/>
    <x v="1"/>
  </r>
  <r>
    <x v="2"/>
    <x v="0"/>
    <x v="7"/>
    <x v="137"/>
    <s v="AP#18495353 TO S TAEBI  S M ALAVI ;Transfer to S TAEBI  S M ALAVI - 06"/>
    <n v="-1145.6400000000001"/>
    <x v="1"/>
    <x v="24"/>
    <x v="1"/>
  </r>
  <r>
    <x v="2"/>
    <x v="0"/>
    <x v="7"/>
    <x v="137"/>
    <s v="AP#18495354 TO S TAEBI  S M ALAVI ;Transfer to S TAEBI  S M ALAVI - 07"/>
    <n v="-341.93"/>
    <x v="1"/>
    <x v="24"/>
    <x v="1"/>
  </r>
  <r>
    <x v="2"/>
    <x v="0"/>
    <x v="7"/>
    <x v="137"/>
    <s v="AP#20595693 TO S TAEBI  S M ALAVI ;Transfer to S TAEBI  S M ALAVI - 08"/>
    <n v="-120.18"/>
    <x v="1"/>
    <x v="24"/>
    <x v="1"/>
  </r>
  <r>
    <x v="2"/>
    <x v="0"/>
    <x v="7"/>
    <x v="138"/>
    <s v="TRF 4833481054851032 ;"/>
    <n v="-84.33"/>
    <x v="1"/>
    <x v="24"/>
    <x v="1"/>
  </r>
  <r>
    <x v="2"/>
    <x v="0"/>
    <x v="7"/>
    <x v="138"/>
    <s v="Direct Credit MJ ASB MR S M ALAVI ;Ref: MJ ASB MR S M ALAVI"/>
    <n v="123.08"/>
    <x v="1"/>
    <x v="24"/>
    <x v="1"/>
  </r>
  <r>
    <x v="2"/>
    <x v="0"/>
    <x v="7"/>
    <x v="138"/>
    <s v="TRF 4833481054851032 ;"/>
    <n v="-38.19"/>
    <x v="1"/>
    <x v="24"/>
    <x v="1"/>
  </r>
  <r>
    <x v="2"/>
    <x v="0"/>
    <x v="7"/>
    <x v="603"/>
    <s v="TRANSFER FROM S TAEBI - 01 ;"/>
    <n v="509.64"/>
    <x v="1"/>
    <x v="24"/>
    <x v="1"/>
  </r>
  <r>
    <x v="2"/>
    <x v="0"/>
    <x v="7"/>
    <x v="603"/>
    <s v="TRF 4833481054851032 ;"/>
    <n v="-307"/>
    <x v="1"/>
    <x v="24"/>
    <x v="1"/>
  </r>
  <r>
    <x v="2"/>
    <x v="0"/>
    <x v="7"/>
    <x v="139"/>
    <s v="TRANSFER FROM S TAEBI - 01 ;"/>
    <n v="382.37"/>
    <x v="1"/>
    <x v="24"/>
    <x v="1"/>
  </r>
  <r>
    <x v="2"/>
    <x v="0"/>
    <x v="7"/>
    <x v="139"/>
    <s v="TRF 4833481054851032 ;"/>
    <n v="-505.91"/>
    <x v="1"/>
    <x v="24"/>
    <x v="1"/>
  </r>
  <r>
    <x v="2"/>
    <x v="0"/>
    <x v="7"/>
    <x v="140"/>
    <s v="TRF 4833481054851032 ;"/>
    <n v="-24.46"/>
    <x v="1"/>
    <x v="24"/>
    <x v="1"/>
  </r>
  <r>
    <x v="2"/>
    <x v="0"/>
    <x v="7"/>
    <x v="141"/>
    <s v="Salary KIWIBANK FORTNIGHT ;"/>
    <n v="1592.61"/>
    <x v="11"/>
    <x v="22"/>
    <x v="38"/>
  </r>
  <r>
    <x v="2"/>
    <x v="0"/>
    <x v="7"/>
    <x v="141"/>
    <s v="TRF 4833481054851032 ;"/>
    <n v="-55.28"/>
    <x v="1"/>
    <x v="24"/>
    <x v="1"/>
  </r>
  <r>
    <x v="2"/>
    <x v="0"/>
    <x v="7"/>
    <x v="141"/>
    <s v="TRANSFER TO S TAEBI - 01 ;"/>
    <n v="-3264.85"/>
    <x v="1"/>
    <x v="24"/>
    <x v="1"/>
  </r>
  <r>
    <x v="2"/>
    <x v="0"/>
    <x v="7"/>
    <x v="141"/>
    <s v="TRF 4833481054851032 ;"/>
    <n v="-49.77"/>
    <x v="1"/>
    <x v="24"/>
    <x v="1"/>
  </r>
  <r>
    <x v="2"/>
    <x v="0"/>
    <x v="7"/>
    <x v="141"/>
    <s v="Bill Payment MJ ANZ ALAVI SEYED M ;Ref: MJ ANZ ALAVI SEYED M"/>
    <n v="154.49"/>
    <x v="1"/>
    <x v="24"/>
    <x v="1"/>
  </r>
  <r>
    <x v="2"/>
    <x v="0"/>
    <x v="7"/>
    <x v="141"/>
    <s v="Direct Credit MJ ASB MR S M ALAVI ;Ref: MJ ASB MR S M ALAVI"/>
    <n v="1534.95"/>
    <x v="1"/>
    <x v="24"/>
    <x v="1"/>
  </r>
  <r>
    <x v="2"/>
    <x v="0"/>
    <x v="7"/>
    <x v="141"/>
    <s v="TRANSFER TO S TAEBI - 01 ;"/>
    <n v="-1708.78"/>
    <x v="1"/>
    <x v="24"/>
    <x v="1"/>
  </r>
  <r>
    <x v="2"/>
    <x v="0"/>
    <x v="7"/>
    <x v="141"/>
    <s v="Bill Payment NAZERI Y ;"/>
    <n v="25.45"/>
    <x v="3"/>
    <x v="8"/>
    <x v="8"/>
  </r>
  <r>
    <x v="2"/>
    <x v="0"/>
    <x v="7"/>
    <x v="141"/>
    <s v="AP#18696077 TO HSBC ;HSBC 5B-Cleary"/>
    <n v="-1836.79"/>
    <x v="1"/>
    <x v="24"/>
    <x v="1"/>
  </r>
  <r>
    <x v="2"/>
    <x v="0"/>
    <x v="7"/>
    <x v="143"/>
    <s v="TRF 4833481054851032 ;"/>
    <n v="-4.5"/>
    <x v="1"/>
    <x v="24"/>
    <x v="1"/>
  </r>
  <r>
    <x v="2"/>
    <x v="0"/>
    <x v="7"/>
    <x v="143"/>
    <s v="TRF 4833481054851032 ;"/>
    <n v="-38.94"/>
    <x v="1"/>
    <x v="24"/>
    <x v="1"/>
  </r>
  <r>
    <x v="2"/>
    <x v="0"/>
    <x v="7"/>
    <x v="143"/>
    <s v="Direct Debit -SOUTHERN CROSS MEDICAL CARE SOCIETY ;Ref: 23284297 000 031511058"/>
    <n v="-17.66"/>
    <x v="8"/>
    <x v="25"/>
    <x v="39"/>
  </r>
  <r>
    <x v="2"/>
    <x v="0"/>
    <x v="7"/>
    <x v="145"/>
    <s v="TRF 4833481054851032 ;"/>
    <n v="-141.56"/>
    <x v="1"/>
    <x v="24"/>
    <x v="1"/>
  </r>
  <r>
    <x v="2"/>
    <x v="0"/>
    <x v="7"/>
    <x v="146"/>
    <s v="TRF 4833481054851032 ;"/>
    <n v="-0.33"/>
    <x v="1"/>
    <x v="24"/>
    <x v="1"/>
  </r>
  <r>
    <x v="2"/>
    <x v="0"/>
    <x v="7"/>
    <x v="146"/>
    <s v="TRANSFER FROM S TAEBI - 01 ;"/>
    <n v="59.99"/>
    <x v="1"/>
    <x v="24"/>
    <x v="1"/>
  </r>
  <r>
    <x v="2"/>
    <x v="0"/>
    <x v="7"/>
    <x v="146"/>
    <s v="TRANSFER FROM S TAEBI - 01 ;"/>
    <n v="2673.15"/>
    <x v="1"/>
    <x v="24"/>
    <x v="1"/>
  </r>
  <r>
    <x v="2"/>
    <x v="0"/>
    <x v="7"/>
    <x v="146"/>
    <s v="Bill Payment MJ ANZ ALAVI SEYED M ;Ref: MJ ANZ ALAVI SEYED M"/>
    <n v="451.46"/>
    <x v="1"/>
    <x v="24"/>
    <x v="1"/>
  </r>
  <r>
    <x v="2"/>
    <x v="0"/>
    <x v="7"/>
    <x v="147"/>
    <s v="PAY yasi ;ornament ornament"/>
    <n v="-77.95"/>
    <x v="3"/>
    <x v="8"/>
    <x v="8"/>
  </r>
  <r>
    <x v="2"/>
    <x v="0"/>
    <x v="7"/>
    <x v="604"/>
    <s v="TRANSFER FROM S TAEBI - 01 ;"/>
    <n v="355.22"/>
    <x v="1"/>
    <x v="24"/>
    <x v="1"/>
  </r>
  <r>
    <x v="2"/>
    <x v="0"/>
    <x v="7"/>
    <x v="604"/>
    <s v="TRF 4833481054851032 ;"/>
    <n v="-30.77"/>
    <x v="1"/>
    <x v="24"/>
    <x v="1"/>
  </r>
  <r>
    <x v="2"/>
    <x v="0"/>
    <x v="7"/>
    <x v="604"/>
    <s v="TRF 4833481054851032 ;"/>
    <n v="-70.14"/>
    <x v="1"/>
    <x v="24"/>
    <x v="1"/>
  </r>
  <r>
    <x v="2"/>
    <x v="0"/>
    <x v="7"/>
    <x v="604"/>
    <s v="AP#18495353 TO S TAEBI  S M ALAVI ;Transfer to S TAEBI  S M ALAVI - 06"/>
    <n v="-142.16"/>
    <x v="1"/>
    <x v="24"/>
    <x v="1"/>
  </r>
  <r>
    <x v="2"/>
    <x v="0"/>
    <x v="7"/>
    <x v="604"/>
    <s v="AP#18495354 TO S TAEBI  S M ALAVI ;Transfer to S TAEBI  S M ALAVI - 07"/>
    <n v="-1439.6"/>
    <x v="1"/>
    <x v="24"/>
    <x v="1"/>
  </r>
  <r>
    <x v="2"/>
    <x v="0"/>
    <x v="7"/>
    <x v="604"/>
    <s v="AP#20595693 TO S TAEBI  S M ALAVI ;Transfer to S TAEBI  S M ALAVI - 08"/>
    <n v="-140.46"/>
    <x v="1"/>
    <x v="24"/>
    <x v="1"/>
  </r>
  <r>
    <x v="2"/>
    <x v="0"/>
    <x v="7"/>
    <x v="148"/>
    <s v="TRF 4833481054851032 ;"/>
    <n v="-54.71"/>
    <x v="1"/>
    <x v="24"/>
    <x v="1"/>
  </r>
  <r>
    <x v="2"/>
    <x v="0"/>
    <x v="7"/>
    <x v="149"/>
    <s v="TRF 4833481054851032 ;"/>
    <n v="-17.41"/>
    <x v="1"/>
    <x v="24"/>
    <x v="1"/>
  </r>
  <r>
    <x v="2"/>
    <x v="0"/>
    <x v="7"/>
    <x v="150"/>
    <s v="Direct Credit EFT000146932 MARRAM MARRAM COM OPER ;Ref: EFT000146932 MARRAM MARRAM COM OPER"/>
    <n v="13.31"/>
    <x v="3"/>
    <x v="6"/>
    <x v="6"/>
  </r>
  <r>
    <x v="2"/>
    <x v="0"/>
    <x v="7"/>
    <x v="150"/>
    <s v="TRF 4833481054851032 ;"/>
    <n v="-28.67"/>
    <x v="1"/>
    <x v="24"/>
    <x v="1"/>
  </r>
  <r>
    <x v="2"/>
    <x v="0"/>
    <x v="7"/>
    <x v="151"/>
    <s v="TRANSFER FROM S TAEBI - 01 ;"/>
    <n v="449.52"/>
    <x v="1"/>
    <x v="24"/>
    <x v="1"/>
  </r>
  <r>
    <x v="2"/>
    <x v="0"/>
    <x v="7"/>
    <x v="151"/>
    <s v="TRF 4833481054851032 ;"/>
    <n v="-14.82"/>
    <x v="1"/>
    <x v="24"/>
    <x v="1"/>
  </r>
  <r>
    <x v="2"/>
    <x v="0"/>
    <x v="7"/>
    <x v="151"/>
    <s v="TRANSFER FROM S TAEBI - 01 ;"/>
    <n v="839.07"/>
    <x v="1"/>
    <x v="24"/>
    <x v="1"/>
  </r>
  <r>
    <x v="2"/>
    <x v="0"/>
    <x v="7"/>
    <x v="152"/>
    <s v="Salary KIWIBANK FORTNIGHT ;"/>
    <n v="2501"/>
    <x v="11"/>
    <x v="22"/>
    <x v="38"/>
  </r>
  <r>
    <x v="2"/>
    <x v="0"/>
    <x v="7"/>
    <x v="152"/>
    <s v="TRANSFER TO S TAEBI - 01 ;"/>
    <n v="-1444.37"/>
    <x v="1"/>
    <x v="24"/>
    <x v="1"/>
  </r>
  <r>
    <x v="2"/>
    <x v="0"/>
    <x v="7"/>
    <x v="152"/>
    <s v="TRF 4833481054851032 ;"/>
    <n v="-0.43"/>
    <x v="1"/>
    <x v="24"/>
    <x v="1"/>
  </r>
  <r>
    <x v="2"/>
    <x v="0"/>
    <x v="7"/>
    <x v="152"/>
    <s v="Bill Payment MJ ANZ ALAVI SEYED M ;Ref: MJ ANZ ALAVI SEYED M"/>
    <n v="1443.95"/>
    <x v="1"/>
    <x v="24"/>
    <x v="1"/>
  </r>
  <r>
    <x v="2"/>
    <x v="0"/>
    <x v="7"/>
    <x v="152"/>
    <s v="Direct Credit MJ ASB MR S M ALAVI ;Ref: MJ ASB MR S M ALAVI"/>
    <n v="213.82"/>
    <x v="1"/>
    <x v="24"/>
    <x v="1"/>
  </r>
  <r>
    <x v="2"/>
    <x v="0"/>
    <x v="7"/>
    <x v="152"/>
    <s v="TRANSFER TO S TAEBI - 01 ;"/>
    <n v="-3097.89"/>
    <x v="1"/>
    <x v="24"/>
    <x v="1"/>
  </r>
  <r>
    <x v="2"/>
    <x v="0"/>
    <x v="7"/>
    <x v="152"/>
    <s v="Direct Credit MJ ASB MR S M ALAVI ;Ref: MJ ASB MR S M ALAVI"/>
    <n v="36.15"/>
    <x v="1"/>
    <x v="24"/>
    <x v="1"/>
  </r>
  <r>
    <x v="2"/>
    <x v="0"/>
    <x v="7"/>
    <x v="152"/>
    <s v="AP#18696077 TO HSBC ;HSBC 5B-Cleary"/>
    <n v="-1010.39"/>
    <x v="1"/>
    <x v="24"/>
    <x v="1"/>
  </r>
  <r>
    <x v="2"/>
    <x v="0"/>
    <x v="7"/>
    <x v="153"/>
    <s v="TRF 4833481054851032 ;"/>
    <n v="-8.75"/>
    <x v="1"/>
    <x v="24"/>
    <x v="1"/>
  </r>
  <r>
    <x v="2"/>
    <x v="0"/>
    <x v="7"/>
    <x v="153"/>
    <s v="TRANSFER FROM S TAEBI - 01 ;"/>
    <n v="351.78"/>
    <x v="1"/>
    <x v="24"/>
    <x v="1"/>
  </r>
  <r>
    <x v="2"/>
    <x v="0"/>
    <x v="7"/>
    <x v="153"/>
    <s v="TRF 4833481054851032 ;"/>
    <n v="-22.43"/>
    <x v="1"/>
    <x v="24"/>
    <x v="1"/>
  </r>
  <r>
    <x v="2"/>
    <x v="0"/>
    <x v="7"/>
    <x v="153"/>
    <s v="TRF 4833481054851032 ;"/>
    <n v="-8.18"/>
    <x v="1"/>
    <x v="24"/>
    <x v="1"/>
  </r>
  <r>
    <x v="2"/>
    <x v="0"/>
    <x v="7"/>
    <x v="153"/>
    <s v="TRF 4833481054851032 ;"/>
    <n v="-261.32"/>
    <x v="1"/>
    <x v="24"/>
    <x v="1"/>
  </r>
  <r>
    <x v="2"/>
    <x v="0"/>
    <x v="7"/>
    <x v="153"/>
    <s v="FROM S M ALAVI  S TAEBI ;"/>
    <n v="57.96"/>
    <x v="1"/>
    <x v="24"/>
    <x v="1"/>
  </r>
  <r>
    <x v="2"/>
    <x v="0"/>
    <x v="7"/>
    <x v="153"/>
    <s v="FROM S M ALAVI  S TAEBI ;"/>
    <n v="476.16"/>
    <x v="1"/>
    <x v="24"/>
    <x v="1"/>
  </r>
  <r>
    <x v="2"/>
    <x v="0"/>
    <x v="7"/>
    <x v="153"/>
    <s v="TRANSFER TO S M ALAVI  S TAEBI - 00 ;Mortgage 5B Cleary"/>
    <n v="-254.06"/>
    <x v="1"/>
    <x v="24"/>
    <x v="1"/>
  </r>
  <r>
    <x v="2"/>
    <x v="0"/>
    <x v="7"/>
    <x v="153"/>
    <s v="TRANSFER FROM S TAEBI - 01 ;"/>
    <n v="42.25"/>
    <x v="1"/>
    <x v="24"/>
    <x v="1"/>
  </r>
  <r>
    <x v="2"/>
    <x v="0"/>
    <x v="7"/>
    <x v="153"/>
    <s v="TRANSFER TO S TAEBI - 01 ;"/>
    <n v="-567.73"/>
    <x v="1"/>
    <x v="24"/>
    <x v="1"/>
  </r>
  <r>
    <x v="2"/>
    <x v="0"/>
    <x v="7"/>
    <x v="605"/>
    <s v="TRF 4833481054851032 ;"/>
    <n v="-1.62"/>
    <x v="1"/>
    <x v="24"/>
    <x v="1"/>
  </r>
  <r>
    <x v="2"/>
    <x v="0"/>
    <x v="7"/>
    <x v="605"/>
    <s v="Direct Debit -SOUTHERN CROSS MEDICAL CARE SOCIETY ;Ref: 23284297 000 031642746"/>
    <n v="-0.28000000000000003"/>
    <x v="8"/>
    <x v="25"/>
    <x v="39"/>
  </r>
  <r>
    <x v="2"/>
    <x v="0"/>
    <x v="7"/>
    <x v="282"/>
    <s v="TRF 4833481054851032 ;"/>
    <n v="-0.14000000000000001"/>
    <x v="1"/>
    <x v="24"/>
    <x v="1"/>
  </r>
  <r>
    <x v="2"/>
    <x v="0"/>
    <x v="7"/>
    <x v="282"/>
    <s v="TRF 4833481054851032 ;"/>
    <n v="-2.0499999999999998"/>
    <x v="1"/>
    <x v="24"/>
    <x v="1"/>
  </r>
  <r>
    <x v="2"/>
    <x v="0"/>
    <x v="7"/>
    <x v="154"/>
    <s v="TRANSFER FROM S TAEBI - 01 ;"/>
    <n v="456.38"/>
    <x v="1"/>
    <x v="24"/>
    <x v="1"/>
  </r>
  <r>
    <x v="2"/>
    <x v="0"/>
    <x v="7"/>
    <x v="154"/>
    <s v="TRF 4833481054851032 ;"/>
    <n v="-43.51"/>
    <x v="1"/>
    <x v="24"/>
    <x v="1"/>
  </r>
  <r>
    <x v="2"/>
    <x v="0"/>
    <x v="7"/>
    <x v="155"/>
    <s v="TRF 4833481054851032 ;"/>
    <n v="-7.03"/>
    <x v="1"/>
    <x v="24"/>
    <x v="1"/>
  </r>
  <r>
    <x v="2"/>
    <x v="0"/>
    <x v="7"/>
    <x v="155"/>
    <s v="TRF 4833481054851032 ;"/>
    <n v="-29.56"/>
    <x v="1"/>
    <x v="24"/>
    <x v="1"/>
  </r>
  <r>
    <x v="2"/>
    <x v="0"/>
    <x v="7"/>
    <x v="156"/>
    <s v="TRANSFER FROM S TAEBI - 01 ;"/>
    <n v="4373.7299999999996"/>
    <x v="1"/>
    <x v="24"/>
    <x v="1"/>
  </r>
  <r>
    <x v="2"/>
    <x v="0"/>
    <x v="7"/>
    <x v="156"/>
    <s v="FROM S M ALAVI  S TAEBI ;"/>
    <n v="624.69000000000005"/>
    <x v="1"/>
    <x v="24"/>
    <x v="1"/>
  </r>
  <r>
    <x v="2"/>
    <x v="0"/>
    <x v="7"/>
    <x v="156"/>
    <s v="TRANSFER FROM S TAEBI - 01 ;"/>
    <n v="32.229999999999997"/>
    <x v="1"/>
    <x v="24"/>
    <x v="1"/>
  </r>
  <r>
    <x v="2"/>
    <x v="0"/>
    <x v="7"/>
    <x v="156"/>
    <s v="TRF 4833481054851032 ;"/>
    <n v="-34.26"/>
    <x v="1"/>
    <x v="24"/>
    <x v="1"/>
  </r>
  <r>
    <x v="2"/>
    <x v="0"/>
    <x v="7"/>
    <x v="156"/>
    <s v="Bill Payment MJ ANZ ALAVI SEYED M ;Ref: MJ ANZ ALAVI SEYED M"/>
    <n v="1047.57"/>
    <x v="1"/>
    <x v="24"/>
    <x v="1"/>
  </r>
  <r>
    <x v="2"/>
    <x v="0"/>
    <x v="7"/>
    <x v="156"/>
    <s v="AP#22653868 TO S M ALAVI  S TAEBI ;Pay S M ALAVI  S TAEBI"/>
    <n v="-202.02"/>
    <x v="1"/>
    <x v="24"/>
    <x v="1"/>
  </r>
  <r>
    <x v="2"/>
    <x v="0"/>
    <x v="7"/>
    <x v="157"/>
    <s v="TRF 4833481054851032 ;"/>
    <n v="-4.46"/>
    <x v="1"/>
    <x v="24"/>
    <x v="1"/>
  </r>
  <r>
    <x v="2"/>
    <x v="0"/>
    <x v="7"/>
    <x v="157"/>
    <s v="TRANSFER TO S TAEBI - 01 ;"/>
    <n v="-477.57"/>
    <x v="1"/>
    <x v="24"/>
    <x v="1"/>
  </r>
  <r>
    <x v="2"/>
    <x v="0"/>
    <x v="7"/>
    <x v="157"/>
    <s v="TRF 4833481054851032 ;"/>
    <n v="-15.21"/>
    <x v="1"/>
    <x v="24"/>
    <x v="1"/>
  </r>
  <r>
    <x v="2"/>
    <x v="0"/>
    <x v="7"/>
    <x v="606"/>
    <s v="AP#18495353 TO S TAEBI  S M ALAVI ;Transfer to S TAEBI  S M ALAVI - 06"/>
    <n v="-673.68"/>
    <x v="1"/>
    <x v="24"/>
    <x v="1"/>
  </r>
  <r>
    <x v="2"/>
    <x v="0"/>
    <x v="7"/>
    <x v="606"/>
    <s v="AP#18495354 TO S TAEBI  S M ALAVI ;Transfer to S TAEBI  S M ALAVI - 07"/>
    <n v="-84.22"/>
    <x v="1"/>
    <x v="24"/>
    <x v="1"/>
  </r>
  <r>
    <x v="2"/>
    <x v="0"/>
    <x v="7"/>
    <x v="606"/>
    <s v="AP#20595693 TO S TAEBI  S M ALAVI ;Transfer to S TAEBI  S M ALAVI - 08"/>
    <n v="-277.57"/>
    <x v="1"/>
    <x v="24"/>
    <x v="1"/>
  </r>
  <r>
    <x v="2"/>
    <x v="0"/>
    <x v="7"/>
    <x v="158"/>
    <s v="TRF 4833481054851032 ;"/>
    <n v="-81.040000000000006"/>
    <x v="1"/>
    <x v="24"/>
    <x v="1"/>
  </r>
  <r>
    <x v="2"/>
    <x v="0"/>
    <x v="7"/>
    <x v="158"/>
    <s v="Bill Payment MJ ANZ ALAVI SEYED M ;Ref: MJ ANZ ALAVI SEYED M"/>
    <n v="73.44"/>
    <x v="1"/>
    <x v="24"/>
    <x v="1"/>
  </r>
  <r>
    <x v="2"/>
    <x v="0"/>
    <x v="7"/>
    <x v="158"/>
    <s v="TRF 4833481054851032 ;"/>
    <n v="-45.84"/>
    <x v="1"/>
    <x v="24"/>
    <x v="1"/>
  </r>
  <r>
    <x v="2"/>
    <x v="0"/>
    <x v="7"/>
    <x v="159"/>
    <s v="TRANSFER FROM S TAEBI - 01 ;"/>
    <n v="574.13"/>
    <x v="1"/>
    <x v="24"/>
    <x v="1"/>
  </r>
  <r>
    <x v="2"/>
    <x v="0"/>
    <x v="7"/>
    <x v="159"/>
    <s v="TRF 4833481054851032 ;"/>
    <n v="-472.13"/>
    <x v="1"/>
    <x v="24"/>
    <x v="1"/>
  </r>
  <r>
    <x v="2"/>
    <x v="0"/>
    <x v="7"/>
    <x v="159"/>
    <s v="TRANSFER FROM S TAEBI - 01 ;"/>
    <n v="381.63"/>
    <x v="1"/>
    <x v="24"/>
    <x v="1"/>
  </r>
  <r>
    <x v="2"/>
    <x v="0"/>
    <x v="7"/>
    <x v="159"/>
    <s v="TRF 4833481054851032 ;"/>
    <n v="-589.04"/>
    <x v="1"/>
    <x v="24"/>
    <x v="1"/>
  </r>
  <r>
    <x v="2"/>
    <x v="0"/>
    <x v="7"/>
    <x v="159"/>
    <s v="TRANSFER FROM S TAEBI - 01 ;"/>
    <n v="3404.94"/>
    <x v="1"/>
    <x v="24"/>
    <x v="1"/>
  </r>
  <r>
    <x v="2"/>
    <x v="0"/>
    <x v="7"/>
    <x v="159"/>
    <s v="TRF 4833481054851032 ;"/>
    <n v="-1081.56"/>
    <x v="1"/>
    <x v="24"/>
    <x v="1"/>
  </r>
  <r>
    <x v="2"/>
    <x v="0"/>
    <x v="7"/>
    <x v="159"/>
    <s v="Direct Credit MJ ASB MR S M ALAVI ;Ref: MJ ASB MR S M ALAVI"/>
    <n v="153.69999999999999"/>
    <x v="1"/>
    <x v="24"/>
    <x v="1"/>
  </r>
  <r>
    <x v="2"/>
    <x v="0"/>
    <x v="7"/>
    <x v="159"/>
    <s v="TRF 4833481054851032 ;"/>
    <n v="-241.69"/>
    <x v="1"/>
    <x v="24"/>
    <x v="1"/>
  </r>
  <r>
    <x v="2"/>
    <x v="0"/>
    <x v="7"/>
    <x v="159"/>
    <s v="TRANSFER FROM S TAEBI - 01 ;"/>
    <n v="520.73"/>
    <x v="1"/>
    <x v="24"/>
    <x v="1"/>
  </r>
  <r>
    <x v="2"/>
    <x v="0"/>
    <x v="7"/>
    <x v="159"/>
    <s v="PAY mina ;"/>
    <n v="-57.53"/>
    <x v="4"/>
    <x v="12"/>
    <x v="12"/>
  </r>
  <r>
    <x v="2"/>
    <x v="0"/>
    <x v="7"/>
    <x v="159"/>
    <s v="TRF 4833481054851032 ;"/>
    <n v="-16.16"/>
    <x v="1"/>
    <x v="24"/>
    <x v="1"/>
  </r>
  <r>
    <x v="2"/>
    <x v="0"/>
    <x v="7"/>
    <x v="160"/>
    <s v="TRF 4833481054851032 ;"/>
    <n v="-144.41"/>
    <x v="1"/>
    <x v="24"/>
    <x v="1"/>
  </r>
  <r>
    <x v="2"/>
    <x v="0"/>
    <x v="7"/>
    <x v="160"/>
    <s v="Direct Credit MJ ASB MR S M ALAVI ;Ref: MJ ASB MR S M ALAVI"/>
    <n v="61.91"/>
    <x v="1"/>
    <x v="24"/>
    <x v="1"/>
  </r>
  <r>
    <x v="2"/>
    <x v="0"/>
    <x v="7"/>
    <x v="160"/>
    <s v="TRF 4833481054851032 ;"/>
    <n v="-87.07"/>
    <x v="1"/>
    <x v="24"/>
    <x v="1"/>
  </r>
  <r>
    <x v="2"/>
    <x v="0"/>
    <x v="7"/>
    <x v="160"/>
    <s v="Direct Credit MJ ASB MR S M ALAVI ;Ref: MJ ASB MR S M ALAVI"/>
    <n v="248.3"/>
    <x v="1"/>
    <x v="24"/>
    <x v="1"/>
  </r>
  <r>
    <x v="2"/>
    <x v="0"/>
    <x v="7"/>
    <x v="161"/>
    <s v="TRF 4833481054851032 ;"/>
    <n v="-144.91999999999999"/>
    <x v="1"/>
    <x v="24"/>
    <x v="1"/>
  </r>
  <r>
    <x v="2"/>
    <x v="0"/>
    <x v="7"/>
    <x v="162"/>
    <s v="Salary KIWIBANK FORTNIGHT ;"/>
    <n v="2521.87"/>
    <x v="11"/>
    <x v="22"/>
    <x v="38"/>
  </r>
  <r>
    <x v="2"/>
    <x v="0"/>
    <x v="7"/>
    <x v="162"/>
    <s v="TRF 4833481054851032 ;"/>
    <n v="-96.85"/>
    <x v="1"/>
    <x v="24"/>
    <x v="1"/>
  </r>
  <r>
    <x v="2"/>
    <x v="0"/>
    <x v="7"/>
    <x v="162"/>
    <s v="Bill Payment MJ ANZ ALAVI SEYED M ;Ref: MJ ANZ ALAVI SEYED M"/>
    <n v="544.01"/>
    <x v="1"/>
    <x v="24"/>
    <x v="1"/>
  </r>
  <r>
    <x v="2"/>
    <x v="0"/>
    <x v="7"/>
    <x v="162"/>
    <s v="Direct Credit MJ ASB MR S M ALAVI ;Ref: MJ ASB MR S M ALAVI"/>
    <n v="105.34"/>
    <x v="1"/>
    <x v="24"/>
    <x v="1"/>
  </r>
  <r>
    <x v="2"/>
    <x v="0"/>
    <x v="7"/>
    <x v="162"/>
    <s v="TRANSFER TO S TAEBI - 01 ;"/>
    <n v="-3731.79"/>
    <x v="1"/>
    <x v="24"/>
    <x v="1"/>
  </r>
  <r>
    <x v="2"/>
    <x v="0"/>
    <x v="7"/>
    <x v="162"/>
    <s v="AP#22653868 TO S M ALAVI  S TAEBI ;Pay S M ALAVI  S TAEBI"/>
    <n v="-415.49"/>
    <x v="1"/>
    <x v="24"/>
    <x v="1"/>
  </r>
  <r>
    <x v="2"/>
    <x v="0"/>
    <x v="7"/>
    <x v="163"/>
    <s v="TRF 4833481054851032 ;"/>
    <n v="-48.16"/>
    <x v="1"/>
    <x v="24"/>
    <x v="1"/>
  </r>
  <r>
    <x v="2"/>
    <x v="0"/>
    <x v="7"/>
    <x v="163"/>
    <s v="TRANSFER FROM S TAEBI - 01 ;"/>
    <n v="64.349999999999994"/>
    <x v="1"/>
    <x v="24"/>
    <x v="1"/>
  </r>
  <r>
    <x v="2"/>
    <x v="0"/>
    <x v="7"/>
    <x v="164"/>
    <s v="TRF 4833481054851032 ;"/>
    <n v="-700.23"/>
    <x v="1"/>
    <x v="24"/>
    <x v="1"/>
  </r>
  <r>
    <x v="2"/>
    <x v="0"/>
    <x v="7"/>
    <x v="164"/>
    <s v="Direct Debit -SOUTHERN CROSS MEDICAL CARE SOCIETY ;Ref: 23284297 000 031771385"/>
    <n v="-9.68"/>
    <x v="8"/>
    <x v="25"/>
    <x v="39"/>
  </r>
  <r>
    <x v="2"/>
    <x v="0"/>
    <x v="7"/>
    <x v="165"/>
    <s v="TRANSFER FROM S TAEBI - 01 ;"/>
    <n v="251.85"/>
    <x v="1"/>
    <x v="24"/>
    <x v="1"/>
  </r>
  <r>
    <x v="2"/>
    <x v="0"/>
    <x v="7"/>
    <x v="165"/>
    <s v="TRF 4833481054851032 ;"/>
    <n v="-293.31"/>
    <x v="1"/>
    <x v="24"/>
    <x v="1"/>
  </r>
  <r>
    <x v="2"/>
    <x v="0"/>
    <x v="7"/>
    <x v="165"/>
    <s v="TRANSFER FROM S TAEBI - 01 ;"/>
    <n v="716.3"/>
    <x v="1"/>
    <x v="24"/>
    <x v="1"/>
  </r>
  <r>
    <x v="2"/>
    <x v="0"/>
    <x v="7"/>
    <x v="165"/>
    <s v="TRF 4833481054851032 ;"/>
    <n v="-203.46"/>
    <x v="1"/>
    <x v="24"/>
    <x v="1"/>
  </r>
  <r>
    <x v="2"/>
    <x v="0"/>
    <x v="7"/>
    <x v="166"/>
    <s v="TRF 4833481054851032 ;"/>
    <n v="-5.47"/>
    <x v="1"/>
    <x v="24"/>
    <x v="1"/>
  </r>
  <r>
    <x v="2"/>
    <x v="0"/>
    <x v="7"/>
    <x v="166"/>
    <s v="TRF 4833481054851032 ;"/>
    <n v="-98.13"/>
    <x v="1"/>
    <x v="24"/>
    <x v="1"/>
  </r>
  <r>
    <x v="2"/>
    <x v="0"/>
    <x v="7"/>
    <x v="167"/>
    <s v="Direct Credit MJ ASB MR S M ALAVI ;Ref: MJ ASB MR S M ALAVI"/>
    <n v="103.59"/>
    <x v="1"/>
    <x v="24"/>
    <x v="1"/>
  </r>
  <r>
    <x v="2"/>
    <x v="0"/>
    <x v="7"/>
    <x v="167"/>
    <s v="TRF 4833481054851032 ;"/>
    <n v="-1.1000000000000001"/>
    <x v="1"/>
    <x v="24"/>
    <x v="1"/>
  </r>
  <r>
    <x v="2"/>
    <x v="0"/>
    <x v="7"/>
    <x v="167"/>
    <s v="Direct Credit MJ ASB MR S M ALAVI ;Ref: MJ ASB MR S M ALAVI"/>
    <n v="223"/>
    <x v="1"/>
    <x v="24"/>
    <x v="1"/>
  </r>
  <r>
    <x v="2"/>
    <x v="0"/>
    <x v="7"/>
    <x v="167"/>
    <s v="TRF 4833481054851032 ;"/>
    <n v="-189.49"/>
    <x v="1"/>
    <x v="24"/>
    <x v="1"/>
  </r>
  <r>
    <x v="2"/>
    <x v="0"/>
    <x v="7"/>
    <x v="167"/>
    <s v="TRF 4833481054851032 ;"/>
    <n v="-19.43"/>
    <x v="1"/>
    <x v="24"/>
    <x v="1"/>
  </r>
  <r>
    <x v="2"/>
    <x v="0"/>
    <x v="7"/>
    <x v="168"/>
    <s v="Bill Payment MJ ANZ ALAVI SEYED M ;Ref: MJ ANZ ALAVI SEYED M"/>
    <n v="803.51"/>
    <x v="1"/>
    <x v="24"/>
    <x v="1"/>
  </r>
  <r>
    <x v="2"/>
    <x v="0"/>
    <x v="7"/>
    <x v="168"/>
    <s v="TRF 4833481054851032 ;"/>
    <n v="-71.260000000000005"/>
    <x v="1"/>
    <x v="24"/>
    <x v="1"/>
  </r>
  <r>
    <x v="2"/>
    <x v="0"/>
    <x v="7"/>
    <x v="168"/>
    <s v="AP#22653868 TO S M ALAVI  S TAEBI ;Pay S M ALAVI  S TAEBI"/>
    <n v="-41.97"/>
    <x v="1"/>
    <x v="24"/>
    <x v="1"/>
  </r>
  <r>
    <x v="2"/>
    <x v="0"/>
    <x v="7"/>
    <x v="169"/>
    <s v="TRANSFER FROM S TAEBI - 01 ;"/>
    <n v="926.43"/>
    <x v="1"/>
    <x v="24"/>
    <x v="1"/>
  </r>
  <r>
    <x v="2"/>
    <x v="0"/>
    <x v="7"/>
    <x v="170"/>
    <s v="TRANSFER FROM S TAEBI - 01 ;"/>
    <n v="77"/>
    <x v="1"/>
    <x v="24"/>
    <x v="1"/>
  </r>
  <r>
    <x v="2"/>
    <x v="0"/>
    <x v="7"/>
    <x v="170"/>
    <s v="AP#18495353 TO S TAEBI  S M ALAVI ;Transfer to S TAEBI  S M ALAVI - 06"/>
    <n v="-866.74"/>
    <x v="1"/>
    <x v="24"/>
    <x v="1"/>
  </r>
  <r>
    <x v="2"/>
    <x v="0"/>
    <x v="7"/>
    <x v="170"/>
    <s v="AP#18495354 TO S TAEBI  S M ALAVI ;Transfer to S TAEBI  S M ALAVI - 07"/>
    <n v="-1561.64"/>
    <x v="1"/>
    <x v="24"/>
    <x v="1"/>
  </r>
  <r>
    <x v="2"/>
    <x v="0"/>
    <x v="7"/>
    <x v="170"/>
    <s v="AP#20595693 TO S TAEBI  S M ALAVI ;Transfer to S TAEBI  S M ALAVI - 08"/>
    <n v="-103.54"/>
    <x v="1"/>
    <x v="24"/>
    <x v="1"/>
  </r>
  <r>
    <x v="2"/>
    <x v="0"/>
    <x v="7"/>
    <x v="284"/>
    <s v="TRF 4833481054851032 ;"/>
    <n v="-10.52"/>
    <x v="1"/>
    <x v="24"/>
    <x v="1"/>
  </r>
  <r>
    <x v="2"/>
    <x v="0"/>
    <x v="7"/>
    <x v="171"/>
    <s v="TRF 4833481054851032 ;"/>
    <n v="-57.76"/>
    <x v="1"/>
    <x v="24"/>
    <x v="1"/>
  </r>
  <r>
    <x v="2"/>
    <x v="0"/>
    <x v="7"/>
    <x v="173"/>
    <s v="TRANSFER FROM S TAEBI - 01 ;"/>
    <n v="88.28"/>
    <x v="1"/>
    <x v="24"/>
    <x v="1"/>
  </r>
  <r>
    <x v="2"/>
    <x v="0"/>
    <x v="7"/>
    <x v="173"/>
    <s v="PAY MJ ASB ;"/>
    <n v="-33.75"/>
    <x v="1"/>
    <x v="24"/>
    <x v="1"/>
  </r>
  <r>
    <x v="2"/>
    <x v="0"/>
    <x v="7"/>
    <x v="173"/>
    <s v="TRF 4833481054851032 ;"/>
    <n v="-195.78"/>
    <x v="1"/>
    <x v="24"/>
    <x v="1"/>
  </r>
  <r>
    <x v="2"/>
    <x v="0"/>
    <x v="7"/>
    <x v="174"/>
    <s v="Salary KIWIBANK FORTNIGHT ;"/>
    <n v="5341.37"/>
    <x v="11"/>
    <x v="22"/>
    <x v="38"/>
  </r>
  <r>
    <x v="2"/>
    <x v="0"/>
    <x v="7"/>
    <x v="174"/>
    <s v="Direct Credit MJ ASB MR S M ALAVI ;Ref: MJ ASB MR S M ALAVI"/>
    <n v="1805.37"/>
    <x v="1"/>
    <x v="24"/>
    <x v="1"/>
  </r>
  <r>
    <x v="2"/>
    <x v="0"/>
    <x v="7"/>
    <x v="174"/>
    <s v="TRF 4833481054851032 ;"/>
    <n v="-37.03"/>
    <x v="1"/>
    <x v="24"/>
    <x v="1"/>
  </r>
  <r>
    <x v="2"/>
    <x v="0"/>
    <x v="7"/>
    <x v="174"/>
    <s v="TRF 4833481054851032 ;"/>
    <n v="-13.5"/>
    <x v="1"/>
    <x v="24"/>
    <x v="1"/>
  </r>
  <r>
    <x v="2"/>
    <x v="0"/>
    <x v="7"/>
    <x v="174"/>
    <s v="Bill Payment MJ ANZ ALAVI SEYED M ;Ref: MJ ANZ ALAVI SEYED M"/>
    <n v="721.68"/>
    <x v="1"/>
    <x v="24"/>
    <x v="1"/>
  </r>
  <r>
    <x v="2"/>
    <x v="0"/>
    <x v="7"/>
    <x v="174"/>
    <s v="AP#22653868 TO S M ALAVI  S TAEBI ;Pay S M ALAVI  S TAEBI"/>
    <n v="-348.98"/>
    <x v="1"/>
    <x v="24"/>
    <x v="1"/>
  </r>
  <r>
    <x v="2"/>
    <x v="0"/>
    <x v="7"/>
    <x v="175"/>
    <s v="TRANSFER TO S TAEBI - 01 ;"/>
    <n v="-127.94"/>
    <x v="1"/>
    <x v="24"/>
    <x v="1"/>
  </r>
  <r>
    <x v="2"/>
    <x v="0"/>
    <x v="7"/>
    <x v="175"/>
    <s v="TRANSFER FROM S TAEBI - 01 ;"/>
    <n v="248.72"/>
    <x v="1"/>
    <x v="24"/>
    <x v="1"/>
  </r>
  <r>
    <x v="2"/>
    <x v="0"/>
    <x v="7"/>
    <x v="175"/>
    <s v="TRF 4833481054851032 ;"/>
    <n v="-620.52"/>
    <x v="1"/>
    <x v="24"/>
    <x v="1"/>
  </r>
  <r>
    <x v="2"/>
    <x v="0"/>
    <x v="7"/>
    <x v="285"/>
    <s v="TRF 4833481054851032 ;"/>
    <n v="-33.619999999999997"/>
    <x v="1"/>
    <x v="24"/>
    <x v="1"/>
  </r>
  <r>
    <x v="2"/>
    <x v="0"/>
    <x v="7"/>
    <x v="285"/>
    <s v="TRF 4833481054851032 ;"/>
    <n v="-69.150000000000006"/>
    <x v="1"/>
    <x v="24"/>
    <x v="1"/>
  </r>
  <r>
    <x v="2"/>
    <x v="0"/>
    <x v="7"/>
    <x v="285"/>
    <s v="Direct Debit -SOUTHERN CROSS MEDICAL CARE SOCIETY ;Ref: 23284297 000 031904046"/>
    <n v="-18.170000000000002"/>
    <x v="8"/>
    <x v="25"/>
    <x v="39"/>
  </r>
  <r>
    <x v="2"/>
    <x v="0"/>
    <x v="7"/>
    <x v="176"/>
    <s v="TRANSFER FROM S TAEBI - 01 ;"/>
    <n v="735.31"/>
    <x v="1"/>
    <x v="24"/>
    <x v="1"/>
  </r>
  <r>
    <x v="2"/>
    <x v="0"/>
    <x v="7"/>
    <x v="176"/>
    <s v="TRF 4833481054851032 ;"/>
    <n v="-6.56"/>
    <x v="1"/>
    <x v="24"/>
    <x v="1"/>
  </r>
  <r>
    <x v="2"/>
    <x v="0"/>
    <x v="7"/>
    <x v="176"/>
    <s v="TRF 4833481054851032 ;"/>
    <n v="-12.05"/>
    <x v="1"/>
    <x v="24"/>
    <x v="1"/>
  </r>
  <r>
    <x v="2"/>
    <x v="0"/>
    <x v="7"/>
    <x v="176"/>
    <s v="TRF 4833481054851032 ;"/>
    <n v="-204.03"/>
    <x v="1"/>
    <x v="24"/>
    <x v="1"/>
  </r>
  <r>
    <x v="2"/>
    <x v="0"/>
    <x v="7"/>
    <x v="176"/>
    <s v="TRF 4833481054851032 ;"/>
    <n v="-94.29"/>
    <x v="1"/>
    <x v="24"/>
    <x v="1"/>
  </r>
  <r>
    <x v="2"/>
    <x v="0"/>
    <x v="7"/>
    <x v="177"/>
    <s v="TRF 4833481054851032 ;"/>
    <n v="-18.5"/>
    <x v="1"/>
    <x v="24"/>
    <x v="1"/>
  </r>
  <r>
    <x v="2"/>
    <x v="0"/>
    <x v="7"/>
    <x v="177"/>
    <s v="TRF 4833481054851032 ;"/>
    <n v="-58.27"/>
    <x v="1"/>
    <x v="24"/>
    <x v="1"/>
  </r>
  <r>
    <x v="2"/>
    <x v="0"/>
    <x v="7"/>
    <x v="177"/>
    <s v="TRF 4833481054851032 ;"/>
    <n v="-102.26"/>
    <x v="1"/>
    <x v="24"/>
    <x v="1"/>
  </r>
  <r>
    <x v="2"/>
    <x v="0"/>
    <x v="7"/>
    <x v="177"/>
    <s v="TRANSFER TO S TAEBI - 01 ;"/>
    <n v="-3373.05"/>
    <x v="1"/>
    <x v="24"/>
    <x v="1"/>
  </r>
  <r>
    <x v="2"/>
    <x v="0"/>
    <x v="7"/>
    <x v="177"/>
    <s v="PAY MJ ASB ;"/>
    <n v="-90.4"/>
    <x v="1"/>
    <x v="24"/>
    <x v="1"/>
  </r>
  <r>
    <x v="2"/>
    <x v="0"/>
    <x v="7"/>
    <x v="607"/>
    <s v="TRANSFER FROM S TAEBI - 01 ;"/>
    <n v="388.73"/>
    <x v="1"/>
    <x v="24"/>
    <x v="1"/>
  </r>
  <r>
    <x v="2"/>
    <x v="0"/>
    <x v="7"/>
    <x v="607"/>
    <s v="TRF 4833481054851032 ;"/>
    <n v="-301.69"/>
    <x v="1"/>
    <x v="24"/>
    <x v="1"/>
  </r>
  <r>
    <x v="2"/>
    <x v="0"/>
    <x v="7"/>
    <x v="179"/>
    <s v="TRANSFER FROM S TAEBI - 01 ;"/>
    <n v="1373.44"/>
    <x v="1"/>
    <x v="24"/>
    <x v="1"/>
  </r>
  <r>
    <x v="2"/>
    <x v="0"/>
    <x v="7"/>
    <x v="179"/>
    <s v="TRF 4833481054851032 ;"/>
    <n v="-11.81"/>
    <x v="1"/>
    <x v="24"/>
    <x v="1"/>
  </r>
  <r>
    <x v="2"/>
    <x v="0"/>
    <x v="7"/>
    <x v="179"/>
    <s v="Bill Payment MJ ANZ ALAVI SEYED M ;Ref: MJ ANZ ALAVI SEYED M"/>
    <n v="599.70000000000005"/>
    <x v="1"/>
    <x v="24"/>
    <x v="1"/>
  </r>
  <r>
    <x v="2"/>
    <x v="0"/>
    <x v="7"/>
    <x v="179"/>
    <s v="TRF 4833481054851032 ;"/>
    <n v="-178.03"/>
    <x v="1"/>
    <x v="24"/>
    <x v="1"/>
  </r>
  <r>
    <x v="2"/>
    <x v="0"/>
    <x v="7"/>
    <x v="179"/>
    <s v="AP#22653868 TO S M ALAVI  S TAEBI ;Pay S M ALAVI  S TAEBI"/>
    <n v="-571.66999999999996"/>
    <x v="1"/>
    <x v="24"/>
    <x v="1"/>
  </r>
  <r>
    <x v="2"/>
    <x v="0"/>
    <x v="7"/>
    <x v="180"/>
    <s v="TRF 4833481054851032 ;"/>
    <n v="-58.75"/>
    <x v="1"/>
    <x v="24"/>
    <x v="1"/>
  </r>
  <r>
    <x v="2"/>
    <x v="0"/>
    <x v="7"/>
    <x v="608"/>
    <s v="TRF 4833481054851032 ;"/>
    <n v="-12.46"/>
    <x v="1"/>
    <x v="24"/>
    <x v="1"/>
  </r>
  <r>
    <x v="2"/>
    <x v="0"/>
    <x v="7"/>
    <x v="608"/>
    <s v="TRF 4833481054851032 ;"/>
    <n v="-10.14"/>
    <x v="1"/>
    <x v="24"/>
    <x v="1"/>
  </r>
  <r>
    <x v="2"/>
    <x v="0"/>
    <x v="7"/>
    <x v="608"/>
    <s v="Bill Payment MJ ANZ ALAVI SEYED M ;Ref: MJ ANZ ALAVI SEYED M"/>
    <n v="217.76"/>
    <x v="1"/>
    <x v="24"/>
    <x v="1"/>
  </r>
  <r>
    <x v="2"/>
    <x v="0"/>
    <x v="7"/>
    <x v="608"/>
    <s v="TRANSFER TO S TAEBI - 01 ;"/>
    <n v="-1759.37"/>
    <x v="1"/>
    <x v="24"/>
    <x v="1"/>
  </r>
  <r>
    <x v="2"/>
    <x v="0"/>
    <x v="7"/>
    <x v="608"/>
    <s v="PAY farah-hairstylist ;rang"/>
    <n v="-17.75"/>
    <x v="9"/>
    <x v="29"/>
    <x v="44"/>
  </r>
  <r>
    <x v="2"/>
    <x v="0"/>
    <x v="7"/>
    <x v="608"/>
    <s v="AP#18495353 TO S TAEBI  S M ALAVI ;Transfer to S TAEBI  S M ALAVI - 06"/>
    <n v="-149.81"/>
    <x v="1"/>
    <x v="24"/>
    <x v="1"/>
  </r>
  <r>
    <x v="2"/>
    <x v="0"/>
    <x v="7"/>
    <x v="608"/>
    <s v="AP#18495354 TO S TAEBI  S M ALAVI ;Transfer to S TAEBI  S M ALAVI - 07"/>
    <n v="-888.22"/>
    <x v="1"/>
    <x v="24"/>
    <x v="1"/>
  </r>
  <r>
    <x v="2"/>
    <x v="0"/>
    <x v="7"/>
    <x v="608"/>
    <s v="AP#20595693 TO S TAEBI  S M ALAVI ;Transfer to S TAEBI  S M ALAVI - 08"/>
    <n v="-262.42"/>
    <x v="1"/>
    <x v="24"/>
    <x v="1"/>
  </r>
  <r>
    <x v="2"/>
    <x v="0"/>
    <x v="7"/>
    <x v="609"/>
    <s v="TRANSFER TO S TAEBI - 01 ;"/>
    <n v="-13.37"/>
    <x v="1"/>
    <x v="24"/>
    <x v="1"/>
  </r>
  <r>
    <x v="2"/>
    <x v="0"/>
    <x v="7"/>
    <x v="609"/>
    <s v="TRF 4833481054851032 ;"/>
    <n v="-1.57"/>
    <x v="1"/>
    <x v="24"/>
    <x v="1"/>
  </r>
  <r>
    <x v="2"/>
    <x v="0"/>
    <x v="7"/>
    <x v="609"/>
    <s v="TRF 4833481054851032 ;"/>
    <n v="-59.43"/>
    <x v="1"/>
    <x v="24"/>
    <x v="1"/>
  </r>
  <r>
    <x v="2"/>
    <x v="0"/>
    <x v="7"/>
    <x v="609"/>
    <s v="TRF 4833481054851032 ;"/>
    <n v="-4.3600000000000003"/>
    <x v="1"/>
    <x v="24"/>
    <x v="1"/>
  </r>
  <r>
    <x v="2"/>
    <x v="0"/>
    <x v="7"/>
    <x v="609"/>
    <s v="TRF 4833481054851032 ;"/>
    <n v="-0.3"/>
    <x v="1"/>
    <x v="24"/>
    <x v="1"/>
  </r>
  <r>
    <x v="2"/>
    <x v="0"/>
    <x v="7"/>
    <x v="181"/>
    <s v="TRF 4833481054851032 ;"/>
    <n v="-9.4600000000000009"/>
    <x v="1"/>
    <x v="24"/>
    <x v="1"/>
  </r>
  <r>
    <x v="2"/>
    <x v="0"/>
    <x v="7"/>
    <x v="182"/>
    <s v="TRF 4833481054851032 ;"/>
    <n v="-17.43"/>
    <x v="1"/>
    <x v="24"/>
    <x v="1"/>
  </r>
  <r>
    <x v="2"/>
    <x v="0"/>
    <x v="7"/>
    <x v="183"/>
    <s v="Direct Credit MJ ASB MR S M ALAVI ;Ref: MJ ASB MR S M ALAVI"/>
    <n v="37.67"/>
    <x v="1"/>
    <x v="24"/>
    <x v="1"/>
  </r>
  <r>
    <x v="2"/>
    <x v="0"/>
    <x v="7"/>
    <x v="183"/>
    <s v="Salary KIWIBANK FORTNIGHT ;"/>
    <n v="2185.4"/>
    <x v="11"/>
    <x v="22"/>
    <x v="38"/>
  </r>
  <r>
    <x v="2"/>
    <x v="0"/>
    <x v="7"/>
    <x v="183"/>
    <s v="TRANSFER TO S TAEBI - 01 ;"/>
    <n v="-615.07000000000005"/>
    <x v="1"/>
    <x v="24"/>
    <x v="1"/>
  </r>
  <r>
    <x v="2"/>
    <x v="0"/>
    <x v="7"/>
    <x v="183"/>
    <s v="Bill Payment MJ ANZ ALAVI SEYED M ;Ref: MJ ANZ ALAVI SEYED M"/>
    <n v="912.94"/>
    <x v="1"/>
    <x v="24"/>
    <x v="1"/>
  </r>
  <r>
    <x v="2"/>
    <x v="0"/>
    <x v="7"/>
    <x v="183"/>
    <s v="Direct Credit MJ ASB MR S M ALAVI ;Ref: MJ ASB MR S M ALAVI"/>
    <n v="1497.21"/>
    <x v="1"/>
    <x v="24"/>
    <x v="1"/>
  </r>
  <r>
    <x v="2"/>
    <x v="0"/>
    <x v="7"/>
    <x v="183"/>
    <s v="TRF 4833481054851032 ;"/>
    <n v="-200.93"/>
    <x v="1"/>
    <x v="24"/>
    <x v="1"/>
  </r>
  <r>
    <x v="2"/>
    <x v="0"/>
    <x v="7"/>
    <x v="183"/>
    <s v="TRANSFER TO S TAEBI - 01 ;"/>
    <n v="-418.97"/>
    <x v="1"/>
    <x v="24"/>
    <x v="1"/>
  </r>
  <r>
    <x v="2"/>
    <x v="0"/>
    <x v="7"/>
    <x v="183"/>
    <s v="AP#22653868 TO S M ALAVI  S TAEBI ;Pay S M ALAVI  S TAEBI"/>
    <n v="-1171.55"/>
    <x v="1"/>
    <x v="24"/>
    <x v="1"/>
  </r>
  <r>
    <x v="2"/>
    <x v="0"/>
    <x v="7"/>
    <x v="183"/>
    <s v="TRF 4833481054851032 ;"/>
    <n v="-35.619999999999997"/>
    <x v="1"/>
    <x v="24"/>
    <x v="1"/>
  </r>
  <r>
    <x v="2"/>
    <x v="0"/>
    <x v="7"/>
    <x v="185"/>
    <s v="TRF 4833481054851032 ;"/>
    <n v="-13.13"/>
    <x v="1"/>
    <x v="24"/>
    <x v="1"/>
  </r>
  <r>
    <x v="2"/>
    <x v="0"/>
    <x v="7"/>
    <x v="610"/>
    <s v="TRANSFER FROM S TAEBI - 01 ;"/>
    <n v="35.880000000000003"/>
    <x v="1"/>
    <x v="24"/>
    <x v="1"/>
  </r>
  <r>
    <x v="2"/>
    <x v="0"/>
    <x v="7"/>
    <x v="610"/>
    <s v="TRF 4833481054851032 ;"/>
    <n v="-53.67"/>
    <x v="1"/>
    <x v="24"/>
    <x v="1"/>
  </r>
  <r>
    <x v="2"/>
    <x v="0"/>
    <x v="7"/>
    <x v="610"/>
    <s v="DD DISHONOUR ;"/>
    <n v="0"/>
    <x v="5"/>
    <x v="7"/>
    <x v="7"/>
  </r>
  <r>
    <x v="2"/>
    <x v="0"/>
    <x v="7"/>
    <x v="610"/>
    <s v="For $19.27 to Southern Cross Healt 22 DEC 23 ;"/>
    <n v="0"/>
    <x v="8"/>
    <x v="25"/>
    <x v="39"/>
  </r>
  <r>
    <x v="2"/>
    <x v="0"/>
    <x v="7"/>
    <x v="187"/>
    <s v="TRF 4833481054851032 ;"/>
    <n v="-1.34"/>
    <x v="1"/>
    <x v="24"/>
    <x v="1"/>
  </r>
  <r>
    <x v="2"/>
    <x v="0"/>
    <x v="7"/>
    <x v="187"/>
    <s v="TRANSFER FROM S TAEBI - 01 ;"/>
    <n v="5831.67"/>
    <x v="1"/>
    <x v="24"/>
    <x v="1"/>
  </r>
  <r>
    <x v="2"/>
    <x v="0"/>
    <x v="7"/>
    <x v="187"/>
    <s v="AP#22653868 TO S M ALAVI  S TAEBI ;Pay S M ALAVI  S TAEBI"/>
    <n v="-674.3"/>
    <x v="1"/>
    <x v="24"/>
    <x v="1"/>
  </r>
  <r>
    <x v="2"/>
    <x v="0"/>
    <x v="7"/>
    <x v="286"/>
    <s v="TRF 4833481054851032 ;"/>
    <n v="-0.27"/>
    <x v="1"/>
    <x v="24"/>
    <x v="1"/>
  </r>
  <r>
    <x v="2"/>
    <x v="0"/>
    <x v="7"/>
    <x v="188"/>
    <s v="AP#18495353 TO S TAEBI  S M ALAVI ;Transfer to S TAEBI  S M ALAVI - 06"/>
    <n v="-1776.9"/>
    <x v="1"/>
    <x v="24"/>
    <x v="1"/>
  </r>
  <r>
    <x v="2"/>
    <x v="0"/>
    <x v="7"/>
    <x v="188"/>
    <s v="AP#18495354 TO S TAEBI  S M ALAVI ;Transfer to S TAEBI  S M ALAVI - 07"/>
    <n v="-72.41"/>
    <x v="1"/>
    <x v="24"/>
    <x v="1"/>
  </r>
  <r>
    <x v="2"/>
    <x v="0"/>
    <x v="7"/>
    <x v="188"/>
    <s v="AP#20595693 TO S TAEBI  S M ALAVI ;Transfer to S TAEBI  S M ALAVI - 08"/>
    <n v="-140.91999999999999"/>
    <x v="1"/>
    <x v="24"/>
    <x v="1"/>
  </r>
  <r>
    <x v="2"/>
    <x v="0"/>
    <x v="7"/>
    <x v="611"/>
    <s v="Bill Payment MJ ANZ ALAVI SEYED M ;Ref: MJ ANZ ALAVI SEYED M"/>
    <n v="1445.2"/>
    <x v="1"/>
    <x v="24"/>
    <x v="1"/>
  </r>
  <r>
    <x v="2"/>
    <x v="0"/>
    <x v="7"/>
    <x v="611"/>
    <s v="TRANSFER TO S TAEBI - 01 ;"/>
    <n v="-1572.87"/>
    <x v="1"/>
    <x v="24"/>
    <x v="1"/>
  </r>
  <r>
    <x v="2"/>
    <x v="0"/>
    <x v="7"/>
    <x v="189"/>
    <s v="TRF 4833481054851032 ;"/>
    <n v="-76.64"/>
    <x v="1"/>
    <x v="24"/>
    <x v="1"/>
  </r>
  <r>
    <x v="2"/>
    <x v="0"/>
    <x v="7"/>
    <x v="189"/>
    <s v="Bill Payment MJ ANZ ALAVI SEYED M ;Ref: MJ ANZ ALAVI SEYED M"/>
    <n v="25.15"/>
    <x v="1"/>
    <x v="24"/>
    <x v="1"/>
  </r>
  <r>
    <x v="2"/>
    <x v="0"/>
    <x v="7"/>
    <x v="189"/>
    <s v="TRF 4833481054851032 ;"/>
    <n v="-0.81"/>
    <x v="1"/>
    <x v="24"/>
    <x v="1"/>
  </r>
  <r>
    <x v="2"/>
    <x v="0"/>
    <x v="7"/>
    <x v="580"/>
    <s v="TRANSFER FROM S TAEBI - 01 ;"/>
    <n v="84.74"/>
    <x v="1"/>
    <x v="24"/>
    <x v="1"/>
  </r>
  <r>
    <x v="2"/>
    <x v="0"/>
    <x v="7"/>
    <x v="580"/>
    <s v="TRF 4833481054851032 ;"/>
    <n v="-33.08"/>
    <x v="1"/>
    <x v="24"/>
    <x v="1"/>
  </r>
  <r>
    <x v="2"/>
    <x v="0"/>
    <x v="7"/>
    <x v="191"/>
    <s v="TRANSFER FROM S TAEBI - 01 ;"/>
    <n v="130.91"/>
    <x v="1"/>
    <x v="24"/>
    <x v="1"/>
  </r>
  <r>
    <x v="2"/>
    <x v="0"/>
    <x v="7"/>
    <x v="191"/>
    <s v="TRF 4833481054851032 ;"/>
    <n v="-25.91"/>
    <x v="1"/>
    <x v="24"/>
    <x v="1"/>
  </r>
  <r>
    <x v="2"/>
    <x v="0"/>
    <x v="7"/>
    <x v="191"/>
    <s v="Salary KIWIBANK FORTNIGHT ;"/>
    <n v="4571.37"/>
    <x v="11"/>
    <x v="22"/>
    <x v="38"/>
  </r>
  <r>
    <x v="2"/>
    <x v="0"/>
    <x v="7"/>
    <x v="191"/>
    <s v="AP#22653868 TO S M ALAVI  S TAEBI ;Pay S M ALAVI  S TAEBI"/>
    <n v="-520.58000000000004"/>
    <x v="1"/>
    <x v="24"/>
    <x v="1"/>
  </r>
  <r>
    <x v="2"/>
    <x v="0"/>
    <x v="7"/>
    <x v="191"/>
    <s v="TRANSFER TO S TAEBI - 01 ;"/>
    <n v="-3258.38"/>
    <x v="1"/>
    <x v="24"/>
    <x v="1"/>
  </r>
  <r>
    <x v="2"/>
    <x v="0"/>
    <x v="7"/>
    <x v="191"/>
    <s v="Bill Payment MJ ANZ ALAVI SEYED M ;Ref: MJ ANZ ALAVI SEYED M"/>
    <n v="193.24"/>
    <x v="1"/>
    <x v="24"/>
    <x v="1"/>
  </r>
  <r>
    <x v="2"/>
    <x v="0"/>
    <x v="7"/>
    <x v="191"/>
    <s v="TRANSFER TO S TAEBI - 01 ;"/>
    <n v="-847.85"/>
    <x v="1"/>
    <x v="24"/>
    <x v="1"/>
  </r>
  <r>
    <x v="2"/>
    <x v="0"/>
    <x v="7"/>
    <x v="192"/>
    <s v="TRF 4833481054851032 ;"/>
    <n v="-24.53"/>
    <x v="1"/>
    <x v="24"/>
    <x v="1"/>
  </r>
  <r>
    <x v="2"/>
    <x v="0"/>
    <x v="7"/>
    <x v="192"/>
    <s v="Direct Credit MJ ASB MR S M ALAVI ;Ref: MJ ASB MR S M ALAVI"/>
    <n v="338.81"/>
    <x v="1"/>
    <x v="24"/>
    <x v="1"/>
  </r>
  <r>
    <x v="2"/>
    <x v="0"/>
    <x v="7"/>
    <x v="193"/>
    <s v="TRANSFER TO S TAEBI - 01 ;"/>
    <n v="-1254.58"/>
    <x v="1"/>
    <x v="24"/>
    <x v="1"/>
  </r>
  <r>
    <x v="2"/>
    <x v="0"/>
    <x v="7"/>
    <x v="193"/>
    <s v="TRF 4833481054851032 ;"/>
    <n v="-13.06"/>
    <x v="1"/>
    <x v="24"/>
    <x v="1"/>
  </r>
  <r>
    <x v="2"/>
    <x v="0"/>
    <x v="7"/>
    <x v="193"/>
    <s v="TRF 4833481054851032 ;"/>
    <n v="-1.61"/>
    <x v="1"/>
    <x v="24"/>
    <x v="1"/>
  </r>
  <r>
    <x v="2"/>
    <x v="0"/>
    <x v="7"/>
    <x v="193"/>
    <s v="TRF 4833481054851032 ;"/>
    <n v="-7.0000000000000007E-2"/>
    <x v="1"/>
    <x v="24"/>
    <x v="1"/>
  </r>
  <r>
    <x v="2"/>
    <x v="0"/>
    <x v="7"/>
    <x v="193"/>
    <s v="Direct Debit -SOUTHERN CROSS MEDICAL CARE SOCIETY ;Ref: 23284297 000 032154513"/>
    <n v="-21.16"/>
    <x v="8"/>
    <x v="25"/>
    <x v="39"/>
  </r>
  <r>
    <x v="2"/>
    <x v="0"/>
    <x v="7"/>
    <x v="194"/>
    <s v="TRF 4833481054851032 ;"/>
    <n v="-161.19999999999999"/>
    <x v="1"/>
    <x v="24"/>
    <x v="1"/>
  </r>
  <r>
    <x v="2"/>
    <x v="0"/>
    <x v="7"/>
    <x v="194"/>
    <s v="Direct Credit MJ ASB MR S M ALAVI ;Ref: MJ ASB MR S M ALAVI"/>
    <n v="42465.36"/>
    <x v="1"/>
    <x v="24"/>
    <x v="1"/>
  </r>
  <r>
    <x v="2"/>
    <x v="0"/>
    <x v="7"/>
    <x v="194"/>
    <s v="TRANSFER TO S TAEBI - 01 ;"/>
    <n v="-105287.88"/>
    <x v="1"/>
    <x v="24"/>
    <x v="1"/>
  </r>
  <r>
    <x v="2"/>
    <x v="0"/>
    <x v="7"/>
    <x v="194"/>
    <s v="TRF 4833481054851032 ;"/>
    <n v="-2.98"/>
    <x v="1"/>
    <x v="24"/>
    <x v="1"/>
  </r>
  <r>
    <x v="2"/>
    <x v="0"/>
    <x v="7"/>
    <x v="195"/>
    <s v="TRANSFER FROM S TAEBI - 01 ;"/>
    <n v="148.33000000000001"/>
    <x v="1"/>
    <x v="24"/>
    <x v="1"/>
  </r>
  <r>
    <x v="2"/>
    <x v="0"/>
    <x v="7"/>
    <x v="195"/>
    <s v="TRF 4833481054851032 ;"/>
    <n v="-440.17"/>
    <x v="1"/>
    <x v="24"/>
    <x v="1"/>
  </r>
  <r>
    <x v="2"/>
    <x v="0"/>
    <x v="7"/>
    <x v="195"/>
    <s v="TRF 4833481054851032 ;"/>
    <n v="-251.88"/>
    <x v="1"/>
    <x v="24"/>
    <x v="1"/>
  </r>
  <r>
    <x v="2"/>
    <x v="0"/>
    <x v="7"/>
    <x v="195"/>
    <s v="TRANSFER FROM S TAEBI - 01 ;"/>
    <n v="218.07"/>
    <x v="1"/>
    <x v="24"/>
    <x v="1"/>
  </r>
  <r>
    <x v="2"/>
    <x v="0"/>
    <x v="7"/>
    <x v="195"/>
    <s v="TRF 4833481054851032 ;"/>
    <n v="-29.5"/>
    <x v="1"/>
    <x v="24"/>
    <x v="1"/>
  </r>
  <r>
    <x v="2"/>
    <x v="0"/>
    <x v="7"/>
    <x v="196"/>
    <s v="TRF 4833481054851032 ;"/>
    <n v="-97.67"/>
    <x v="1"/>
    <x v="24"/>
    <x v="1"/>
  </r>
  <r>
    <x v="2"/>
    <x v="0"/>
    <x v="7"/>
    <x v="196"/>
    <s v="TRF 4833481054851032 ;"/>
    <n v="-9.7200000000000006"/>
    <x v="1"/>
    <x v="24"/>
    <x v="1"/>
  </r>
  <r>
    <x v="2"/>
    <x v="0"/>
    <x v="7"/>
    <x v="196"/>
    <s v="TRF 4833481054851032 ;"/>
    <n v="-5.69"/>
    <x v="1"/>
    <x v="24"/>
    <x v="1"/>
  </r>
  <r>
    <x v="2"/>
    <x v="0"/>
    <x v="7"/>
    <x v="197"/>
    <s v="TRF 4833481054851032 ;"/>
    <n v="-207.92"/>
    <x v="1"/>
    <x v="24"/>
    <x v="1"/>
  </r>
  <r>
    <x v="2"/>
    <x v="0"/>
    <x v="7"/>
    <x v="197"/>
    <s v="TRANSFER FROM S TAEBI - 01 ;"/>
    <n v="218.38"/>
    <x v="1"/>
    <x v="24"/>
    <x v="1"/>
  </r>
  <r>
    <x v="2"/>
    <x v="0"/>
    <x v="7"/>
    <x v="197"/>
    <s v="PAY MJ ASB ;"/>
    <n v="-288"/>
    <x v="1"/>
    <x v="24"/>
    <x v="1"/>
  </r>
  <r>
    <x v="2"/>
    <x v="0"/>
    <x v="7"/>
    <x v="198"/>
    <s v="TRF 4833481054851032 ;"/>
    <n v="-1.17"/>
    <x v="1"/>
    <x v="24"/>
    <x v="1"/>
  </r>
  <r>
    <x v="2"/>
    <x v="0"/>
    <x v="7"/>
    <x v="198"/>
    <s v="TRF 4833481054851032 ;"/>
    <n v="-17.07"/>
    <x v="1"/>
    <x v="24"/>
    <x v="1"/>
  </r>
  <r>
    <x v="2"/>
    <x v="0"/>
    <x v="7"/>
    <x v="198"/>
    <s v="TRANSFER FROM S TAEBI - 01 ;"/>
    <n v="8050.06"/>
    <x v="1"/>
    <x v="24"/>
    <x v="1"/>
  </r>
  <r>
    <x v="2"/>
    <x v="0"/>
    <x v="7"/>
    <x v="198"/>
    <s v="TRF 4833481054851032 ;"/>
    <n v="-846.88"/>
    <x v="1"/>
    <x v="24"/>
    <x v="1"/>
  </r>
  <r>
    <x v="2"/>
    <x v="0"/>
    <x v="7"/>
    <x v="198"/>
    <s v="TRANSFER FROM S TAEBI - 01 ;"/>
    <n v="6835.86"/>
    <x v="1"/>
    <x v="24"/>
    <x v="1"/>
  </r>
  <r>
    <x v="2"/>
    <x v="0"/>
    <x v="7"/>
    <x v="198"/>
    <s v="AP#22653868 TO S M ALAVI  S TAEBI ;Pay S M ALAVI  S TAEBI"/>
    <n v="-1090.3900000000001"/>
    <x v="1"/>
    <x v="24"/>
    <x v="1"/>
  </r>
  <r>
    <x v="2"/>
    <x v="0"/>
    <x v="7"/>
    <x v="199"/>
    <s v="Bill Payment MJ ANZ ALAVI SEYED M ;Ref: MJ ANZ ALAVI SEYED M"/>
    <n v="397.16"/>
    <x v="1"/>
    <x v="24"/>
    <x v="1"/>
  </r>
  <r>
    <x v="2"/>
    <x v="0"/>
    <x v="7"/>
    <x v="199"/>
    <s v="TRF 4833481054851032 ;"/>
    <n v="-260.16000000000003"/>
    <x v="1"/>
    <x v="24"/>
    <x v="1"/>
  </r>
  <r>
    <x v="2"/>
    <x v="0"/>
    <x v="7"/>
    <x v="199"/>
    <s v="TRF 4833481054851032 ;"/>
    <n v="-178.31"/>
    <x v="1"/>
    <x v="24"/>
    <x v="1"/>
  </r>
  <r>
    <x v="2"/>
    <x v="0"/>
    <x v="7"/>
    <x v="200"/>
    <s v="AP#18495353 TO S TAEBI  S M ALAVI ;Transfer to S TAEBI  S M ALAVI - 06"/>
    <n v="-1713.25"/>
    <x v="1"/>
    <x v="24"/>
    <x v="1"/>
  </r>
  <r>
    <x v="2"/>
    <x v="0"/>
    <x v="7"/>
    <x v="200"/>
    <s v="AP#18495354 TO S TAEBI  S M ALAVI ;Transfer to S TAEBI  S M ALAVI - 07"/>
    <n v="-917.53"/>
    <x v="1"/>
    <x v="24"/>
    <x v="1"/>
  </r>
  <r>
    <x v="2"/>
    <x v="0"/>
    <x v="7"/>
    <x v="200"/>
    <s v="AP#20595693 TO S TAEBI  S M ALAVI ;Transfer to S TAEBI  S M ALAVI - 08"/>
    <n v="-535.66999999999996"/>
    <x v="1"/>
    <x v="24"/>
    <x v="1"/>
  </r>
  <r>
    <x v="2"/>
    <x v="0"/>
    <x v="7"/>
    <x v="201"/>
    <s v="TRANSFER TO S TAEBI - 01 ;"/>
    <n v="-437.86"/>
    <x v="1"/>
    <x v="24"/>
    <x v="1"/>
  </r>
  <r>
    <x v="2"/>
    <x v="0"/>
    <x v="7"/>
    <x v="202"/>
    <s v="TRANSFER FROM S TAEBI - 01 ;"/>
    <n v="3197.99"/>
    <x v="1"/>
    <x v="24"/>
    <x v="1"/>
  </r>
  <r>
    <x v="2"/>
    <x v="0"/>
    <x v="7"/>
    <x v="202"/>
    <s v="TRANSFER FROM S TAEBI - 01 ;"/>
    <n v="2953.14"/>
    <x v="1"/>
    <x v="24"/>
    <x v="1"/>
  </r>
  <r>
    <x v="2"/>
    <x v="0"/>
    <x v="7"/>
    <x v="202"/>
    <s v="PAY MJ ASB ;"/>
    <n v="-2109.8000000000002"/>
    <x v="1"/>
    <x v="24"/>
    <x v="1"/>
  </r>
  <r>
    <x v="2"/>
    <x v="0"/>
    <x v="7"/>
    <x v="202"/>
    <s v="TRANSFER FROM S TAEBI - 01 ;"/>
    <n v="22.31"/>
    <x v="1"/>
    <x v="24"/>
    <x v="1"/>
  </r>
  <r>
    <x v="2"/>
    <x v="0"/>
    <x v="7"/>
    <x v="203"/>
    <s v="Direct Debit -INLAND REVENUE DEPARTMENT ;Ref: 1788615552 I IT 113165197"/>
    <n v="-2228.4699999999998"/>
    <x v="12"/>
    <x v="27"/>
    <x v="41"/>
  </r>
  <r>
    <x v="2"/>
    <x v="0"/>
    <x v="7"/>
    <x v="204"/>
    <s v="TRF 4833481054851032 ;"/>
    <n v="-27"/>
    <x v="1"/>
    <x v="24"/>
    <x v="1"/>
  </r>
  <r>
    <x v="2"/>
    <x v="0"/>
    <x v="7"/>
    <x v="205"/>
    <s v="Direct Credit MJ ASB MR S M ALAVI ;Ref: MJ ASB MR S M ALAVI"/>
    <n v="1519.67"/>
    <x v="1"/>
    <x v="24"/>
    <x v="1"/>
  </r>
  <r>
    <x v="2"/>
    <x v="0"/>
    <x v="7"/>
    <x v="205"/>
    <s v="TRF 4833481054851032 ;"/>
    <n v="-83.89"/>
    <x v="1"/>
    <x v="24"/>
    <x v="1"/>
  </r>
  <r>
    <x v="2"/>
    <x v="0"/>
    <x v="7"/>
    <x v="205"/>
    <s v="Bill Payment MJ ANZ ALAVI SEYED M ;Ref: MJ ANZ ALAVI SEYED M"/>
    <n v="142.84"/>
    <x v="1"/>
    <x v="24"/>
    <x v="1"/>
  </r>
  <r>
    <x v="2"/>
    <x v="0"/>
    <x v="7"/>
    <x v="205"/>
    <s v="Salary KIWIBANK FORTNIGHT ;"/>
    <n v="3137.31"/>
    <x v="11"/>
    <x v="22"/>
    <x v="38"/>
  </r>
  <r>
    <x v="2"/>
    <x v="0"/>
    <x v="7"/>
    <x v="205"/>
    <s v="TRANSFER TO S TAEBI - 01 ;"/>
    <n v="-2292.94"/>
    <x v="1"/>
    <x v="24"/>
    <x v="1"/>
  </r>
  <r>
    <x v="2"/>
    <x v="0"/>
    <x v="7"/>
    <x v="205"/>
    <s v="TRF 4833481054851032 ;"/>
    <n v="-67.540000000000006"/>
    <x v="1"/>
    <x v="24"/>
    <x v="1"/>
  </r>
  <r>
    <x v="2"/>
    <x v="0"/>
    <x v="7"/>
    <x v="205"/>
    <s v="AP#22653868 TO S M ALAVI  S TAEBI ;Pay S M ALAVI  S TAEBI"/>
    <n v="-884.26"/>
    <x v="1"/>
    <x v="24"/>
    <x v="1"/>
  </r>
  <r>
    <x v="2"/>
    <x v="0"/>
    <x v="7"/>
    <x v="205"/>
    <s v="TRANSFER FROM S TAEBI - 01 ;"/>
    <n v="333.23"/>
    <x v="1"/>
    <x v="24"/>
    <x v="1"/>
  </r>
  <r>
    <x v="2"/>
    <x v="0"/>
    <x v="7"/>
    <x v="205"/>
    <s v="TRF 4833481054851032 ;"/>
    <n v="-247.63"/>
    <x v="1"/>
    <x v="24"/>
    <x v="1"/>
  </r>
  <r>
    <x v="2"/>
    <x v="0"/>
    <x v="7"/>
    <x v="207"/>
    <s v="TRF 4833481054851032 ;"/>
    <n v="-4.26"/>
    <x v="1"/>
    <x v="24"/>
    <x v="1"/>
  </r>
  <r>
    <x v="2"/>
    <x v="0"/>
    <x v="7"/>
    <x v="207"/>
    <s v="Direct Debit -SOUTHERN CROSS MEDICAL CARE SOCIETY ;Ref: 23284297 000 032283833"/>
    <n v="-27.94"/>
    <x v="8"/>
    <x v="25"/>
    <x v="39"/>
  </r>
  <r>
    <x v="2"/>
    <x v="0"/>
    <x v="7"/>
    <x v="208"/>
    <s v="TRANSFER FROM S TAEBI - 01 ;"/>
    <n v="302.89999999999998"/>
    <x v="1"/>
    <x v="24"/>
    <x v="1"/>
  </r>
  <r>
    <x v="2"/>
    <x v="0"/>
    <x v="7"/>
    <x v="208"/>
    <s v="TRF 4833481054851032 ;"/>
    <n v="-314.49"/>
    <x v="1"/>
    <x v="24"/>
    <x v="1"/>
  </r>
  <r>
    <x v="2"/>
    <x v="0"/>
    <x v="7"/>
    <x v="208"/>
    <s v="TRF 4833481054851032 ;"/>
    <n v="-1.73"/>
    <x v="1"/>
    <x v="24"/>
    <x v="1"/>
  </r>
  <r>
    <x v="2"/>
    <x v="0"/>
    <x v="7"/>
    <x v="208"/>
    <s v="TRF 4833481054851032 ;"/>
    <n v="-2.75"/>
    <x v="1"/>
    <x v="24"/>
    <x v="1"/>
  </r>
  <r>
    <x v="2"/>
    <x v="0"/>
    <x v="7"/>
    <x v="209"/>
    <s v="TRF 4833481054851032 ;"/>
    <n v="-70.17"/>
    <x v="1"/>
    <x v="24"/>
    <x v="1"/>
  </r>
  <r>
    <x v="2"/>
    <x v="0"/>
    <x v="7"/>
    <x v="210"/>
    <s v="TRF 4833481054851032 ;"/>
    <n v="-32.78"/>
    <x v="1"/>
    <x v="24"/>
    <x v="1"/>
  </r>
  <r>
    <x v="2"/>
    <x v="0"/>
    <x v="7"/>
    <x v="210"/>
    <s v="TRF 4833481054851032 ;"/>
    <n v="-9.23"/>
    <x v="1"/>
    <x v="24"/>
    <x v="1"/>
  </r>
  <r>
    <x v="2"/>
    <x v="0"/>
    <x v="7"/>
    <x v="210"/>
    <s v="Direct Credit MJ ASB MR S M ALAVI ;Ref: MJ ASB MR S M ALAVI"/>
    <n v="108.53"/>
    <x v="1"/>
    <x v="24"/>
    <x v="1"/>
  </r>
  <r>
    <x v="2"/>
    <x v="0"/>
    <x v="7"/>
    <x v="210"/>
    <s v="TRF 4833481054851032 ;"/>
    <n v="-275.76"/>
    <x v="1"/>
    <x v="24"/>
    <x v="1"/>
  </r>
  <r>
    <x v="2"/>
    <x v="0"/>
    <x v="7"/>
    <x v="211"/>
    <s v="TRF 4833481054851032 ;"/>
    <n v="-1.26"/>
    <x v="1"/>
    <x v="24"/>
    <x v="1"/>
  </r>
  <r>
    <x v="2"/>
    <x v="0"/>
    <x v="7"/>
    <x v="212"/>
    <s v="TRF 4833481054851032 ;"/>
    <n v="-71.3"/>
    <x v="1"/>
    <x v="24"/>
    <x v="1"/>
  </r>
  <r>
    <x v="2"/>
    <x v="0"/>
    <x v="7"/>
    <x v="212"/>
    <s v="TRF 4833481054851032 ;"/>
    <n v="-9.61"/>
    <x v="1"/>
    <x v="24"/>
    <x v="1"/>
  </r>
  <r>
    <x v="2"/>
    <x v="0"/>
    <x v="7"/>
    <x v="212"/>
    <s v="TRANSFER FROM S TAEBI - 01 ;"/>
    <n v="3477.86"/>
    <x v="1"/>
    <x v="24"/>
    <x v="1"/>
  </r>
  <r>
    <x v="2"/>
    <x v="0"/>
    <x v="7"/>
    <x v="212"/>
    <s v="Bill Payment MJ ANZ ALAVI SEYED M ;Ref: MJ ANZ ALAVI SEYED M"/>
    <n v="194.65"/>
    <x v="1"/>
    <x v="24"/>
    <x v="1"/>
  </r>
  <r>
    <x v="2"/>
    <x v="0"/>
    <x v="7"/>
    <x v="212"/>
    <s v="TRF 4833481054851032 ;"/>
    <n v="-200.83"/>
    <x v="1"/>
    <x v="24"/>
    <x v="1"/>
  </r>
  <r>
    <x v="2"/>
    <x v="0"/>
    <x v="7"/>
    <x v="212"/>
    <s v="AP#22653868 TO S M ALAVI  S TAEBI ;Pay S M ALAVI  S TAEBI"/>
    <n v="-1100.8900000000001"/>
    <x v="1"/>
    <x v="24"/>
    <x v="1"/>
  </r>
  <r>
    <x v="2"/>
    <x v="0"/>
    <x v="7"/>
    <x v="213"/>
    <s v="TRF 4833481054851032 ;"/>
    <n v="-3.67"/>
    <x v="1"/>
    <x v="24"/>
    <x v="1"/>
  </r>
  <r>
    <x v="2"/>
    <x v="0"/>
    <x v="7"/>
    <x v="213"/>
    <s v="TRF 4833481054851032 ;"/>
    <n v="-14.17"/>
    <x v="1"/>
    <x v="24"/>
    <x v="1"/>
  </r>
  <r>
    <x v="2"/>
    <x v="0"/>
    <x v="7"/>
    <x v="214"/>
    <s v="TRF 4833481054851032 ;"/>
    <n v="-0.74"/>
    <x v="1"/>
    <x v="24"/>
    <x v="1"/>
  </r>
  <r>
    <x v="2"/>
    <x v="0"/>
    <x v="7"/>
    <x v="214"/>
    <s v="TRF 4833481054851032 ;"/>
    <n v="-4.76"/>
    <x v="1"/>
    <x v="24"/>
    <x v="1"/>
  </r>
  <r>
    <x v="2"/>
    <x v="0"/>
    <x v="7"/>
    <x v="214"/>
    <s v="TRF 4833481054851032 ;"/>
    <n v="-74.2"/>
    <x v="1"/>
    <x v="24"/>
    <x v="1"/>
  </r>
  <r>
    <x v="2"/>
    <x v="0"/>
    <x v="7"/>
    <x v="214"/>
    <s v="TRANSFER FROM S TAEBI - 01 ;"/>
    <n v="494.56"/>
    <x v="1"/>
    <x v="24"/>
    <x v="1"/>
  </r>
  <r>
    <x v="2"/>
    <x v="0"/>
    <x v="7"/>
    <x v="214"/>
    <s v="TRF 4833481054851032 ;"/>
    <n v="-42.32"/>
    <x v="1"/>
    <x v="24"/>
    <x v="1"/>
  </r>
  <r>
    <x v="2"/>
    <x v="0"/>
    <x v="7"/>
    <x v="214"/>
    <s v="AP#18495353 TO S TAEBI  S M ALAVI ;Transfer to S TAEBI  S M ALAVI - 06"/>
    <n v="-1885.52"/>
    <x v="1"/>
    <x v="24"/>
    <x v="1"/>
  </r>
  <r>
    <x v="2"/>
    <x v="0"/>
    <x v="7"/>
    <x v="214"/>
    <s v="AP#18495354 TO S TAEBI  S M ALAVI ;Transfer to S TAEBI  S M ALAVI - 07"/>
    <n v="-251.69"/>
    <x v="1"/>
    <x v="24"/>
    <x v="1"/>
  </r>
  <r>
    <x v="2"/>
    <x v="0"/>
    <x v="7"/>
    <x v="214"/>
    <s v="AP#20595693 TO S TAEBI  S M ALAVI ;Transfer to S TAEBI  S M ALAVI - 08"/>
    <n v="-245.1"/>
    <x v="1"/>
    <x v="24"/>
    <x v="1"/>
  </r>
  <r>
    <x v="2"/>
    <x v="0"/>
    <x v="7"/>
    <x v="612"/>
    <s v="TRF 4833481054851032 ;"/>
    <n v="-0.32"/>
    <x v="1"/>
    <x v="24"/>
    <x v="1"/>
  </r>
  <r>
    <x v="2"/>
    <x v="0"/>
    <x v="7"/>
    <x v="612"/>
    <s v="TRF 4833481054851032 ;"/>
    <n v="-7.45"/>
    <x v="1"/>
    <x v="24"/>
    <x v="1"/>
  </r>
  <r>
    <x v="2"/>
    <x v="0"/>
    <x v="7"/>
    <x v="215"/>
    <s v="TRF 4833481054851032 ;"/>
    <n v="-68.56"/>
    <x v="1"/>
    <x v="24"/>
    <x v="1"/>
  </r>
  <r>
    <x v="2"/>
    <x v="0"/>
    <x v="7"/>
    <x v="215"/>
    <s v="TRANSFER FROM S TAEBI - 01 ;"/>
    <n v="402.9"/>
    <x v="1"/>
    <x v="24"/>
    <x v="1"/>
  </r>
  <r>
    <x v="2"/>
    <x v="0"/>
    <x v="7"/>
    <x v="215"/>
    <s v="TRF 4833481054851032 ;"/>
    <n v="-245.63"/>
    <x v="1"/>
    <x v="24"/>
    <x v="1"/>
  </r>
  <r>
    <x v="2"/>
    <x v="0"/>
    <x v="7"/>
    <x v="613"/>
    <s v="TRF 4833481054851032 ;"/>
    <n v="-39.07"/>
    <x v="1"/>
    <x v="24"/>
    <x v="1"/>
  </r>
  <r>
    <x v="2"/>
    <x v="0"/>
    <x v="7"/>
    <x v="613"/>
    <s v="TRANSFER FROM S TAEBI - 01 ;"/>
    <n v="374.61"/>
    <x v="1"/>
    <x v="24"/>
    <x v="1"/>
  </r>
  <r>
    <x v="2"/>
    <x v="0"/>
    <x v="7"/>
    <x v="613"/>
    <s v="TRF 4833481054851032 ;"/>
    <n v="-38.28"/>
    <x v="1"/>
    <x v="24"/>
    <x v="1"/>
  </r>
  <r>
    <x v="2"/>
    <x v="0"/>
    <x v="7"/>
    <x v="613"/>
    <s v="TRF 4833481054851032 ;"/>
    <n v="-10.87"/>
    <x v="1"/>
    <x v="24"/>
    <x v="1"/>
  </r>
  <r>
    <x v="2"/>
    <x v="0"/>
    <x v="7"/>
    <x v="216"/>
    <s v="TRF 4833481054851032 ;"/>
    <n v="-71.739999999999995"/>
    <x v="1"/>
    <x v="24"/>
    <x v="1"/>
  </r>
  <r>
    <x v="2"/>
    <x v="0"/>
    <x v="7"/>
    <x v="216"/>
    <s v="TRF 4833481054851032 ;"/>
    <n v="-80.06"/>
    <x v="1"/>
    <x v="24"/>
    <x v="1"/>
  </r>
  <r>
    <x v="2"/>
    <x v="0"/>
    <x v="7"/>
    <x v="217"/>
    <s v="TRF 4833481054851032 ;"/>
    <n v="-13.95"/>
    <x v="1"/>
    <x v="24"/>
    <x v="1"/>
  </r>
  <r>
    <x v="2"/>
    <x v="0"/>
    <x v="7"/>
    <x v="217"/>
    <s v="TRANSFER FROM S TAEBI - 01 ;"/>
    <n v="1297.4100000000001"/>
    <x v="1"/>
    <x v="24"/>
    <x v="1"/>
  </r>
  <r>
    <x v="2"/>
    <x v="0"/>
    <x v="7"/>
    <x v="217"/>
    <s v="Salary KIWIBANK FORTNIGHT ;"/>
    <n v="4446.18"/>
    <x v="11"/>
    <x v="22"/>
    <x v="38"/>
  </r>
  <r>
    <x v="2"/>
    <x v="0"/>
    <x v="7"/>
    <x v="217"/>
    <s v="TRF 4833481054851032 ;"/>
    <n v="-25.42"/>
    <x v="1"/>
    <x v="24"/>
    <x v="1"/>
  </r>
  <r>
    <x v="2"/>
    <x v="0"/>
    <x v="7"/>
    <x v="217"/>
    <s v="Direct Credit MJ ASB MR S M ALAVI ;Ref: MJ ASB MR S M ALAVI"/>
    <n v="1034.73"/>
    <x v="1"/>
    <x v="24"/>
    <x v="1"/>
  </r>
  <r>
    <x v="2"/>
    <x v="0"/>
    <x v="7"/>
    <x v="217"/>
    <s v="TRANSFER TO S TAEBI - 01 ;"/>
    <n v="-1670.02"/>
    <x v="1"/>
    <x v="24"/>
    <x v="1"/>
  </r>
  <r>
    <x v="2"/>
    <x v="0"/>
    <x v="7"/>
    <x v="217"/>
    <s v="Bill Payment MJ ANZ ALAVI SEYED M ;Ref: MJ ANZ ALAVI SEYED M"/>
    <n v="92.41"/>
    <x v="1"/>
    <x v="24"/>
    <x v="1"/>
  </r>
  <r>
    <x v="2"/>
    <x v="0"/>
    <x v="7"/>
    <x v="217"/>
    <s v="AP#22653868 TO S M ALAVI  S TAEBI ;Pay S M ALAVI  S TAEBI"/>
    <n v="-810.47"/>
    <x v="1"/>
    <x v="24"/>
    <x v="1"/>
  </r>
  <r>
    <x v="2"/>
    <x v="0"/>
    <x v="7"/>
    <x v="217"/>
    <s v="TRANSFER TO S TAEBI - 01 ;"/>
    <n v="-880.88"/>
    <x v="1"/>
    <x v="24"/>
    <x v="1"/>
  </r>
  <r>
    <x v="2"/>
    <x v="0"/>
    <x v="7"/>
    <x v="218"/>
    <s v="TRANSFER FROM S TAEBI - 01 ;"/>
    <n v="59.45"/>
    <x v="1"/>
    <x v="24"/>
    <x v="1"/>
  </r>
  <r>
    <x v="2"/>
    <x v="0"/>
    <x v="7"/>
    <x v="218"/>
    <s v="TRANSFER TO S TAEBI - 01 ;"/>
    <n v="-20.010000000000002"/>
    <x v="1"/>
    <x v="24"/>
    <x v="1"/>
  </r>
  <r>
    <x v="2"/>
    <x v="0"/>
    <x v="7"/>
    <x v="219"/>
    <s v="TRF 4833481054851032 ;"/>
    <n v="-104.12"/>
    <x v="1"/>
    <x v="24"/>
    <x v="1"/>
  </r>
  <r>
    <x v="2"/>
    <x v="0"/>
    <x v="7"/>
    <x v="219"/>
    <s v="Direct Debit -SOUTHERN CROSS MEDICAL CARE SOCIETY ;Ref: 23284297 000 032413466"/>
    <n v="-10.27"/>
    <x v="8"/>
    <x v="25"/>
    <x v="39"/>
  </r>
  <r>
    <x v="2"/>
    <x v="0"/>
    <x v="7"/>
    <x v="220"/>
    <s v="TRANSFER FROM S TAEBI - 01 ;"/>
    <n v="664.8"/>
    <x v="1"/>
    <x v="24"/>
    <x v="1"/>
  </r>
  <r>
    <x v="2"/>
    <x v="0"/>
    <x v="7"/>
    <x v="220"/>
    <s v="TRF 4833481054851032 ;"/>
    <n v="-305.02999999999997"/>
    <x v="1"/>
    <x v="24"/>
    <x v="1"/>
  </r>
  <r>
    <x v="2"/>
    <x v="0"/>
    <x v="7"/>
    <x v="220"/>
    <s v="TRF 4833481054851032 ;"/>
    <n v="-45.18"/>
    <x v="1"/>
    <x v="24"/>
    <x v="1"/>
  </r>
  <r>
    <x v="2"/>
    <x v="0"/>
    <x v="7"/>
    <x v="220"/>
    <s v="TRF 4833481054851032 ;"/>
    <n v="-37.1"/>
    <x v="1"/>
    <x v="24"/>
    <x v="1"/>
  </r>
  <r>
    <x v="2"/>
    <x v="0"/>
    <x v="7"/>
    <x v="221"/>
    <s v="TRF 4833481054851032 ;"/>
    <n v="-49.3"/>
    <x v="1"/>
    <x v="24"/>
    <x v="1"/>
  </r>
  <r>
    <x v="2"/>
    <x v="0"/>
    <x v="7"/>
    <x v="221"/>
    <s v="PAY teamTe ;"/>
    <n v="-4.2300000000000004"/>
    <x v="3"/>
    <x v="8"/>
    <x v="8"/>
  </r>
  <r>
    <x v="2"/>
    <x v="0"/>
    <x v="7"/>
    <x v="221"/>
    <s v="TRF 4833481054851032 ;"/>
    <n v="-7.42"/>
    <x v="1"/>
    <x v="24"/>
    <x v="1"/>
  </r>
  <r>
    <x v="2"/>
    <x v="0"/>
    <x v="7"/>
    <x v="221"/>
    <s v="TRF 4833481054851032 ;"/>
    <n v="-4.2"/>
    <x v="1"/>
    <x v="24"/>
    <x v="1"/>
  </r>
  <r>
    <x v="2"/>
    <x v="0"/>
    <x v="7"/>
    <x v="287"/>
    <s v="TRF 4833481054851032 ;"/>
    <n v="-10.199999999999999"/>
    <x v="1"/>
    <x v="24"/>
    <x v="1"/>
  </r>
  <r>
    <x v="2"/>
    <x v="0"/>
    <x v="7"/>
    <x v="287"/>
    <s v="TRF 4833481054851032 ;"/>
    <n v="-5.1100000000000003"/>
    <x v="1"/>
    <x v="24"/>
    <x v="1"/>
  </r>
  <r>
    <x v="2"/>
    <x v="0"/>
    <x v="7"/>
    <x v="222"/>
    <s v="TRF 4833481054851032 ;"/>
    <n v="-48.56"/>
    <x v="1"/>
    <x v="24"/>
    <x v="1"/>
  </r>
  <r>
    <x v="2"/>
    <x v="0"/>
    <x v="7"/>
    <x v="223"/>
    <s v="TRANSFER FROM S TAEBI - 01 ;"/>
    <n v="482.86"/>
    <x v="1"/>
    <x v="24"/>
    <x v="1"/>
  </r>
  <r>
    <x v="2"/>
    <x v="0"/>
    <x v="7"/>
    <x v="223"/>
    <s v="TRF 4833481054851032 ;"/>
    <n v="-379.07"/>
    <x v="1"/>
    <x v="24"/>
    <x v="1"/>
  </r>
  <r>
    <x v="2"/>
    <x v="0"/>
    <x v="7"/>
    <x v="223"/>
    <s v="TRANSFER FROM S TAEBI - 01 ;"/>
    <n v="4451.75"/>
    <x v="1"/>
    <x v="24"/>
    <x v="1"/>
  </r>
  <r>
    <x v="2"/>
    <x v="0"/>
    <x v="7"/>
    <x v="223"/>
    <s v="Bill Payment MJ ANZ ALAVI SEYED M ;Ref: MJ ANZ ALAVI SEYED M"/>
    <n v="1729.79"/>
    <x v="1"/>
    <x v="24"/>
    <x v="1"/>
  </r>
  <r>
    <x v="2"/>
    <x v="0"/>
    <x v="7"/>
    <x v="223"/>
    <s v="TRF 4833481054851032 ;"/>
    <n v="-34.880000000000003"/>
    <x v="1"/>
    <x v="24"/>
    <x v="1"/>
  </r>
  <r>
    <x v="2"/>
    <x v="0"/>
    <x v="7"/>
    <x v="223"/>
    <s v="TRF 4833481054851032 ;"/>
    <n v="-145.43"/>
    <x v="1"/>
    <x v="24"/>
    <x v="1"/>
  </r>
  <r>
    <x v="2"/>
    <x v="0"/>
    <x v="7"/>
    <x v="223"/>
    <s v="AP#22653868 TO S M ALAVI  S TAEBI ;Pay S M ALAVI  S TAEBI"/>
    <n v="-520.99"/>
    <x v="1"/>
    <x v="24"/>
    <x v="1"/>
  </r>
  <r>
    <x v="2"/>
    <x v="0"/>
    <x v="7"/>
    <x v="224"/>
    <s v="TRF 4833481054851032 ;"/>
    <n v="-136.32"/>
    <x v="1"/>
    <x v="24"/>
    <x v="1"/>
  </r>
  <r>
    <x v="2"/>
    <x v="0"/>
    <x v="7"/>
    <x v="224"/>
    <s v="TRF 4833481054851032 ;"/>
    <n v="-44.95"/>
    <x v="1"/>
    <x v="24"/>
    <x v="1"/>
  </r>
  <r>
    <x v="2"/>
    <x v="0"/>
    <x v="7"/>
    <x v="225"/>
    <s v="TRANSFER FROM S TAEBI - 01 ;"/>
    <n v="3353.1"/>
    <x v="1"/>
    <x v="24"/>
    <x v="1"/>
  </r>
  <r>
    <x v="2"/>
    <x v="0"/>
    <x v="7"/>
    <x v="225"/>
    <s v="TRF 4833481054851032 ;"/>
    <n v="-2030.11"/>
    <x v="1"/>
    <x v="24"/>
    <x v="1"/>
  </r>
  <r>
    <x v="2"/>
    <x v="0"/>
    <x v="7"/>
    <x v="225"/>
    <s v="TRANSFER FROM S TAEBI - 01 ;"/>
    <n v="409.16"/>
    <x v="1"/>
    <x v="24"/>
    <x v="1"/>
  </r>
  <r>
    <x v="2"/>
    <x v="0"/>
    <x v="7"/>
    <x v="225"/>
    <s v="TRANSFER TO S TAEBI - 01 ;"/>
    <n v="-88.76"/>
    <x v="1"/>
    <x v="24"/>
    <x v="1"/>
  </r>
  <r>
    <x v="2"/>
    <x v="0"/>
    <x v="7"/>
    <x v="225"/>
    <s v="TRF 4833481054851032 ;"/>
    <n v="-356.52"/>
    <x v="1"/>
    <x v="24"/>
    <x v="1"/>
  </r>
  <r>
    <x v="2"/>
    <x v="0"/>
    <x v="7"/>
    <x v="225"/>
    <s v="Direct Credit MJ ASB MR S M ALAVI ;Ref: MJ ASB MR S M ALAVI"/>
    <n v="82.52"/>
    <x v="1"/>
    <x v="24"/>
    <x v="1"/>
  </r>
  <r>
    <x v="2"/>
    <x v="0"/>
    <x v="7"/>
    <x v="225"/>
    <s v="AP#18495353 TO S TAEBI  S M ALAVI ;Transfer to S TAEBI  S M ALAVI - 06"/>
    <n v="-1770.83"/>
    <x v="1"/>
    <x v="24"/>
    <x v="1"/>
  </r>
  <r>
    <x v="2"/>
    <x v="0"/>
    <x v="7"/>
    <x v="225"/>
    <s v="AP#18495354 TO S TAEBI  S M ALAVI ;Transfer to S TAEBI  S M ALAVI - 07"/>
    <n v="-1279.78"/>
    <x v="1"/>
    <x v="24"/>
    <x v="1"/>
  </r>
  <r>
    <x v="2"/>
    <x v="0"/>
    <x v="7"/>
    <x v="225"/>
    <s v="AP#20595693 TO S TAEBI  S M ALAVI ;Transfer to S TAEBI  S M ALAVI - 08"/>
    <n v="-240.16"/>
    <x v="1"/>
    <x v="24"/>
    <x v="1"/>
  </r>
  <r>
    <x v="2"/>
    <x v="0"/>
    <x v="7"/>
    <x v="614"/>
    <s v="TRF 4833481054851032 ;"/>
    <n v="-27.08"/>
    <x v="1"/>
    <x v="24"/>
    <x v="1"/>
  </r>
  <r>
    <x v="2"/>
    <x v="0"/>
    <x v="7"/>
    <x v="615"/>
    <s v="TRF 4833481054851032 ;"/>
    <n v="-7.18"/>
    <x v="1"/>
    <x v="24"/>
    <x v="1"/>
  </r>
  <r>
    <x v="2"/>
    <x v="0"/>
    <x v="7"/>
    <x v="615"/>
    <s v="TRANSFER FROM S TAEBI - 01 ;"/>
    <n v="3476.81"/>
    <x v="1"/>
    <x v="24"/>
    <x v="1"/>
  </r>
  <r>
    <x v="2"/>
    <x v="0"/>
    <x v="7"/>
    <x v="615"/>
    <s v="TRF 4833481054851032 ;"/>
    <n v="-4971.32"/>
    <x v="1"/>
    <x v="24"/>
    <x v="1"/>
  </r>
  <r>
    <x v="2"/>
    <x v="0"/>
    <x v="7"/>
    <x v="615"/>
    <s v="TRANSFER FROM S TAEBI - 01 ;"/>
    <n v="174.44"/>
    <x v="1"/>
    <x v="24"/>
    <x v="1"/>
  </r>
  <r>
    <x v="2"/>
    <x v="0"/>
    <x v="7"/>
    <x v="615"/>
    <s v="TRANSFER FROM S TAEBI - 01 ;"/>
    <n v="273.5"/>
    <x v="1"/>
    <x v="24"/>
    <x v="1"/>
  </r>
  <r>
    <x v="2"/>
    <x v="0"/>
    <x v="7"/>
    <x v="615"/>
    <s v="TRF 4833481054851032 ;"/>
    <n v="-495.04"/>
    <x v="1"/>
    <x v="24"/>
    <x v="1"/>
  </r>
  <r>
    <x v="2"/>
    <x v="0"/>
    <x v="7"/>
    <x v="227"/>
    <s v="TRF 4833481054851032 ;"/>
    <n v="-9.66"/>
    <x v="1"/>
    <x v="24"/>
    <x v="1"/>
  </r>
  <r>
    <x v="2"/>
    <x v="0"/>
    <x v="7"/>
    <x v="227"/>
    <s v="TRF 4833481054851032 ;"/>
    <n v="-7.4"/>
    <x v="1"/>
    <x v="24"/>
    <x v="1"/>
  </r>
  <r>
    <x v="2"/>
    <x v="0"/>
    <x v="7"/>
    <x v="227"/>
    <s v="Salary KIWIBANK FORTNIGHT ;"/>
    <n v="902.35"/>
    <x v="11"/>
    <x v="22"/>
    <x v="38"/>
  </r>
  <r>
    <x v="2"/>
    <x v="0"/>
    <x v="7"/>
    <x v="227"/>
    <s v="Direct Credit MJ ASB MR S M ALAVI ;Ref: MJ ASB MR S M ALAVI"/>
    <n v="1245.33"/>
    <x v="1"/>
    <x v="24"/>
    <x v="1"/>
  </r>
  <r>
    <x v="2"/>
    <x v="0"/>
    <x v="7"/>
    <x v="227"/>
    <s v="AP#22653868 TO S M ALAVI  S TAEBI ;Pay S M ALAVI  S TAEBI"/>
    <n v="-1228.77"/>
    <x v="1"/>
    <x v="24"/>
    <x v="1"/>
  </r>
  <r>
    <x v="2"/>
    <x v="0"/>
    <x v="7"/>
    <x v="228"/>
    <s v="TRF 4833481054851032 ;"/>
    <n v="-244.21"/>
    <x v="1"/>
    <x v="24"/>
    <x v="1"/>
  </r>
  <r>
    <x v="2"/>
    <x v="0"/>
    <x v="7"/>
    <x v="228"/>
    <s v="TRF 4833481054851032 ;"/>
    <n v="-655.45"/>
    <x v="1"/>
    <x v="24"/>
    <x v="1"/>
  </r>
  <r>
    <x v="2"/>
    <x v="0"/>
    <x v="7"/>
    <x v="228"/>
    <s v="TRANSFER TO S TAEBI - 01 ;"/>
    <n v="-575.92999999999995"/>
    <x v="1"/>
    <x v="24"/>
    <x v="1"/>
  </r>
  <r>
    <x v="2"/>
    <x v="0"/>
    <x v="7"/>
    <x v="228"/>
    <s v="Bill Payment MJ ANZ ALAVI SEYED M ;Ref: MJ ANZ ALAVI SEYED M"/>
    <n v="1167.9100000000001"/>
    <x v="1"/>
    <x v="24"/>
    <x v="1"/>
  </r>
  <r>
    <x v="2"/>
    <x v="0"/>
    <x v="7"/>
    <x v="229"/>
    <s v="TRANSFER TO S TAEBI - 01 ;"/>
    <n v="-140.22999999999999"/>
    <x v="1"/>
    <x v="24"/>
    <x v="1"/>
  </r>
  <r>
    <x v="2"/>
    <x v="0"/>
    <x v="7"/>
    <x v="229"/>
    <s v="PAY mina ;"/>
    <n v="-26.93"/>
    <x v="4"/>
    <x v="12"/>
    <x v="12"/>
  </r>
  <r>
    <x v="2"/>
    <x v="0"/>
    <x v="7"/>
    <x v="229"/>
    <s v="TRF 4833481054851032 ;"/>
    <n v="-234.09"/>
    <x v="1"/>
    <x v="24"/>
    <x v="1"/>
  </r>
  <r>
    <x v="2"/>
    <x v="0"/>
    <x v="7"/>
    <x v="229"/>
    <s v="Direct Debit -SOUTHERN CROSS MEDICAL CARE SOCIETY ;Ref: 23284297 000 032542056"/>
    <n v="-13.2"/>
    <x v="8"/>
    <x v="25"/>
    <x v="39"/>
  </r>
  <r>
    <x v="2"/>
    <x v="0"/>
    <x v="7"/>
    <x v="230"/>
    <s v="TRF 4833481054851032 ;"/>
    <n v="-18.16"/>
    <x v="1"/>
    <x v="24"/>
    <x v="1"/>
  </r>
  <r>
    <x v="2"/>
    <x v="0"/>
    <x v="7"/>
    <x v="230"/>
    <s v="TRF 4833481054851032 ;"/>
    <n v="-54.26"/>
    <x v="1"/>
    <x v="24"/>
    <x v="1"/>
  </r>
  <r>
    <x v="2"/>
    <x v="0"/>
    <x v="7"/>
    <x v="230"/>
    <s v="TRF 4833481054851032 ;"/>
    <n v="-39.200000000000003"/>
    <x v="1"/>
    <x v="24"/>
    <x v="1"/>
  </r>
  <r>
    <x v="2"/>
    <x v="0"/>
    <x v="7"/>
    <x v="232"/>
    <s v="TRANSFER FROM S TAEBI - 01 ;"/>
    <n v="124.9"/>
    <x v="1"/>
    <x v="24"/>
    <x v="1"/>
  </r>
  <r>
    <x v="2"/>
    <x v="0"/>
    <x v="7"/>
    <x v="232"/>
    <s v="TRF 4833481054851032 ;"/>
    <n v="-389.48"/>
    <x v="1"/>
    <x v="24"/>
    <x v="1"/>
  </r>
  <r>
    <x v="2"/>
    <x v="0"/>
    <x v="7"/>
    <x v="233"/>
    <s v="TRF 4833481054851032 ;"/>
    <n v="-32.450000000000003"/>
    <x v="1"/>
    <x v="24"/>
    <x v="1"/>
  </r>
  <r>
    <x v="2"/>
    <x v="0"/>
    <x v="7"/>
    <x v="233"/>
    <s v="TRANSFER FROM S TAEBI - 01 ;"/>
    <n v="680.42"/>
    <x v="1"/>
    <x v="24"/>
    <x v="1"/>
  </r>
  <r>
    <x v="2"/>
    <x v="0"/>
    <x v="7"/>
    <x v="233"/>
    <s v="Bill Payment MJ ANZ ALAVI SEYED M ;Ref: MJ ANZ ALAVI SEYED M"/>
    <n v="916.83"/>
    <x v="1"/>
    <x v="24"/>
    <x v="1"/>
  </r>
  <r>
    <x v="2"/>
    <x v="0"/>
    <x v="7"/>
    <x v="233"/>
    <s v="AP#22653868 TO S M ALAVI  S TAEBI ;Pay S M ALAVI  S TAEBI"/>
    <n v="-825.88"/>
    <x v="1"/>
    <x v="24"/>
    <x v="1"/>
  </r>
  <r>
    <x v="2"/>
    <x v="0"/>
    <x v="7"/>
    <x v="234"/>
    <s v="TRF 4833481054851032 ;"/>
    <n v="-5.93"/>
    <x v="1"/>
    <x v="24"/>
    <x v="1"/>
  </r>
  <r>
    <x v="2"/>
    <x v="0"/>
    <x v="7"/>
    <x v="234"/>
    <s v="TRANSFER FROM S TAEBI - 01 ;"/>
    <n v="1341.15"/>
    <x v="1"/>
    <x v="24"/>
    <x v="1"/>
  </r>
  <r>
    <x v="2"/>
    <x v="0"/>
    <x v="7"/>
    <x v="234"/>
    <s v="TRF 4833481054851032 ;"/>
    <n v="-18.84"/>
    <x v="1"/>
    <x v="24"/>
    <x v="1"/>
  </r>
  <r>
    <x v="2"/>
    <x v="0"/>
    <x v="7"/>
    <x v="235"/>
    <s v="AP#18495353 TO S TAEBI  S M ALAVI ;Transfer to S TAEBI  S M ALAVI - 06"/>
    <n v="-872.5"/>
    <x v="1"/>
    <x v="24"/>
    <x v="1"/>
  </r>
  <r>
    <x v="2"/>
    <x v="0"/>
    <x v="7"/>
    <x v="235"/>
    <s v="AP#18495354 TO S TAEBI  S M ALAVI ;Transfer to S TAEBI  S M ALAVI - 07"/>
    <n v="-295.45"/>
    <x v="1"/>
    <x v="24"/>
    <x v="1"/>
  </r>
  <r>
    <x v="2"/>
    <x v="0"/>
    <x v="7"/>
    <x v="235"/>
    <s v="AP#20595693 TO S TAEBI  S M ALAVI ;Transfer to S TAEBI  S M ALAVI - 08"/>
    <n v="-472.64"/>
    <x v="1"/>
    <x v="24"/>
    <x v="1"/>
  </r>
  <r>
    <x v="2"/>
    <x v="0"/>
    <x v="7"/>
    <x v="236"/>
    <s v="TRANSFER FROM S TAEBI - 01 ;"/>
    <n v="195.29"/>
    <x v="1"/>
    <x v="24"/>
    <x v="1"/>
  </r>
  <r>
    <x v="2"/>
    <x v="0"/>
    <x v="7"/>
    <x v="236"/>
    <s v="TRF 4833481054851032 ;"/>
    <n v="-20.49"/>
    <x v="1"/>
    <x v="24"/>
    <x v="1"/>
  </r>
  <r>
    <x v="2"/>
    <x v="0"/>
    <x v="7"/>
    <x v="237"/>
    <s v="TRF 4833481054851032 ;"/>
    <n v="-46.34"/>
    <x v="1"/>
    <x v="24"/>
    <x v="1"/>
  </r>
  <r>
    <x v="2"/>
    <x v="0"/>
    <x v="7"/>
    <x v="616"/>
    <s v="PAY M P BARTON ;"/>
    <n v="-0.53"/>
    <x v="3"/>
    <x v="8"/>
    <x v="8"/>
  </r>
  <r>
    <x v="2"/>
    <x v="0"/>
    <x v="7"/>
    <x v="238"/>
    <s v="Direct Credit MJ ASB MR S M ALAVI ;Ref: MJ ASB MR S M ALAVI"/>
    <n v="233.24"/>
    <x v="1"/>
    <x v="24"/>
    <x v="1"/>
  </r>
  <r>
    <x v="2"/>
    <x v="0"/>
    <x v="7"/>
    <x v="238"/>
    <s v="TRF 4833481054851032 ;"/>
    <n v="-140.37"/>
    <x v="1"/>
    <x v="24"/>
    <x v="1"/>
  </r>
  <r>
    <x v="2"/>
    <x v="0"/>
    <x v="7"/>
    <x v="238"/>
    <s v="TRF 4833481054851032 ;"/>
    <n v="-0.01"/>
    <x v="1"/>
    <x v="24"/>
    <x v="1"/>
  </r>
  <r>
    <x v="2"/>
    <x v="0"/>
    <x v="7"/>
    <x v="239"/>
    <s v="Salary KIWIBANK FORTNIGHT ;"/>
    <n v="1965.05"/>
    <x v="11"/>
    <x v="22"/>
    <x v="38"/>
  </r>
  <r>
    <x v="2"/>
    <x v="0"/>
    <x v="7"/>
    <x v="239"/>
    <s v="TRF 4833481054851032 ;"/>
    <n v="-3546.83"/>
    <x v="1"/>
    <x v="24"/>
    <x v="1"/>
  </r>
  <r>
    <x v="2"/>
    <x v="0"/>
    <x v="7"/>
    <x v="239"/>
    <s v="Bill Payment MJ ANZ ALAVI SEYED M ;Ref: MJ ANZ ALAVI SEYED M"/>
    <n v="671.16"/>
    <x v="1"/>
    <x v="24"/>
    <x v="1"/>
  </r>
  <r>
    <x v="2"/>
    <x v="0"/>
    <x v="7"/>
    <x v="239"/>
    <s v="Direct Credit MJ ASB MR S M ALAVI ;Ref: MJ ASB MR S M ALAVI"/>
    <n v="43.9"/>
    <x v="1"/>
    <x v="24"/>
    <x v="1"/>
  </r>
  <r>
    <x v="2"/>
    <x v="0"/>
    <x v="7"/>
    <x v="239"/>
    <s v="AP#22653868 TO S M ALAVI  S TAEBI ;Pay S M ALAVI  S TAEBI"/>
    <n v="-640.9"/>
    <x v="1"/>
    <x v="24"/>
    <x v="1"/>
  </r>
  <r>
    <x v="2"/>
    <x v="0"/>
    <x v="7"/>
    <x v="240"/>
    <s v="TRF 4833481054851032 ;"/>
    <n v="-12.85"/>
    <x v="1"/>
    <x v="24"/>
    <x v="1"/>
  </r>
  <r>
    <x v="2"/>
    <x v="0"/>
    <x v="7"/>
    <x v="240"/>
    <s v="TRANSFER TO S TAEBI - 01 ;"/>
    <n v="-1266.81"/>
    <x v="1"/>
    <x v="24"/>
    <x v="1"/>
  </r>
  <r>
    <x v="2"/>
    <x v="0"/>
    <x v="7"/>
    <x v="240"/>
    <s v="INTEREST DEBIT ;"/>
    <n v="0"/>
    <x v="5"/>
    <x v="7"/>
    <x v="7"/>
  </r>
  <r>
    <x v="2"/>
    <x v="0"/>
    <x v="7"/>
    <x v="241"/>
    <s v="TRANSFER FROM S TAEBI - 01 ;"/>
    <n v="35.96"/>
    <x v="1"/>
    <x v="24"/>
    <x v="1"/>
  </r>
  <r>
    <x v="2"/>
    <x v="0"/>
    <x v="7"/>
    <x v="241"/>
    <s v="Direct Debit -SOUTHERN CROSS MEDICAL CARE SOCIETY ;Ref: 23284297 000 032673191"/>
    <n v="-8.0299999999999994"/>
    <x v="8"/>
    <x v="25"/>
    <x v="39"/>
  </r>
  <r>
    <x v="2"/>
    <x v="0"/>
    <x v="7"/>
    <x v="242"/>
    <s v="PAY veg ;"/>
    <n v="-2.27"/>
    <x v="3"/>
    <x v="8"/>
    <x v="8"/>
  </r>
  <r>
    <x v="2"/>
    <x v="0"/>
    <x v="7"/>
    <x v="242"/>
    <s v="PAY bluberry ;"/>
    <n v="-11.24"/>
    <x v="3"/>
    <x v="8"/>
    <x v="8"/>
  </r>
  <r>
    <x v="2"/>
    <x v="0"/>
    <x v="7"/>
    <x v="242"/>
    <s v="TRF 4833481054851032 ;"/>
    <n v="-31.64"/>
    <x v="1"/>
    <x v="24"/>
    <x v="1"/>
  </r>
  <r>
    <x v="2"/>
    <x v="0"/>
    <x v="7"/>
    <x v="242"/>
    <s v="TRF 4833481054851032 ;"/>
    <n v="-24.32"/>
    <x v="1"/>
    <x v="24"/>
    <x v="1"/>
  </r>
  <r>
    <x v="2"/>
    <x v="0"/>
    <x v="7"/>
    <x v="243"/>
    <s v="TRF 4833481054851032 ;"/>
    <n v="-33.799999999999997"/>
    <x v="1"/>
    <x v="24"/>
    <x v="1"/>
  </r>
  <r>
    <x v="2"/>
    <x v="0"/>
    <x v="7"/>
    <x v="244"/>
    <s v="TRF 4833481054851032 ;"/>
    <n v="-8.42"/>
    <x v="1"/>
    <x v="24"/>
    <x v="1"/>
  </r>
  <r>
    <x v="2"/>
    <x v="0"/>
    <x v="7"/>
    <x v="617"/>
    <s v="TRF 4833481054851032 ;"/>
    <n v="-24.55"/>
    <x v="1"/>
    <x v="24"/>
    <x v="1"/>
  </r>
  <r>
    <x v="2"/>
    <x v="0"/>
    <x v="7"/>
    <x v="245"/>
    <s v="TRF 4833481054851032 ;"/>
    <n v="-61.43"/>
    <x v="1"/>
    <x v="24"/>
    <x v="1"/>
  </r>
  <r>
    <x v="2"/>
    <x v="0"/>
    <x v="7"/>
    <x v="245"/>
    <s v="TRANSFER FROM S TAEBI - 01 ;"/>
    <n v="3422.08"/>
    <x v="1"/>
    <x v="24"/>
    <x v="1"/>
  </r>
  <r>
    <x v="2"/>
    <x v="0"/>
    <x v="7"/>
    <x v="245"/>
    <s v="AP#22653868 TO S M ALAVI  S TAEBI ;Pay S M ALAVI  S TAEBI"/>
    <n v="-456.89"/>
    <x v="1"/>
    <x v="24"/>
    <x v="1"/>
  </r>
  <r>
    <x v="2"/>
    <x v="0"/>
    <x v="7"/>
    <x v="245"/>
    <s v="Bill Payment MJ ANZ ALAVI SEYED M ;Ref: MJ ANZ ALAVI SEYED M"/>
    <n v="549.15"/>
    <x v="1"/>
    <x v="24"/>
    <x v="1"/>
  </r>
  <r>
    <x v="2"/>
    <x v="0"/>
    <x v="7"/>
    <x v="245"/>
    <s v="TRANSFER FROM S TAEBI - 01 ;"/>
    <n v="108.87"/>
    <x v="1"/>
    <x v="24"/>
    <x v="1"/>
  </r>
  <r>
    <x v="2"/>
    <x v="0"/>
    <x v="7"/>
    <x v="245"/>
    <s v="TRF 4833481054851032 ;"/>
    <n v="-228.07"/>
    <x v="1"/>
    <x v="24"/>
    <x v="1"/>
  </r>
  <r>
    <x v="2"/>
    <x v="0"/>
    <x v="7"/>
    <x v="246"/>
    <s v="Direct Credit Arianna MR P S NORFOLK AND ;Ref: Arianna MR P S NORFOLK AND"/>
    <n v="40.61"/>
    <x v="3"/>
    <x v="8"/>
    <x v="8"/>
  </r>
  <r>
    <x v="2"/>
    <x v="0"/>
    <x v="7"/>
    <x v="246"/>
    <s v="TRF 4833481054851032 ;"/>
    <n v="-139.25"/>
    <x v="1"/>
    <x v="24"/>
    <x v="1"/>
  </r>
  <r>
    <x v="2"/>
    <x v="0"/>
    <x v="7"/>
    <x v="247"/>
    <s v="AP#18495353 TO S TAEBI  S M ALAVI ;Transfer to S TAEBI  S M ALAVI - 06"/>
    <n v="-781.25"/>
    <x v="1"/>
    <x v="24"/>
    <x v="1"/>
  </r>
  <r>
    <x v="2"/>
    <x v="0"/>
    <x v="7"/>
    <x v="247"/>
    <s v="AP#18495354 TO S TAEBI  S M ALAVI ;Transfer to S TAEBI  S M ALAVI - 07"/>
    <n v="-314.77999999999997"/>
    <x v="1"/>
    <x v="24"/>
    <x v="1"/>
  </r>
  <r>
    <x v="2"/>
    <x v="0"/>
    <x v="7"/>
    <x v="247"/>
    <s v="AP#20595693 TO S TAEBI  S M ALAVI ;Transfer to S TAEBI  S M ALAVI - 08"/>
    <n v="-352.79"/>
    <x v="1"/>
    <x v="24"/>
    <x v="1"/>
  </r>
  <r>
    <x v="2"/>
    <x v="0"/>
    <x v="7"/>
    <x v="248"/>
    <s v="TRF 4833481054851032 ;"/>
    <n v="-14.41"/>
    <x v="1"/>
    <x v="24"/>
    <x v="1"/>
  </r>
  <r>
    <x v="2"/>
    <x v="0"/>
    <x v="7"/>
    <x v="248"/>
    <s v="PAY eggplant ;"/>
    <n v="-7.68"/>
    <x v="3"/>
    <x v="8"/>
    <x v="8"/>
  </r>
  <r>
    <x v="2"/>
    <x v="0"/>
    <x v="7"/>
    <x v="618"/>
    <s v="TRANSFER FROM S TAEBI - 01 ;"/>
    <n v="362.44"/>
    <x v="1"/>
    <x v="24"/>
    <x v="1"/>
  </r>
  <r>
    <x v="2"/>
    <x v="0"/>
    <x v="7"/>
    <x v="618"/>
    <s v="TRF 4833481054851032 ;"/>
    <n v="-76.739999999999995"/>
    <x v="1"/>
    <x v="24"/>
    <x v="1"/>
  </r>
  <r>
    <x v="2"/>
    <x v="0"/>
    <x v="7"/>
    <x v="249"/>
    <s v="TRF 4833481054851032 ;"/>
    <n v="-107.83"/>
    <x v="1"/>
    <x v="24"/>
    <x v="1"/>
  </r>
  <r>
    <x v="2"/>
    <x v="0"/>
    <x v="7"/>
    <x v="249"/>
    <s v="Salary KIWIBANK FORTNIGHT ;"/>
    <n v="760.03"/>
    <x v="11"/>
    <x v="22"/>
    <x v="38"/>
  </r>
  <r>
    <x v="2"/>
    <x v="0"/>
    <x v="7"/>
    <x v="249"/>
    <s v="TRANSFER TO S TAEBI - 01 ;"/>
    <n v="-175.4"/>
    <x v="1"/>
    <x v="24"/>
    <x v="1"/>
  </r>
  <r>
    <x v="2"/>
    <x v="0"/>
    <x v="7"/>
    <x v="249"/>
    <s v="AP#22653868 TO S M ALAVI  S TAEBI ;Pay S M ALAVI  S TAEBI"/>
    <n v="-929.13"/>
    <x v="1"/>
    <x v="24"/>
    <x v="1"/>
  </r>
  <r>
    <x v="2"/>
    <x v="0"/>
    <x v="7"/>
    <x v="249"/>
    <s v="Bill Payment MJ ANZ ALAVI SEYED M ;Ref: MJ ANZ ALAVI SEYED M"/>
    <n v="1117.23"/>
    <x v="1"/>
    <x v="24"/>
    <x v="1"/>
  </r>
  <r>
    <x v="2"/>
    <x v="0"/>
    <x v="7"/>
    <x v="249"/>
    <s v="Direct Credit MJ ASB MR S M ALAVI ;Ref: MJ ASB MR S M ALAVI"/>
    <n v="795.2"/>
    <x v="1"/>
    <x v="24"/>
    <x v="1"/>
  </r>
  <r>
    <x v="2"/>
    <x v="0"/>
    <x v="7"/>
    <x v="250"/>
    <s v="TRANSFER TO S TAEBI - 01 ;"/>
    <n v="-666.45"/>
    <x v="1"/>
    <x v="24"/>
    <x v="1"/>
  </r>
  <r>
    <x v="2"/>
    <x v="0"/>
    <x v="7"/>
    <x v="250"/>
    <s v="TRANSFER FROM S TAEBI - 01 ;"/>
    <n v="697.49"/>
    <x v="1"/>
    <x v="24"/>
    <x v="1"/>
  </r>
  <r>
    <x v="2"/>
    <x v="0"/>
    <x v="7"/>
    <x v="250"/>
    <s v="TRF 4833481054851032 ;"/>
    <n v="-61.62"/>
    <x v="1"/>
    <x v="24"/>
    <x v="1"/>
  </r>
  <r>
    <x v="2"/>
    <x v="0"/>
    <x v="7"/>
    <x v="250"/>
    <s v="TRF 4833481054851032 ;"/>
    <n v="-138.74"/>
    <x v="1"/>
    <x v="24"/>
    <x v="1"/>
  </r>
  <r>
    <x v="2"/>
    <x v="0"/>
    <x v="7"/>
    <x v="251"/>
    <s v="TRF 4833481054851032 ;"/>
    <n v="-206"/>
    <x v="1"/>
    <x v="24"/>
    <x v="1"/>
  </r>
  <r>
    <x v="2"/>
    <x v="0"/>
    <x v="7"/>
    <x v="251"/>
    <s v="Direct Debit -SOUTHERN CROSS MEDICAL CARE SOCIETY ;Ref: 23284297 000 032802710"/>
    <n v="-14.21"/>
    <x v="8"/>
    <x v="25"/>
    <x v="39"/>
  </r>
  <r>
    <x v="2"/>
    <x v="0"/>
    <x v="7"/>
    <x v="288"/>
    <s v="TRF 4833481054851032 ;"/>
    <n v="-138.94"/>
    <x v="1"/>
    <x v="24"/>
    <x v="1"/>
  </r>
  <r>
    <x v="2"/>
    <x v="0"/>
    <x v="7"/>
    <x v="288"/>
    <s v="TRANSFER FROM S TAEBI - 01 ;"/>
    <n v="538.02"/>
    <x v="1"/>
    <x v="24"/>
    <x v="1"/>
  </r>
  <r>
    <x v="2"/>
    <x v="0"/>
    <x v="7"/>
    <x v="253"/>
    <s v="TRF 4833481054851032 ;"/>
    <n v="-0.7"/>
    <x v="1"/>
    <x v="24"/>
    <x v="1"/>
  </r>
  <r>
    <x v="2"/>
    <x v="0"/>
    <x v="7"/>
    <x v="254"/>
    <s v="TRANSFER FROM S TAEBI - 01 ;"/>
    <n v="4977.87"/>
    <x v="1"/>
    <x v="24"/>
    <x v="1"/>
  </r>
  <r>
    <x v="2"/>
    <x v="0"/>
    <x v="7"/>
    <x v="254"/>
    <s v="TRF 4833481054851032 ;"/>
    <n v="-71.14"/>
    <x v="1"/>
    <x v="24"/>
    <x v="1"/>
  </r>
  <r>
    <x v="2"/>
    <x v="0"/>
    <x v="7"/>
    <x v="254"/>
    <s v="TRF 4833481054851032 ;"/>
    <n v="-91.85"/>
    <x v="1"/>
    <x v="24"/>
    <x v="1"/>
  </r>
  <r>
    <x v="2"/>
    <x v="0"/>
    <x v="7"/>
    <x v="254"/>
    <s v="AP#22653868 TO S M ALAVI  S TAEBI ;Pay S M ALAVI  S TAEBI"/>
    <n v="-905.57"/>
    <x v="1"/>
    <x v="24"/>
    <x v="1"/>
  </r>
  <r>
    <x v="2"/>
    <x v="0"/>
    <x v="7"/>
    <x v="255"/>
    <s v="Bill Payment MJ ANZ ALAVI SEYED M ;Ref: MJ ANZ ALAVI SEYED M"/>
    <n v="260.14999999999998"/>
    <x v="1"/>
    <x v="24"/>
    <x v="1"/>
  </r>
  <r>
    <x v="2"/>
    <x v="0"/>
    <x v="7"/>
    <x v="255"/>
    <s v="AP#18495353 TO S TAEBI  S M ALAVI ;Transfer to S TAEBI  S M ALAVI - 06"/>
    <n v="-1664.62"/>
    <x v="1"/>
    <x v="24"/>
    <x v="1"/>
  </r>
  <r>
    <x v="2"/>
    <x v="0"/>
    <x v="7"/>
    <x v="255"/>
    <s v="AP#18495354 TO S TAEBI  S M ALAVI ;Transfer to S TAEBI  S M ALAVI - 07"/>
    <n v="-1797.45"/>
    <x v="1"/>
    <x v="24"/>
    <x v="1"/>
  </r>
  <r>
    <x v="2"/>
    <x v="0"/>
    <x v="7"/>
    <x v="255"/>
    <s v="AP#20595693 TO S TAEBI  S M ALAVI ;Transfer to S TAEBI  S M ALAVI - 08"/>
    <n v="-421.61"/>
    <x v="1"/>
    <x v="24"/>
    <x v="1"/>
  </r>
  <r>
    <x v="2"/>
    <x v="0"/>
    <x v="7"/>
    <x v="255"/>
    <s v="Direct Debit -MEMBERSHIP SERVICES LTD ;Ref: MEMBERSHIP SERVICES LTD SL CACI W134"/>
    <n v="-197.89"/>
    <x v="3"/>
    <x v="6"/>
    <x v="6"/>
  </r>
  <r>
    <x v="2"/>
    <x v="0"/>
    <x v="7"/>
    <x v="290"/>
    <s v="TRANSFER TO S TAEBI - 01 ;"/>
    <n v="-1315.38"/>
    <x v="1"/>
    <x v="24"/>
    <x v="1"/>
  </r>
  <r>
    <x v="2"/>
    <x v="0"/>
    <x v="7"/>
    <x v="619"/>
    <s v="DD SET-UP FEE #1223759 ;"/>
    <n v="-0.27"/>
    <x v="5"/>
    <x v="7"/>
    <x v="7"/>
  </r>
  <r>
    <x v="2"/>
    <x v="0"/>
    <x v="7"/>
    <x v="619"/>
    <s v="TRF 4833481054851032 ;"/>
    <n v="-4.54"/>
    <x v="1"/>
    <x v="24"/>
    <x v="1"/>
  </r>
  <r>
    <x v="2"/>
    <x v="0"/>
    <x v="7"/>
    <x v="257"/>
    <s v="Salary KIWIBANK FORTNIGHT ;"/>
    <n v="1260.57"/>
    <x v="11"/>
    <x v="22"/>
    <x v="38"/>
  </r>
  <r>
    <x v="2"/>
    <x v="0"/>
    <x v="7"/>
    <x v="257"/>
    <s v="Bill Payment MJ ANZ ALAVI SEYED M ;Ref: MJ ANZ ALAVI SEYED M"/>
    <n v="596.16"/>
    <x v="1"/>
    <x v="24"/>
    <x v="1"/>
  </r>
  <r>
    <x v="2"/>
    <x v="0"/>
    <x v="7"/>
    <x v="257"/>
    <s v="AP#22653868 TO S M ALAVI  S TAEBI ;Pay S M ALAVI  S TAEBI"/>
    <n v="-866.49"/>
    <x v="1"/>
    <x v="24"/>
    <x v="1"/>
  </r>
  <r>
    <x v="2"/>
    <x v="0"/>
    <x v="7"/>
    <x v="292"/>
    <s v="TRF 4833481054851032 ;"/>
    <n v="-66.39"/>
    <x v="1"/>
    <x v="24"/>
    <x v="1"/>
  </r>
  <r>
    <x v="2"/>
    <x v="0"/>
    <x v="7"/>
    <x v="258"/>
    <s v="TRANSFER TO S TAEBI - 01 ;"/>
    <n v="-3636.38"/>
    <x v="1"/>
    <x v="24"/>
    <x v="1"/>
  </r>
  <r>
    <x v="2"/>
    <x v="0"/>
    <x v="7"/>
    <x v="258"/>
    <s v="Direct Debit -SOUTHERN CROSS MEDICAL CARE SOCIETY ;Ref: 23284297 000 032934898"/>
    <n v="-14.29"/>
    <x v="8"/>
    <x v="25"/>
    <x v="39"/>
  </r>
  <r>
    <x v="2"/>
    <x v="0"/>
    <x v="7"/>
    <x v="291"/>
    <s v="Bill Payment Lunch NAZERI Y ;Ref: Lunch NAZERI Y"/>
    <n v="19.27"/>
    <x v="3"/>
    <x v="8"/>
    <x v="8"/>
  </r>
  <r>
    <x v="2"/>
    <x v="0"/>
    <x v="7"/>
    <x v="291"/>
    <s v="PAY honey ;"/>
    <n v="-11.54"/>
    <x v="3"/>
    <x v="8"/>
    <x v="8"/>
  </r>
  <r>
    <x v="2"/>
    <x v="0"/>
    <x v="7"/>
    <x v="291"/>
    <s v="TRF 4833481054851032 ;"/>
    <n v="-346.58"/>
    <x v="1"/>
    <x v="24"/>
    <x v="1"/>
  </r>
  <r>
    <x v="2"/>
    <x v="0"/>
    <x v="7"/>
    <x v="291"/>
    <s v="TRF 4833481054851032 ;"/>
    <n v="-146.55000000000001"/>
    <x v="1"/>
    <x v="24"/>
    <x v="1"/>
  </r>
  <r>
    <x v="2"/>
    <x v="0"/>
    <x v="8"/>
    <x v="2"/>
    <s v="TRANSFER TO S TAEBI - 00 ;"/>
    <n v="-2628.7"/>
    <x v="1"/>
    <x v="24"/>
    <x v="1"/>
  </r>
  <r>
    <x v="2"/>
    <x v="0"/>
    <x v="8"/>
    <x v="3"/>
    <s v="TRANSFER FROM S TAEBI - 00 ;"/>
    <n v="116.78"/>
    <x v="1"/>
    <x v="24"/>
    <x v="1"/>
  </r>
  <r>
    <x v="2"/>
    <x v="0"/>
    <x v="8"/>
    <x v="6"/>
    <s v="Bill Payment Rent myRentakp2a110go9e5BClearyRoad MYRENT LTD ;Ref: Rent myRentakp2a110go9e5BClearyRoad MYRENT LTD"/>
    <n v="802.93"/>
    <x v="12"/>
    <x v="2"/>
    <x v="2"/>
  </r>
  <r>
    <x v="2"/>
    <x v="0"/>
    <x v="8"/>
    <x v="7"/>
    <s v="TRANSFER FROM S TAEBI - 00 ;"/>
    <n v="2901.49"/>
    <x v="1"/>
    <x v="24"/>
    <x v="1"/>
  </r>
  <r>
    <x v="2"/>
    <x v="0"/>
    <x v="8"/>
    <x v="14"/>
    <s v="TRANSFER TO S TAEBI - 00 ;"/>
    <n v="-220.28"/>
    <x v="1"/>
    <x v="24"/>
    <x v="1"/>
  </r>
  <r>
    <x v="2"/>
    <x v="0"/>
    <x v="8"/>
    <x v="14"/>
    <s v="TRANSFER TO S TAEBI - 00 ;"/>
    <n v="-892.37"/>
    <x v="1"/>
    <x v="24"/>
    <x v="1"/>
  </r>
  <r>
    <x v="2"/>
    <x v="0"/>
    <x v="8"/>
    <x v="583"/>
    <s v="Bill Payment Rent myRentakpoa0g05cgh5BClearyRoad MYRENT LTD ;Ref: Rent myRentakpoa0g05cgh5BClearyRoad MYRENT LTD"/>
    <n v="37.85"/>
    <x v="12"/>
    <x v="2"/>
    <x v="2"/>
  </r>
  <r>
    <x v="2"/>
    <x v="0"/>
    <x v="8"/>
    <x v="19"/>
    <s v="Bill Payment Rent myRentakprt1c0kkma5BClearyRoad MYRENT LTD ;Ref: Rent myRentakprt1c0kkma5BClearyRoad MYRENT LTD"/>
    <n v="587.86"/>
    <x v="12"/>
    <x v="2"/>
    <x v="2"/>
  </r>
  <r>
    <x v="2"/>
    <x v="0"/>
    <x v="8"/>
    <x v="19"/>
    <s v="TRANSFER FROM S TAEBI - 00 ;"/>
    <n v="104.03"/>
    <x v="1"/>
    <x v="24"/>
    <x v="1"/>
  </r>
  <r>
    <x v="2"/>
    <x v="0"/>
    <x v="8"/>
    <x v="267"/>
    <s v="TRANSFER TO S TAEBI - 00 ;"/>
    <n v="-203.37"/>
    <x v="1"/>
    <x v="24"/>
    <x v="1"/>
  </r>
  <r>
    <x v="2"/>
    <x v="0"/>
    <x v="8"/>
    <x v="20"/>
    <s v="INTEREST CREDIT ;"/>
    <n v="46.7"/>
    <x v="13"/>
    <x v="24"/>
    <x v="42"/>
  </r>
  <r>
    <x v="2"/>
    <x v="0"/>
    <x v="8"/>
    <x v="20"/>
    <s v="IRD WITHHOLDING TAX 17.500% ;"/>
    <n v="-2.75"/>
    <x v="5"/>
    <x v="7"/>
    <x v="13"/>
  </r>
  <r>
    <x v="2"/>
    <x v="0"/>
    <x v="8"/>
    <x v="23"/>
    <s v="TRANSFER TO S TAEBI - 00 ;"/>
    <n v="-2566.3000000000002"/>
    <x v="1"/>
    <x v="24"/>
    <x v="1"/>
  </r>
  <r>
    <x v="2"/>
    <x v="0"/>
    <x v="8"/>
    <x v="27"/>
    <s v="TRANSFER TO S TAEBI - 00 ;"/>
    <n v="-2997.93"/>
    <x v="1"/>
    <x v="24"/>
    <x v="1"/>
  </r>
  <r>
    <x v="2"/>
    <x v="0"/>
    <x v="8"/>
    <x v="27"/>
    <s v="Bill Payment Rent myRentakp1e0k0expr5BClearyRoad MYRENT LTD ;Ref: Rent myRentakp1e0k0expr5BClearyRoad MYRENT LTD"/>
    <n v="585.92999999999995"/>
    <x v="12"/>
    <x v="2"/>
    <x v="2"/>
  </r>
  <r>
    <x v="2"/>
    <x v="0"/>
    <x v="8"/>
    <x v="29"/>
    <s v="TRANSFER TO S TAEBI - 00 ;"/>
    <n v="-2075.89"/>
    <x v="1"/>
    <x v="24"/>
    <x v="1"/>
  </r>
  <r>
    <x v="2"/>
    <x v="0"/>
    <x v="8"/>
    <x v="29"/>
    <s v="TRANSFER TO S TAEBI - 00 ;"/>
    <n v="-9.9"/>
    <x v="1"/>
    <x v="24"/>
    <x v="1"/>
  </r>
  <r>
    <x v="2"/>
    <x v="0"/>
    <x v="8"/>
    <x v="29"/>
    <s v="TRANSFER TO S TAEBI - 00 ;"/>
    <n v="-404.78"/>
    <x v="1"/>
    <x v="24"/>
    <x v="1"/>
  </r>
  <r>
    <x v="2"/>
    <x v="0"/>
    <x v="8"/>
    <x v="269"/>
    <s v="TRANSFER TO S TAEBI - 00 ;"/>
    <n v="-65.239999999999995"/>
    <x v="1"/>
    <x v="24"/>
    <x v="1"/>
  </r>
  <r>
    <x v="2"/>
    <x v="0"/>
    <x v="8"/>
    <x v="32"/>
    <s v="TRANSFER TO S TAEBI - 00 ;"/>
    <n v="-622.5"/>
    <x v="1"/>
    <x v="24"/>
    <x v="1"/>
  </r>
  <r>
    <x v="2"/>
    <x v="0"/>
    <x v="8"/>
    <x v="34"/>
    <s v="TRANSFER TO S TAEBI - 00 ;"/>
    <n v="-2884.28"/>
    <x v="1"/>
    <x v="24"/>
    <x v="1"/>
  </r>
  <r>
    <x v="2"/>
    <x v="0"/>
    <x v="8"/>
    <x v="35"/>
    <s v="Bill Payment Rent myRentakp610b0hgcu5BClearyRoad MYRENT LTD ;Ref: Rent myRentakp610b0hgcu5BClearyRoad MYRENT LTD"/>
    <n v="1691.97"/>
    <x v="12"/>
    <x v="2"/>
    <x v="2"/>
  </r>
  <r>
    <x v="2"/>
    <x v="0"/>
    <x v="8"/>
    <x v="35"/>
    <s v="TRANSFER TO S TAEBI - 00 ;"/>
    <n v="-44.06"/>
    <x v="1"/>
    <x v="24"/>
    <x v="1"/>
  </r>
  <r>
    <x v="2"/>
    <x v="0"/>
    <x v="8"/>
    <x v="35"/>
    <s v="TRANSFER TO S TAEBI - 00 ;"/>
    <n v="-75.38"/>
    <x v="1"/>
    <x v="24"/>
    <x v="1"/>
  </r>
  <r>
    <x v="2"/>
    <x v="0"/>
    <x v="8"/>
    <x v="35"/>
    <s v="TRANSFER TO S TAEBI - 00 ;"/>
    <n v="-33.21"/>
    <x v="1"/>
    <x v="24"/>
    <x v="1"/>
  </r>
  <r>
    <x v="2"/>
    <x v="0"/>
    <x v="8"/>
    <x v="36"/>
    <s v="TRANSFER TO S TAEBI - 00 ;"/>
    <n v="-26.08"/>
    <x v="1"/>
    <x v="24"/>
    <x v="1"/>
  </r>
  <r>
    <x v="2"/>
    <x v="0"/>
    <x v="8"/>
    <x v="271"/>
    <s v="TRANSFER FROM S TAEBI - 00 ;"/>
    <n v="1589.14"/>
    <x v="1"/>
    <x v="24"/>
    <x v="1"/>
  </r>
  <r>
    <x v="2"/>
    <x v="0"/>
    <x v="8"/>
    <x v="41"/>
    <s v="TRANSFER TO S TAEBI - 00 ;"/>
    <n v="-51.41"/>
    <x v="1"/>
    <x v="24"/>
    <x v="1"/>
  </r>
  <r>
    <x v="2"/>
    <x v="0"/>
    <x v="8"/>
    <x v="42"/>
    <s v="TRANSFER TO S TAEBI - 00 ;"/>
    <n v="-71.37"/>
    <x v="1"/>
    <x v="24"/>
    <x v="1"/>
  </r>
  <r>
    <x v="2"/>
    <x v="0"/>
    <x v="8"/>
    <x v="43"/>
    <s v="TRANSFER TO S TAEBI - 00 ;"/>
    <n v="-2119.38"/>
    <x v="1"/>
    <x v="24"/>
    <x v="1"/>
  </r>
  <r>
    <x v="2"/>
    <x v="0"/>
    <x v="8"/>
    <x v="43"/>
    <s v="INTEREST CREDIT ;"/>
    <n v="34.68"/>
    <x v="13"/>
    <x v="24"/>
    <x v="42"/>
  </r>
  <r>
    <x v="2"/>
    <x v="0"/>
    <x v="8"/>
    <x v="43"/>
    <s v="IRD WITHHOLDING TAX 17.500% ;"/>
    <n v="-6.59"/>
    <x v="5"/>
    <x v="7"/>
    <x v="13"/>
  </r>
  <r>
    <x v="2"/>
    <x v="0"/>
    <x v="8"/>
    <x v="586"/>
    <s v="Bill Payment Rent myRentakpil2g025zw5BClearyRoad MYRENT LTD ;Ref: Rent myRentakpil2g025zw5BClearyRoad MYRENT LTD"/>
    <n v="17.63"/>
    <x v="12"/>
    <x v="2"/>
    <x v="2"/>
  </r>
  <r>
    <x v="2"/>
    <x v="0"/>
    <x v="8"/>
    <x v="586"/>
    <s v="TRANSFER TO S TAEBI - 00 ;"/>
    <n v="-3505.75"/>
    <x v="1"/>
    <x v="24"/>
    <x v="1"/>
  </r>
  <r>
    <x v="2"/>
    <x v="0"/>
    <x v="8"/>
    <x v="587"/>
    <s v="TRANSFER TO S TAEBI - 00 ;"/>
    <n v="-204.88"/>
    <x v="1"/>
    <x v="24"/>
    <x v="1"/>
  </r>
  <r>
    <x v="2"/>
    <x v="0"/>
    <x v="8"/>
    <x v="590"/>
    <s v="Bill Payment Rent myRentakpir0z01bcn5BClearyRoad MYRENT LTD ;Ref: Rent myRentakpir0z01bcn5BClearyRoad MYRENT LTD"/>
    <n v="66.88"/>
    <x v="12"/>
    <x v="2"/>
    <x v="2"/>
  </r>
  <r>
    <x v="2"/>
    <x v="0"/>
    <x v="8"/>
    <x v="56"/>
    <s v="TRANSFER FROM S TAEBI - 00 ;"/>
    <n v="5205.0200000000004"/>
    <x v="1"/>
    <x v="24"/>
    <x v="1"/>
  </r>
  <r>
    <x v="2"/>
    <x v="0"/>
    <x v="8"/>
    <x v="61"/>
    <s v="TRANSFER FROM S TAEBI - 00 ;"/>
    <n v="1006.83"/>
    <x v="1"/>
    <x v="24"/>
    <x v="1"/>
  </r>
  <r>
    <x v="2"/>
    <x v="0"/>
    <x v="8"/>
    <x v="592"/>
    <s v="Bill Payment Rent myRentakpm5240k3eg5BClearyRoad MYRENT LTD ;Ref: Rent myRentakpm5240k3eg5BClearyRoad MYRENT LTD"/>
    <n v="1223.6400000000001"/>
    <x v="12"/>
    <x v="2"/>
    <x v="2"/>
  </r>
  <r>
    <x v="2"/>
    <x v="0"/>
    <x v="8"/>
    <x v="592"/>
    <s v="TRANSFER TO S TAEBI - 00 ;"/>
    <n v="-100.48"/>
    <x v="1"/>
    <x v="24"/>
    <x v="1"/>
  </r>
  <r>
    <x v="2"/>
    <x v="0"/>
    <x v="8"/>
    <x v="592"/>
    <s v="INTEREST CREDIT ;"/>
    <n v="21.14"/>
    <x v="13"/>
    <x v="24"/>
    <x v="42"/>
  </r>
  <r>
    <x v="2"/>
    <x v="0"/>
    <x v="8"/>
    <x v="592"/>
    <s v="IRD WITHHOLDING TAX 17.500% ;"/>
    <n v="-1.93"/>
    <x v="5"/>
    <x v="7"/>
    <x v="13"/>
  </r>
  <r>
    <x v="2"/>
    <x v="0"/>
    <x v="8"/>
    <x v="62"/>
    <s v="TRANSFER FROM S TAEBI - 00 ;"/>
    <n v="165.39"/>
    <x v="1"/>
    <x v="24"/>
    <x v="1"/>
  </r>
  <r>
    <x v="2"/>
    <x v="0"/>
    <x v="8"/>
    <x v="62"/>
    <s v="TRANSFER TO S TAEBI - 00 ;"/>
    <n v="-611.28"/>
    <x v="1"/>
    <x v="24"/>
    <x v="1"/>
  </r>
  <r>
    <x v="2"/>
    <x v="0"/>
    <x v="8"/>
    <x v="64"/>
    <s v="TRANSFER FROM S TAEBI - 00 ;"/>
    <n v="632.25"/>
    <x v="1"/>
    <x v="24"/>
    <x v="1"/>
  </r>
  <r>
    <x v="2"/>
    <x v="0"/>
    <x v="8"/>
    <x v="64"/>
    <s v="TRANSFER FROM S TAEBI - 00 ;"/>
    <n v="2126.94"/>
    <x v="1"/>
    <x v="24"/>
    <x v="1"/>
  </r>
  <r>
    <x v="2"/>
    <x v="0"/>
    <x v="8"/>
    <x v="66"/>
    <s v="Bill Payment Rent myRentakpgm0u0x8s65BClearyRoad MYRENT LTD ;Ref: Rent myRentakpgm0u0x8s65BClearyRoad MYRENT LTD"/>
    <n v="15.44"/>
    <x v="12"/>
    <x v="2"/>
    <x v="2"/>
  </r>
  <r>
    <x v="2"/>
    <x v="0"/>
    <x v="8"/>
    <x v="69"/>
    <s v="TRANSFER TO S TAEBI - 00 ;"/>
    <n v="-55.49"/>
    <x v="1"/>
    <x v="24"/>
    <x v="1"/>
  </r>
  <r>
    <x v="2"/>
    <x v="0"/>
    <x v="8"/>
    <x v="69"/>
    <s v="TRANSFER TO S TAEBI - 00 ;"/>
    <n v="-394.09"/>
    <x v="1"/>
    <x v="24"/>
    <x v="1"/>
  </r>
  <r>
    <x v="2"/>
    <x v="0"/>
    <x v="8"/>
    <x v="594"/>
    <s v="Bill Payment Rent myRentakpm50o0knrf5BClearyRoad MYRENT LTD ;Ref: Rent myRentakpm50o0knrf5BClearyRoad MYRENT LTD"/>
    <n v="80.38"/>
    <x v="12"/>
    <x v="2"/>
    <x v="2"/>
  </r>
  <r>
    <x v="2"/>
    <x v="0"/>
    <x v="8"/>
    <x v="595"/>
    <s v="TRANSFER TO S TAEBI - 00 ;"/>
    <n v="-805.67"/>
    <x v="1"/>
    <x v="24"/>
    <x v="1"/>
  </r>
  <r>
    <x v="2"/>
    <x v="0"/>
    <x v="8"/>
    <x v="74"/>
    <s v="TRANSFER FROM S TAEBI - 00 ;"/>
    <n v="5167.49"/>
    <x v="1"/>
    <x v="24"/>
    <x v="1"/>
  </r>
  <r>
    <x v="2"/>
    <x v="0"/>
    <x v="8"/>
    <x v="74"/>
    <s v="TRANSFER FROM S TAEBI - 00 ;"/>
    <n v="526.95000000000005"/>
    <x v="1"/>
    <x v="24"/>
    <x v="1"/>
  </r>
  <r>
    <x v="2"/>
    <x v="0"/>
    <x v="8"/>
    <x v="75"/>
    <s v="TRANSFER TO S TAEBI - 00 ;"/>
    <n v="-568.08000000000004"/>
    <x v="1"/>
    <x v="24"/>
    <x v="1"/>
  </r>
  <r>
    <x v="2"/>
    <x v="0"/>
    <x v="8"/>
    <x v="79"/>
    <s v="TRANSFER TO S TAEBI - 00 ;"/>
    <n v="-3216.55"/>
    <x v="1"/>
    <x v="24"/>
    <x v="1"/>
  </r>
  <r>
    <x v="2"/>
    <x v="0"/>
    <x v="8"/>
    <x v="596"/>
    <s v="Bill Payment Rent myRentakpwp1o02mai5BClearyRoad MYRENT LTD ;Ref: Rent myRentakpwp1o02mai5BClearyRoad MYRENT LTD"/>
    <n v="1057.43"/>
    <x v="12"/>
    <x v="2"/>
    <x v="2"/>
  </r>
  <r>
    <x v="2"/>
    <x v="0"/>
    <x v="8"/>
    <x v="597"/>
    <s v="INTEREST CREDIT ;"/>
    <n v="2.5499999999999998"/>
    <x v="13"/>
    <x v="24"/>
    <x v="42"/>
  </r>
  <r>
    <x v="2"/>
    <x v="0"/>
    <x v="8"/>
    <x v="597"/>
    <s v="IRD WITHHOLDING TAX 17.500% ;"/>
    <n v="-5.18"/>
    <x v="5"/>
    <x v="7"/>
    <x v="13"/>
  </r>
  <r>
    <x v="2"/>
    <x v="0"/>
    <x v="8"/>
    <x v="82"/>
    <s v="TRANSFER FROM S TAEBI - 00 ;"/>
    <n v="3558.23"/>
    <x v="1"/>
    <x v="24"/>
    <x v="1"/>
  </r>
  <r>
    <x v="2"/>
    <x v="0"/>
    <x v="8"/>
    <x v="82"/>
    <s v="TRANSFER FROM S TAEBI - 00 ;"/>
    <n v="396.97"/>
    <x v="1"/>
    <x v="24"/>
    <x v="1"/>
  </r>
  <r>
    <x v="2"/>
    <x v="0"/>
    <x v="8"/>
    <x v="82"/>
    <s v="TRANSFER FROM S TAEBI - 00 ;"/>
    <n v="80.64"/>
    <x v="1"/>
    <x v="24"/>
    <x v="1"/>
  </r>
  <r>
    <x v="2"/>
    <x v="0"/>
    <x v="8"/>
    <x v="83"/>
    <s v="TRANSFER FROM S TAEBI - 00 ;"/>
    <n v="2173.65"/>
    <x v="1"/>
    <x v="24"/>
    <x v="1"/>
  </r>
  <r>
    <x v="2"/>
    <x v="0"/>
    <x v="8"/>
    <x v="86"/>
    <s v="TRANSFER TO S TAEBI - 00 ;"/>
    <n v="-1671.7"/>
    <x v="1"/>
    <x v="24"/>
    <x v="1"/>
  </r>
  <r>
    <x v="2"/>
    <x v="0"/>
    <x v="8"/>
    <x v="87"/>
    <s v="Bill Payment Rent myRentakpk60q0qr205BClearyRoad MYRENT LTD ;Ref: Rent myRentakpk60q0qr205BClearyRoad MYRENT LTD"/>
    <n v="616.08000000000004"/>
    <x v="12"/>
    <x v="2"/>
    <x v="2"/>
  </r>
  <r>
    <x v="2"/>
    <x v="0"/>
    <x v="8"/>
    <x v="598"/>
    <s v="TRANSFER FROM S TAEBI - 00 ;"/>
    <n v="5.61"/>
    <x v="1"/>
    <x v="24"/>
    <x v="1"/>
  </r>
  <r>
    <x v="2"/>
    <x v="0"/>
    <x v="8"/>
    <x v="90"/>
    <s v="TRANSFER FROM S TAEBI - 00 ;"/>
    <n v="4197.38"/>
    <x v="1"/>
    <x v="24"/>
    <x v="1"/>
  </r>
  <r>
    <x v="2"/>
    <x v="0"/>
    <x v="8"/>
    <x v="91"/>
    <s v="TRANSFER TO S TAEBI - 00 ;"/>
    <n v="-1151.94"/>
    <x v="1"/>
    <x v="24"/>
    <x v="1"/>
  </r>
  <r>
    <x v="2"/>
    <x v="0"/>
    <x v="8"/>
    <x v="96"/>
    <s v="TRANSFER TO S TAEBI - 00 ;"/>
    <n v="-2212.04"/>
    <x v="1"/>
    <x v="24"/>
    <x v="1"/>
  </r>
  <r>
    <x v="2"/>
    <x v="0"/>
    <x v="8"/>
    <x v="96"/>
    <s v="TRANSFER TO S TAEBI - 00 ;"/>
    <n v="-2298.9899999999998"/>
    <x v="1"/>
    <x v="24"/>
    <x v="1"/>
  </r>
  <r>
    <x v="2"/>
    <x v="0"/>
    <x v="8"/>
    <x v="96"/>
    <s v="TRANSFER TO S TAEBI - 00 ;MJ IRD"/>
    <n v="-1874.58"/>
    <x v="1"/>
    <x v="24"/>
    <x v="1"/>
  </r>
  <r>
    <x v="2"/>
    <x v="0"/>
    <x v="8"/>
    <x v="96"/>
    <s v="TRANSFER TO S TAEBI - 00 ;rates"/>
    <n v="-3578.97"/>
    <x v="1"/>
    <x v="24"/>
    <x v="1"/>
  </r>
  <r>
    <x v="2"/>
    <x v="0"/>
    <x v="8"/>
    <x v="97"/>
    <s v="Bill Payment Rent myRentakpia0m08nzv5BClearyRoad MYRENT LTD ;Ref: Rent myRentakpia0m08nzv5BClearyRoad MYRENT LTD"/>
    <n v="1104.44"/>
    <x v="12"/>
    <x v="2"/>
    <x v="2"/>
  </r>
  <r>
    <x v="2"/>
    <x v="0"/>
    <x v="8"/>
    <x v="97"/>
    <s v="TRANSFER FROM S TAEBI - 00 ;"/>
    <n v="186.94"/>
    <x v="1"/>
    <x v="24"/>
    <x v="1"/>
  </r>
  <r>
    <x v="2"/>
    <x v="0"/>
    <x v="8"/>
    <x v="97"/>
    <s v="TRANSFER FROM S TAEBI - 00 ;"/>
    <n v="725.06"/>
    <x v="1"/>
    <x v="24"/>
    <x v="1"/>
  </r>
  <r>
    <x v="2"/>
    <x v="0"/>
    <x v="8"/>
    <x v="100"/>
    <s v="TRANSFER FROM S TAEBI - 00 ;"/>
    <n v="5477.09"/>
    <x v="1"/>
    <x v="24"/>
    <x v="1"/>
  </r>
  <r>
    <x v="2"/>
    <x v="0"/>
    <x v="8"/>
    <x v="278"/>
    <s v="INTEREST CREDIT ;"/>
    <n v="36.700000000000003"/>
    <x v="13"/>
    <x v="24"/>
    <x v="42"/>
  </r>
  <r>
    <x v="2"/>
    <x v="0"/>
    <x v="8"/>
    <x v="278"/>
    <s v="IRD WITHHOLDING TAX 17.500% ;"/>
    <n v="-0.55000000000000004"/>
    <x v="5"/>
    <x v="7"/>
    <x v="13"/>
  </r>
  <r>
    <x v="2"/>
    <x v="0"/>
    <x v="8"/>
    <x v="103"/>
    <s v="TRANSFER TO S TAEBI - 00 ;"/>
    <n v="-52.61"/>
    <x v="1"/>
    <x v="24"/>
    <x v="1"/>
  </r>
  <r>
    <x v="2"/>
    <x v="0"/>
    <x v="8"/>
    <x v="106"/>
    <s v="TRANSFER TO S TAEBI - 00 ;"/>
    <n v="-534.53"/>
    <x v="1"/>
    <x v="24"/>
    <x v="1"/>
  </r>
  <r>
    <x v="2"/>
    <x v="0"/>
    <x v="8"/>
    <x v="106"/>
    <s v="TRANSFER TO S TAEBI - 00 ;"/>
    <n v="-1588.46"/>
    <x v="1"/>
    <x v="24"/>
    <x v="1"/>
  </r>
  <r>
    <x v="2"/>
    <x v="0"/>
    <x v="8"/>
    <x v="106"/>
    <s v="TRANSFER TO S TAEBI - 00 ;"/>
    <n v="-434.56"/>
    <x v="1"/>
    <x v="24"/>
    <x v="1"/>
  </r>
  <r>
    <x v="2"/>
    <x v="0"/>
    <x v="8"/>
    <x v="107"/>
    <s v="Bill Payment Rent myRentakpbl0z0tqkl5BClearyRoad MYRENT LTD ;Ref: Rent myRentakpbl0z0tqkl5BClearyRoad MYRENT LTD"/>
    <n v="183.6"/>
    <x v="12"/>
    <x v="2"/>
    <x v="2"/>
  </r>
  <r>
    <x v="2"/>
    <x v="0"/>
    <x v="8"/>
    <x v="107"/>
    <s v="TRANSFER TO S TAEBI - 00 ;"/>
    <n v="-223.62"/>
    <x v="1"/>
    <x v="24"/>
    <x v="1"/>
  </r>
  <r>
    <x v="2"/>
    <x v="0"/>
    <x v="8"/>
    <x v="600"/>
    <s v="TRANSFER FROM S TAEBI - 00 ;"/>
    <n v="444.65"/>
    <x v="1"/>
    <x v="24"/>
    <x v="1"/>
  </r>
  <r>
    <x v="2"/>
    <x v="0"/>
    <x v="8"/>
    <x v="600"/>
    <s v="TRANSFER TO S TAEBI - 00 ;"/>
    <n v="-242.2"/>
    <x v="1"/>
    <x v="24"/>
    <x v="1"/>
  </r>
  <r>
    <x v="2"/>
    <x v="0"/>
    <x v="8"/>
    <x v="108"/>
    <s v="TRANSFER TO S TAEBI - 00 ;"/>
    <n v="-345.67"/>
    <x v="1"/>
    <x v="24"/>
    <x v="1"/>
  </r>
  <r>
    <x v="2"/>
    <x v="0"/>
    <x v="8"/>
    <x v="111"/>
    <s v="TRANSFER FROM S TAEBI - 00 ;"/>
    <n v="2851.04"/>
    <x v="1"/>
    <x v="24"/>
    <x v="1"/>
  </r>
  <r>
    <x v="2"/>
    <x v="0"/>
    <x v="8"/>
    <x v="112"/>
    <s v="Bill Payment Rent myRentakpk70e06n225BClearyRoad MYRENT LTD ;Ref: Rent myRentakpk70e06n225BClearyRoad MYRENT LTD"/>
    <n v="63.53"/>
    <x v="12"/>
    <x v="2"/>
    <x v="2"/>
  </r>
  <r>
    <x v="2"/>
    <x v="0"/>
    <x v="8"/>
    <x v="113"/>
    <s v="TRANSFER TO S TAEBI - 00 ;"/>
    <n v="-140.91999999999999"/>
    <x v="1"/>
    <x v="24"/>
    <x v="1"/>
  </r>
  <r>
    <x v="2"/>
    <x v="0"/>
    <x v="8"/>
    <x v="601"/>
    <s v="TRANSFER TO S TAEBI - 00 ;"/>
    <n v="-787.5"/>
    <x v="1"/>
    <x v="24"/>
    <x v="1"/>
  </r>
  <r>
    <x v="2"/>
    <x v="0"/>
    <x v="8"/>
    <x v="117"/>
    <s v="TRANSFER TO S TAEBI - 00 ;"/>
    <n v="-1284.73"/>
    <x v="1"/>
    <x v="24"/>
    <x v="1"/>
  </r>
  <r>
    <x v="2"/>
    <x v="0"/>
    <x v="8"/>
    <x v="118"/>
    <s v="Bill Payment Rent myRentakp6g0f0t0dv5BClearyRoad MYRENT LTD ;Ref: Rent myRentakp6g0f0t0dv5BClearyRoad MYRENT LTD"/>
    <n v="1826.29"/>
    <x v="12"/>
    <x v="2"/>
    <x v="2"/>
  </r>
  <r>
    <x v="2"/>
    <x v="0"/>
    <x v="8"/>
    <x v="122"/>
    <s v="TRANSFER FROM S TAEBI - 00 ;"/>
    <n v="2311.98"/>
    <x v="1"/>
    <x v="24"/>
    <x v="1"/>
  </r>
  <r>
    <x v="2"/>
    <x v="0"/>
    <x v="8"/>
    <x v="602"/>
    <s v="INTEREST CREDIT ;"/>
    <n v="27.44"/>
    <x v="13"/>
    <x v="24"/>
    <x v="42"/>
  </r>
  <r>
    <x v="2"/>
    <x v="0"/>
    <x v="8"/>
    <x v="602"/>
    <s v="IRD WITHHOLDING TAX 17.500% ;"/>
    <n v="-12.28"/>
    <x v="5"/>
    <x v="7"/>
    <x v="13"/>
  </r>
  <r>
    <x v="2"/>
    <x v="0"/>
    <x v="8"/>
    <x v="126"/>
    <s v="TRANSFER TO S TAEBI - 00 ;"/>
    <n v="-71.67"/>
    <x v="1"/>
    <x v="24"/>
    <x v="1"/>
  </r>
  <r>
    <x v="2"/>
    <x v="0"/>
    <x v="8"/>
    <x v="126"/>
    <s v="TRANSFER TO S TAEBI - 00 ;"/>
    <n v="-485.36"/>
    <x v="1"/>
    <x v="24"/>
    <x v="1"/>
  </r>
  <r>
    <x v="2"/>
    <x v="0"/>
    <x v="8"/>
    <x v="128"/>
    <s v="Bill Payment Rent myRentakpdo0k0in2a5BClearyRoad MYRENT LTD ;Ref: Rent myRentakpdo0k0in2a5BClearyRoad MYRENT LTD"/>
    <n v="1025.42"/>
    <x v="12"/>
    <x v="2"/>
    <x v="2"/>
  </r>
  <r>
    <x v="2"/>
    <x v="0"/>
    <x v="8"/>
    <x v="128"/>
    <s v="TRANSFER TO S TAEBI - 00 ;"/>
    <n v="-675.75"/>
    <x v="1"/>
    <x v="24"/>
    <x v="1"/>
  </r>
  <r>
    <x v="2"/>
    <x v="0"/>
    <x v="8"/>
    <x v="131"/>
    <s v="TRANSFER FROM S TAEBI - 00 ;"/>
    <n v="1181.47"/>
    <x v="1"/>
    <x v="24"/>
    <x v="1"/>
  </r>
  <r>
    <x v="2"/>
    <x v="0"/>
    <x v="8"/>
    <x v="136"/>
    <s v="TRANSFER TO S TAEBI - 00 ;"/>
    <n v="-1286.3"/>
    <x v="1"/>
    <x v="24"/>
    <x v="1"/>
  </r>
  <r>
    <x v="2"/>
    <x v="0"/>
    <x v="8"/>
    <x v="137"/>
    <s v="Bill Payment Rent myRentakpm80l0eu135BClearyRoad MYRENT LTD ;Ref: Rent myRentakpm80l0eu135BClearyRoad MYRENT LTD"/>
    <n v="143.52000000000001"/>
    <x v="12"/>
    <x v="2"/>
    <x v="2"/>
  </r>
  <r>
    <x v="2"/>
    <x v="0"/>
    <x v="8"/>
    <x v="137"/>
    <s v="TRANSFER TO S TAEBI - 00 ;"/>
    <n v="-200.6"/>
    <x v="1"/>
    <x v="24"/>
    <x v="1"/>
  </r>
  <r>
    <x v="2"/>
    <x v="0"/>
    <x v="8"/>
    <x v="603"/>
    <s v="TRANSFER TO S TAEBI - 00 ;"/>
    <n v="-179.92"/>
    <x v="1"/>
    <x v="24"/>
    <x v="1"/>
  </r>
  <r>
    <x v="2"/>
    <x v="0"/>
    <x v="8"/>
    <x v="139"/>
    <s v="TRANSFER TO S TAEBI - 00 ;"/>
    <n v="-552.82000000000005"/>
    <x v="1"/>
    <x v="24"/>
    <x v="1"/>
  </r>
  <r>
    <x v="2"/>
    <x v="0"/>
    <x v="8"/>
    <x v="141"/>
    <s v="TRANSFER FROM S TAEBI - 00 ;"/>
    <n v="817.02"/>
    <x v="1"/>
    <x v="24"/>
    <x v="1"/>
  </r>
  <r>
    <x v="2"/>
    <x v="0"/>
    <x v="8"/>
    <x v="141"/>
    <s v="TRANSFER FROM S TAEBI - 00 ;"/>
    <n v="81.3"/>
    <x v="1"/>
    <x v="24"/>
    <x v="1"/>
  </r>
  <r>
    <x v="2"/>
    <x v="0"/>
    <x v="8"/>
    <x v="620"/>
    <s v="INTEREST CREDIT ;"/>
    <n v="94.45"/>
    <x v="13"/>
    <x v="24"/>
    <x v="42"/>
  </r>
  <r>
    <x v="2"/>
    <x v="0"/>
    <x v="8"/>
    <x v="620"/>
    <s v="IRD WITHHOLDING TAX 17.500% ;"/>
    <n v="-19.8"/>
    <x v="5"/>
    <x v="7"/>
    <x v="13"/>
  </r>
  <r>
    <x v="2"/>
    <x v="0"/>
    <x v="8"/>
    <x v="146"/>
    <s v="TRANSFER TO S TAEBI - 00 ;"/>
    <n v="-24.4"/>
    <x v="1"/>
    <x v="24"/>
    <x v="1"/>
  </r>
  <r>
    <x v="2"/>
    <x v="0"/>
    <x v="8"/>
    <x v="146"/>
    <s v="TRANSFER TO S TAEBI - 00 ;"/>
    <n v="-1979.45"/>
    <x v="1"/>
    <x v="24"/>
    <x v="1"/>
  </r>
  <r>
    <x v="2"/>
    <x v="0"/>
    <x v="8"/>
    <x v="604"/>
    <s v="TRANSFER TO S TAEBI - 00 ;"/>
    <n v="-481.36"/>
    <x v="1"/>
    <x v="24"/>
    <x v="1"/>
  </r>
  <r>
    <x v="2"/>
    <x v="0"/>
    <x v="8"/>
    <x v="604"/>
    <s v="Bill Payment Rent myRentakp0d0x0a04p5BClearyRoad MYRENT LTD ;Ref: Rent myRentakp0d0x0a04p5BClearyRoad MYRENT LTD"/>
    <n v="1601.03"/>
    <x v="12"/>
    <x v="2"/>
    <x v="2"/>
  </r>
  <r>
    <x v="2"/>
    <x v="0"/>
    <x v="8"/>
    <x v="151"/>
    <s v="TRANSFER TO S TAEBI - 00 ;"/>
    <n v="-439.17"/>
    <x v="1"/>
    <x v="24"/>
    <x v="1"/>
  </r>
  <r>
    <x v="2"/>
    <x v="0"/>
    <x v="8"/>
    <x v="151"/>
    <s v="TFR FROM 1811371I9 ;"/>
    <n v="1786.9"/>
    <x v="1"/>
    <x v="24"/>
    <x v="1"/>
  </r>
  <r>
    <x v="2"/>
    <x v="0"/>
    <x v="8"/>
    <x v="151"/>
    <s v="TFR FROM 1811371I9 ;"/>
    <n v="64379.56"/>
    <x v="1"/>
    <x v="24"/>
    <x v="1"/>
  </r>
  <r>
    <x v="2"/>
    <x v="0"/>
    <x v="8"/>
    <x v="151"/>
    <s v="TRANSFER TO S M ALAVI  S TAEBI - 00 ;"/>
    <n v="-12531.06"/>
    <x v="1"/>
    <x v="24"/>
    <x v="1"/>
  </r>
  <r>
    <x v="2"/>
    <x v="0"/>
    <x v="8"/>
    <x v="151"/>
    <s v="TRANSFER TO S TAEBI - 00 ;"/>
    <n v="-148.21"/>
    <x v="1"/>
    <x v="24"/>
    <x v="1"/>
  </r>
  <r>
    <x v="2"/>
    <x v="0"/>
    <x v="8"/>
    <x v="152"/>
    <s v="TRANSFER FROM S TAEBI - 00 ;"/>
    <n v="2078.86"/>
    <x v="1"/>
    <x v="24"/>
    <x v="1"/>
  </r>
  <r>
    <x v="2"/>
    <x v="0"/>
    <x v="8"/>
    <x v="152"/>
    <s v="TRANSFER FROM S TAEBI - 00 ;"/>
    <n v="3116.7"/>
    <x v="1"/>
    <x v="24"/>
    <x v="1"/>
  </r>
  <r>
    <x v="2"/>
    <x v="0"/>
    <x v="8"/>
    <x v="153"/>
    <s v="TRANSFER TO S TAEBI - 00 ;"/>
    <n v="-54.54"/>
    <x v="1"/>
    <x v="24"/>
    <x v="1"/>
  </r>
  <r>
    <x v="2"/>
    <x v="0"/>
    <x v="8"/>
    <x v="153"/>
    <s v="TRANSFER TO S M ALAVI  S TAEBI - 00 ;"/>
    <n v="-1004.37"/>
    <x v="1"/>
    <x v="24"/>
    <x v="1"/>
  </r>
  <r>
    <x v="2"/>
    <x v="0"/>
    <x v="8"/>
    <x v="153"/>
    <s v="FROM S M ALAVI  S TAEBI ;"/>
    <n v="2475.27"/>
    <x v="1"/>
    <x v="24"/>
    <x v="1"/>
  </r>
  <r>
    <x v="2"/>
    <x v="0"/>
    <x v="8"/>
    <x v="153"/>
    <s v="Direct Credit HSBC HSBC HSBC TAEBI S ;Ref: HSBC HSBC HSBC TAEBI S"/>
    <n v="3046.89"/>
    <x v="13"/>
    <x v="24"/>
    <x v="42"/>
  </r>
  <r>
    <x v="2"/>
    <x v="0"/>
    <x v="8"/>
    <x v="153"/>
    <s v="TRANSFER TO S TAEBI - 00 ;"/>
    <n v="-81.38"/>
    <x v="1"/>
    <x v="24"/>
    <x v="1"/>
  </r>
  <r>
    <x v="2"/>
    <x v="0"/>
    <x v="8"/>
    <x v="153"/>
    <s v="TRANSFER FROM S TAEBI - 00 ;"/>
    <n v="598.49"/>
    <x v="1"/>
    <x v="24"/>
    <x v="1"/>
  </r>
  <r>
    <x v="2"/>
    <x v="0"/>
    <x v="8"/>
    <x v="154"/>
    <s v="TRANSFER TO S TAEBI - 00 ;"/>
    <n v="-329.87"/>
    <x v="1"/>
    <x v="24"/>
    <x v="1"/>
  </r>
  <r>
    <x v="2"/>
    <x v="0"/>
    <x v="8"/>
    <x v="156"/>
    <s v="TRANSFER TO S M ALAVI  S TAEBI - 00 ;"/>
    <n v="-556.38"/>
    <x v="1"/>
    <x v="24"/>
    <x v="1"/>
  </r>
  <r>
    <x v="2"/>
    <x v="0"/>
    <x v="8"/>
    <x v="156"/>
    <s v="TRANSFER TO S TAEBI - 00 ;"/>
    <n v="-3068.5"/>
    <x v="1"/>
    <x v="24"/>
    <x v="1"/>
  </r>
  <r>
    <x v="2"/>
    <x v="0"/>
    <x v="8"/>
    <x v="156"/>
    <s v="TRANSFER TO S TAEBI - 00 ;"/>
    <n v="-44.46"/>
    <x v="1"/>
    <x v="24"/>
    <x v="1"/>
  </r>
  <r>
    <x v="2"/>
    <x v="0"/>
    <x v="8"/>
    <x v="157"/>
    <s v="TRANSFER FROM S TAEBI - 00 ;"/>
    <n v="197.5"/>
    <x v="1"/>
    <x v="24"/>
    <x v="1"/>
  </r>
  <r>
    <x v="2"/>
    <x v="0"/>
    <x v="8"/>
    <x v="606"/>
    <s v="Bill Payment Rent myRentakpwi1r01uf45BClearyRoad MYRENT LTD ;Ref: Rent myRentakpwi1r01uf45BClearyRoad MYRENT LTD"/>
    <n v="1377.56"/>
    <x v="12"/>
    <x v="2"/>
    <x v="2"/>
  </r>
  <r>
    <x v="2"/>
    <x v="0"/>
    <x v="8"/>
    <x v="159"/>
    <s v="TRANSFER TO S TAEBI - 00 ;"/>
    <n v="-170.36"/>
    <x v="1"/>
    <x v="24"/>
    <x v="1"/>
  </r>
  <r>
    <x v="2"/>
    <x v="0"/>
    <x v="8"/>
    <x v="159"/>
    <s v="TRANSFER TO S TAEBI - 00 ;"/>
    <n v="-86.72"/>
    <x v="1"/>
    <x v="24"/>
    <x v="1"/>
  </r>
  <r>
    <x v="2"/>
    <x v="0"/>
    <x v="8"/>
    <x v="159"/>
    <s v="TRANSFER TO S TAEBI - 00 ;"/>
    <n v="-1620.39"/>
    <x v="1"/>
    <x v="24"/>
    <x v="1"/>
  </r>
  <r>
    <x v="2"/>
    <x v="0"/>
    <x v="8"/>
    <x v="159"/>
    <s v="TRANSFER TO S TAEBI - 00 ;"/>
    <n v="-89.65"/>
    <x v="1"/>
    <x v="24"/>
    <x v="1"/>
  </r>
  <r>
    <x v="2"/>
    <x v="0"/>
    <x v="8"/>
    <x v="162"/>
    <s v="TRANSFER FROM S TAEBI - 00 ;"/>
    <n v="6034.43"/>
    <x v="1"/>
    <x v="24"/>
    <x v="1"/>
  </r>
  <r>
    <x v="2"/>
    <x v="0"/>
    <x v="8"/>
    <x v="163"/>
    <s v="TRANSFER TO S TAEBI - 00 ;"/>
    <n v="-558.9"/>
    <x v="1"/>
    <x v="24"/>
    <x v="1"/>
  </r>
  <r>
    <x v="2"/>
    <x v="0"/>
    <x v="8"/>
    <x v="165"/>
    <s v="TRANSFER TO S TAEBI - 00 ;"/>
    <n v="-245.69"/>
    <x v="1"/>
    <x v="24"/>
    <x v="1"/>
  </r>
  <r>
    <x v="2"/>
    <x v="0"/>
    <x v="8"/>
    <x v="165"/>
    <s v="TRANSFER TO S TAEBI - 00 ;"/>
    <n v="-600.41"/>
    <x v="1"/>
    <x v="24"/>
    <x v="1"/>
  </r>
  <r>
    <x v="2"/>
    <x v="0"/>
    <x v="8"/>
    <x v="169"/>
    <s v="TRANSFER TO S TAEBI - 00 ;"/>
    <n v="-3067.44"/>
    <x v="1"/>
    <x v="24"/>
    <x v="1"/>
  </r>
  <r>
    <x v="2"/>
    <x v="0"/>
    <x v="8"/>
    <x v="169"/>
    <s v="INTEREST CREDIT ;"/>
    <n v="16.440000000000001"/>
    <x v="13"/>
    <x v="24"/>
    <x v="42"/>
  </r>
  <r>
    <x v="2"/>
    <x v="0"/>
    <x v="8"/>
    <x v="169"/>
    <s v="IRD WITHHOLDING TAX 17.500% ;"/>
    <n v="-3.26"/>
    <x v="5"/>
    <x v="7"/>
    <x v="13"/>
  </r>
  <r>
    <x v="2"/>
    <x v="0"/>
    <x v="8"/>
    <x v="170"/>
    <s v="TRANSFER TO S TAEBI - 00 ;"/>
    <n v="-32.020000000000003"/>
    <x v="1"/>
    <x v="24"/>
    <x v="1"/>
  </r>
  <r>
    <x v="2"/>
    <x v="0"/>
    <x v="8"/>
    <x v="170"/>
    <s v="Bill Payment Rent myRentakpyi0l0yyjs5BClearyRoad MYRENT LTD ;Ref: Rent myRentakpyi0l0yyjs5BClearyRoad MYRENT LTD"/>
    <n v="1354.64"/>
    <x v="12"/>
    <x v="2"/>
    <x v="2"/>
  </r>
  <r>
    <x v="2"/>
    <x v="0"/>
    <x v="8"/>
    <x v="173"/>
    <s v="TRANSFER TO S TAEBI - 00 ;"/>
    <n v="-709.81"/>
    <x v="1"/>
    <x v="24"/>
    <x v="1"/>
  </r>
  <r>
    <x v="2"/>
    <x v="0"/>
    <x v="8"/>
    <x v="175"/>
    <s v="TRANSFER FROM S TAEBI - 00 ;"/>
    <n v="1381.79"/>
    <x v="1"/>
    <x v="24"/>
    <x v="1"/>
  </r>
  <r>
    <x v="2"/>
    <x v="0"/>
    <x v="8"/>
    <x v="175"/>
    <s v="TRANSFER TO S TAEBI - 00 ;"/>
    <n v="-301.32"/>
    <x v="1"/>
    <x v="24"/>
    <x v="1"/>
  </r>
  <r>
    <x v="2"/>
    <x v="0"/>
    <x v="8"/>
    <x v="176"/>
    <s v="TRANSFER TO S TAEBI - 00 ;"/>
    <n v="-65.52"/>
    <x v="1"/>
    <x v="24"/>
    <x v="1"/>
  </r>
  <r>
    <x v="2"/>
    <x v="0"/>
    <x v="8"/>
    <x v="177"/>
    <s v="TRANSFER FROM S TAEBI - 00 ;"/>
    <n v="1714.53"/>
    <x v="1"/>
    <x v="24"/>
    <x v="1"/>
  </r>
  <r>
    <x v="2"/>
    <x v="0"/>
    <x v="8"/>
    <x v="607"/>
    <s v="TRANSFER TO S TAEBI - 00 ;"/>
    <n v="-274.10000000000002"/>
    <x v="1"/>
    <x v="24"/>
    <x v="1"/>
  </r>
  <r>
    <x v="2"/>
    <x v="0"/>
    <x v="8"/>
    <x v="179"/>
    <s v="TRANSFER TO S TAEBI - 00 ;"/>
    <n v="-3613.34"/>
    <x v="1"/>
    <x v="24"/>
    <x v="1"/>
  </r>
  <r>
    <x v="2"/>
    <x v="0"/>
    <x v="8"/>
    <x v="608"/>
    <s v="Bill Payment Rent myRentakpba0e0klsv5BClearyRoad MYRENT LTD ;Ref: Rent myRentakpba0e0klsv5BClearyRoad MYRENT LTD"/>
    <n v="417.91"/>
    <x v="12"/>
    <x v="2"/>
    <x v="2"/>
  </r>
  <r>
    <x v="2"/>
    <x v="0"/>
    <x v="8"/>
    <x v="608"/>
    <s v="TRANSFER FROM S TAEBI - 00 ;"/>
    <n v="1620.18"/>
    <x v="1"/>
    <x v="24"/>
    <x v="1"/>
  </r>
  <r>
    <x v="2"/>
    <x v="0"/>
    <x v="8"/>
    <x v="609"/>
    <s v="TRANSFER FROM S TAEBI - 00 ;"/>
    <n v="28.96"/>
    <x v="1"/>
    <x v="24"/>
    <x v="1"/>
  </r>
  <r>
    <x v="2"/>
    <x v="0"/>
    <x v="8"/>
    <x v="183"/>
    <s v="TRANSFER FROM S TAEBI - 00 ;"/>
    <n v="5239.58"/>
    <x v="1"/>
    <x v="24"/>
    <x v="1"/>
  </r>
  <r>
    <x v="2"/>
    <x v="0"/>
    <x v="8"/>
    <x v="183"/>
    <s v="TRANSFER FROM S TAEBI - 00 ;"/>
    <n v="1232.98"/>
    <x v="1"/>
    <x v="24"/>
    <x v="1"/>
  </r>
  <r>
    <x v="2"/>
    <x v="0"/>
    <x v="8"/>
    <x v="610"/>
    <s v="TRANSFER TO S TAEBI - 00 ;"/>
    <n v="-438.03"/>
    <x v="1"/>
    <x v="24"/>
    <x v="1"/>
  </r>
  <r>
    <x v="2"/>
    <x v="0"/>
    <x v="8"/>
    <x v="187"/>
    <s v="TRANSFER TO S TAEBI - 00 ;"/>
    <n v="-4855.28"/>
    <x v="1"/>
    <x v="24"/>
    <x v="1"/>
  </r>
  <r>
    <x v="2"/>
    <x v="0"/>
    <x v="8"/>
    <x v="611"/>
    <s v="TRANSFER FROM S TAEBI - 00 ;"/>
    <n v="713.03"/>
    <x v="1"/>
    <x v="24"/>
    <x v="1"/>
  </r>
  <r>
    <x v="2"/>
    <x v="0"/>
    <x v="8"/>
    <x v="611"/>
    <s v="Bill Payment Rent myRentakpay0p0ej045BClearyRoad MYRENT LTD ;Ref: Rent myRentakpay0p0ej045BClearyRoad MYRENT LTD"/>
    <n v="1211.32"/>
    <x v="12"/>
    <x v="2"/>
    <x v="2"/>
  </r>
  <r>
    <x v="2"/>
    <x v="0"/>
    <x v="8"/>
    <x v="189"/>
    <s v="INTEREST CREDIT ;"/>
    <n v="52.09"/>
    <x v="13"/>
    <x v="24"/>
    <x v="42"/>
  </r>
  <r>
    <x v="2"/>
    <x v="0"/>
    <x v="8"/>
    <x v="189"/>
    <s v="IRD WITHHOLDING TAX 17.500% ;"/>
    <n v="-13.81"/>
    <x v="5"/>
    <x v="7"/>
    <x v="13"/>
  </r>
  <r>
    <x v="2"/>
    <x v="0"/>
    <x v="8"/>
    <x v="580"/>
    <s v="TRANSFER TO S TAEBI - 00 ;"/>
    <n v="-8.3699999999999992"/>
    <x v="1"/>
    <x v="24"/>
    <x v="1"/>
  </r>
  <r>
    <x v="2"/>
    <x v="0"/>
    <x v="8"/>
    <x v="191"/>
    <s v="TRANSFER TO S TAEBI - 00 ;"/>
    <n v="-584.26"/>
    <x v="1"/>
    <x v="24"/>
    <x v="1"/>
  </r>
  <r>
    <x v="2"/>
    <x v="0"/>
    <x v="8"/>
    <x v="191"/>
    <s v="TRANSFER FROM S TAEBI - 00 ;"/>
    <n v="936.59"/>
    <x v="1"/>
    <x v="24"/>
    <x v="1"/>
  </r>
  <r>
    <x v="2"/>
    <x v="0"/>
    <x v="8"/>
    <x v="191"/>
    <s v="TRANSFER FROM S TAEBI - 00 ;"/>
    <n v="1351.46"/>
    <x v="1"/>
    <x v="24"/>
    <x v="1"/>
  </r>
  <r>
    <x v="2"/>
    <x v="0"/>
    <x v="8"/>
    <x v="193"/>
    <s v="TRANSFER FROM S TAEBI - 00 ;"/>
    <n v="281.36"/>
    <x v="1"/>
    <x v="24"/>
    <x v="1"/>
  </r>
  <r>
    <x v="2"/>
    <x v="0"/>
    <x v="8"/>
    <x v="194"/>
    <s v="TRANSFER FROM S TAEBI - 00 ;"/>
    <n v="89000.83"/>
    <x v="1"/>
    <x v="24"/>
    <x v="1"/>
  </r>
  <r>
    <x v="2"/>
    <x v="0"/>
    <x v="8"/>
    <x v="194"/>
    <s v="TRANSFER TO S TAEBI - 11 ;Term deposit"/>
    <n v="-69659.03"/>
    <x v="1"/>
    <x v="24"/>
    <x v="1"/>
  </r>
  <r>
    <x v="2"/>
    <x v="0"/>
    <x v="8"/>
    <x v="195"/>
    <s v="TRANSFER TO S TAEBI - 00 ;"/>
    <n v="-56.59"/>
    <x v="1"/>
    <x v="24"/>
    <x v="1"/>
  </r>
  <r>
    <x v="2"/>
    <x v="0"/>
    <x v="8"/>
    <x v="195"/>
    <s v="TRANSFER TO S TAEBI - 00 ;"/>
    <n v="-67.05"/>
    <x v="1"/>
    <x v="24"/>
    <x v="1"/>
  </r>
  <r>
    <x v="2"/>
    <x v="0"/>
    <x v="8"/>
    <x v="197"/>
    <s v="TRANSFER TO S TAEBI - 00 ;"/>
    <n v="-113.82"/>
    <x v="1"/>
    <x v="24"/>
    <x v="1"/>
  </r>
  <r>
    <x v="2"/>
    <x v="0"/>
    <x v="8"/>
    <x v="198"/>
    <s v="TRANSFER TO S TAEBI - 00 ;"/>
    <n v="-5995.82"/>
    <x v="1"/>
    <x v="24"/>
    <x v="1"/>
  </r>
  <r>
    <x v="2"/>
    <x v="0"/>
    <x v="8"/>
    <x v="198"/>
    <s v="TRANSFER TO S TAEBI - 00 ;"/>
    <n v="-6376.42"/>
    <x v="1"/>
    <x v="24"/>
    <x v="1"/>
  </r>
  <r>
    <x v="2"/>
    <x v="0"/>
    <x v="8"/>
    <x v="200"/>
    <s v="Bill Payment Rent myRentakpjb020au435BClearyRoad MYRENT LTD ;Ref: Rent myRentakpjb020au435BClearyRoad MYRENT LTD"/>
    <n v="1166.1099999999999"/>
    <x v="12"/>
    <x v="2"/>
    <x v="2"/>
  </r>
  <r>
    <x v="2"/>
    <x v="0"/>
    <x v="8"/>
    <x v="201"/>
    <s v="TRANSFER FROM S TAEBI - 00 ;"/>
    <n v="1139.17"/>
    <x v="1"/>
    <x v="24"/>
    <x v="1"/>
  </r>
  <r>
    <x v="2"/>
    <x v="0"/>
    <x v="8"/>
    <x v="202"/>
    <s v="TRANSFER TO S TAEBI - 00 ;"/>
    <n v="-1891.42"/>
    <x v="1"/>
    <x v="24"/>
    <x v="1"/>
  </r>
  <r>
    <x v="2"/>
    <x v="0"/>
    <x v="8"/>
    <x v="202"/>
    <s v="TRANSFER TO S TAEBI - 00 ;"/>
    <n v="-1521.02"/>
    <x v="1"/>
    <x v="24"/>
    <x v="1"/>
  </r>
  <r>
    <x v="2"/>
    <x v="0"/>
    <x v="8"/>
    <x v="202"/>
    <s v="TRANSFER TO S TAEBI - 00 ;"/>
    <n v="-30.14"/>
    <x v="1"/>
    <x v="24"/>
    <x v="1"/>
  </r>
  <r>
    <x v="2"/>
    <x v="0"/>
    <x v="8"/>
    <x v="205"/>
    <s v="TRANSFER FROM S TAEBI - 00 ;"/>
    <n v="3195"/>
    <x v="1"/>
    <x v="24"/>
    <x v="1"/>
  </r>
  <r>
    <x v="2"/>
    <x v="0"/>
    <x v="8"/>
    <x v="205"/>
    <s v="TRANSFER TO S TAEBI - 00 ;"/>
    <n v="-391.76"/>
    <x v="1"/>
    <x v="24"/>
    <x v="1"/>
  </r>
  <r>
    <x v="2"/>
    <x v="0"/>
    <x v="8"/>
    <x v="208"/>
    <s v="TRANSFER TO S TAEBI - 00 ;"/>
    <n v="-354.17"/>
    <x v="1"/>
    <x v="24"/>
    <x v="1"/>
  </r>
  <r>
    <x v="2"/>
    <x v="0"/>
    <x v="8"/>
    <x v="212"/>
    <s v="TRANSFER TO S TAEBI - 00 ;"/>
    <n v="-1673.86"/>
    <x v="1"/>
    <x v="24"/>
    <x v="1"/>
  </r>
  <r>
    <x v="2"/>
    <x v="0"/>
    <x v="8"/>
    <x v="214"/>
    <s v="TRANSFER TO S TAEBI - 00 ;"/>
    <n v="-383.43"/>
    <x v="1"/>
    <x v="24"/>
    <x v="1"/>
  </r>
  <r>
    <x v="2"/>
    <x v="0"/>
    <x v="8"/>
    <x v="215"/>
    <s v="TRANSFER TO S TAEBI - 00 ;"/>
    <n v="-457.63"/>
    <x v="1"/>
    <x v="24"/>
    <x v="1"/>
  </r>
  <r>
    <x v="2"/>
    <x v="0"/>
    <x v="8"/>
    <x v="613"/>
    <s v="TRANSFER TO S TAEBI - 00 ;"/>
    <n v="-150.19999999999999"/>
    <x v="1"/>
    <x v="24"/>
    <x v="1"/>
  </r>
  <r>
    <x v="2"/>
    <x v="0"/>
    <x v="8"/>
    <x v="217"/>
    <s v="TRANSFER TO S TAEBI - 00 ;"/>
    <n v="-959.54"/>
    <x v="1"/>
    <x v="24"/>
    <x v="1"/>
  </r>
  <r>
    <x v="2"/>
    <x v="0"/>
    <x v="8"/>
    <x v="217"/>
    <s v="Bill Payment Rent myRentakpgv020921a5BClearyRoad MYRENT LTD ;Ref: Rent myRentakpgv020921a5BClearyRoad MYRENT LTD"/>
    <n v="377.15"/>
    <x v="12"/>
    <x v="2"/>
    <x v="2"/>
  </r>
  <r>
    <x v="2"/>
    <x v="0"/>
    <x v="8"/>
    <x v="217"/>
    <s v="TRANSFER FROM S TAEBI - 00 ;"/>
    <n v="3340.07"/>
    <x v="1"/>
    <x v="24"/>
    <x v="1"/>
  </r>
  <r>
    <x v="2"/>
    <x v="0"/>
    <x v="8"/>
    <x v="217"/>
    <s v="TRANSFER FROM S TAEBI - 00 ;"/>
    <n v="248.02"/>
    <x v="1"/>
    <x v="24"/>
    <x v="1"/>
  </r>
  <r>
    <x v="2"/>
    <x v="0"/>
    <x v="8"/>
    <x v="217"/>
    <s v="INTEREST CREDIT ;"/>
    <n v="73.459999999999994"/>
    <x v="13"/>
    <x v="24"/>
    <x v="42"/>
  </r>
  <r>
    <x v="2"/>
    <x v="0"/>
    <x v="8"/>
    <x v="217"/>
    <s v="IRD WITHHOLDING TAX 17.500% ;"/>
    <n v="-36.19"/>
    <x v="5"/>
    <x v="7"/>
    <x v="13"/>
  </r>
  <r>
    <x v="2"/>
    <x v="0"/>
    <x v="8"/>
    <x v="218"/>
    <s v="TRANSFER TO S TAEBI - 00 ;"/>
    <n v="-152.93"/>
    <x v="1"/>
    <x v="24"/>
    <x v="1"/>
  </r>
  <r>
    <x v="2"/>
    <x v="0"/>
    <x v="8"/>
    <x v="218"/>
    <s v="Bill Payment Rent myRentakphr0s09hmv5BClearyRoad MYRENT LTD ;Ref: Rent myRentakphr0s09hmv5BClearyRoad MYRENT LTD"/>
    <n v="724.27"/>
    <x v="12"/>
    <x v="2"/>
    <x v="2"/>
  </r>
  <r>
    <x v="2"/>
    <x v="0"/>
    <x v="8"/>
    <x v="218"/>
    <s v="TRANSFER FROM S TAEBI - 00 ;"/>
    <n v="84.81"/>
    <x v="1"/>
    <x v="24"/>
    <x v="1"/>
  </r>
  <r>
    <x v="2"/>
    <x v="0"/>
    <x v="8"/>
    <x v="220"/>
    <s v="TRANSFER TO S TAEBI - 00 ;"/>
    <n v="-340.62"/>
    <x v="1"/>
    <x v="24"/>
    <x v="1"/>
  </r>
  <r>
    <x v="2"/>
    <x v="0"/>
    <x v="8"/>
    <x v="223"/>
    <s v="TRANSFER TO S TAEBI - 00 ;"/>
    <n v="-276.64"/>
    <x v="1"/>
    <x v="24"/>
    <x v="1"/>
  </r>
  <r>
    <x v="2"/>
    <x v="0"/>
    <x v="8"/>
    <x v="223"/>
    <s v="TRANSFER TO S TAEBI - 00 ;"/>
    <n v="-3656.2"/>
    <x v="1"/>
    <x v="24"/>
    <x v="1"/>
  </r>
  <r>
    <x v="2"/>
    <x v="0"/>
    <x v="8"/>
    <x v="225"/>
    <s v="Bill Payment Rent myRentakpbj2702mfn5BClearyRoad MYRENT LTD ;Ref: Rent myRentakpbj2702mfn5BClearyRoad MYRENT LTD"/>
    <n v="1981.95"/>
    <x v="12"/>
    <x v="2"/>
    <x v="2"/>
  </r>
  <r>
    <x v="2"/>
    <x v="0"/>
    <x v="8"/>
    <x v="225"/>
    <s v="TRANSFER TO S TAEBI - 00 ;"/>
    <n v="-3620.24"/>
    <x v="1"/>
    <x v="24"/>
    <x v="1"/>
  </r>
  <r>
    <x v="2"/>
    <x v="0"/>
    <x v="8"/>
    <x v="225"/>
    <s v="TRANSFER TO S TAEBI - 00 ;"/>
    <n v="-135.1"/>
    <x v="1"/>
    <x v="24"/>
    <x v="1"/>
  </r>
  <r>
    <x v="2"/>
    <x v="0"/>
    <x v="8"/>
    <x v="225"/>
    <s v="TRANSFER FROM S TAEBI - 00 ;"/>
    <n v="136.44"/>
    <x v="1"/>
    <x v="24"/>
    <x v="1"/>
  </r>
  <r>
    <x v="2"/>
    <x v="0"/>
    <x v="8"/>
    <x v="615"/>
    <s v="TRANSFER TO S TAEBI - 00 ;"/>
    <n v="-3245.62"/>
    <x v="1"/>
    <x v="24"/>
    <x v="1"/>
  </r>
  <r>
    <x v="2"/>
    <x v="0"/>
    <x v="8"/>
    <x v="615"/>
    <s v="TRANSFER TO S TAEBI - 00 ;"/>
    <n v="-10.6"/>
    <x v="1"/>
    <x v="24"/>
    <x v="1"/>
  </r>
  <r>
    <x v="2"/>
    <x v="0"/>
    <x v="8"/>
    <x v="615"/>
    <s v="TRANSFER TO S TAEBI - 00 ;"/>
    <n v="-574.22"/>
    <x v="1"/>
    <x v="24"/>
    <x v="1"/>
  </r>
  <r>
    <x v="2"/>
    <x v="0"/>
    <x v="8"/>
    <x v="228"/>
    <s v="TRANSFER FROM S TAEBI - 00 ;"/>
    <n v="3125.75"/>
    <x v="1"/>
    <x v="24"/>
    <x v="1"/>
  </r>
  <r>
    <x v="2"/>
    <x v="0"/>
    <x v="8"/>
    <x v="229"/>
    <s v="TRANSFER FROM S TAEBI - 00 ;"/>
    <n v="615.29999999999995"/>
    <x v="1"/>
    <x v="24"/>
    <x v="1"/>
  </r>
  <r>
    <x v="2"/>
    <x v="0"/>
    <x v="8"/>
    <x v="232"/>
    <s v="TRANSFER TO S TAEBI - 00 ;"/>
    <n v="-637.38"/>
    <x v="1"/>
    <x v="24"/>
    <x v="1"/>
  </r>
  <r>
    <x v="2"/>
    <x v="0"/>
    <x v="8"/>
    <x v="233"/>
    <s v="TRANSFER TO S TAEBI - 00 ;"/>
    <n v="-135.56"/>
    <x v="1"/>
    <x v="24"/>
    <x v="1"/>
  </r>
  <r>
    <x v="2"/>
    <x v="0"/>
    <x v="8"/>
    <x v="234"/>
    <s v="TRANSFER TO S TAEBI - 00 ;"/>
    <n v="-447.49"/>
    <x v="1"/>
    <x v="24"/>
    <x v="1"/>
  </r>
  <r>
    <x v="2"/>
    <x v="0"/>
    <x v="8"/>
    <x v="235"/>
    <s v="Bill Payment Rent myRentakpl11c0tuwi5BClearyRoad MYRENT LTD ;Ref: Rent myRentakpl11c0tuwi5BClearyRoad MYRENT LTD"/>
    <n v="622.89"/>
    <x v="12"/>
    <x v="2"/>
    <x v="2"/>
  </r>
  <r>
    <x v="2"/>
    <x v="0"/>
    <x v="8"/>
    <x v="236"/>
    <s v="TRANSFER TO S TAEBI - 00 ;"/>
    <n v="-451.64"/>
    <x v="1"/>
    <x v="24"/>
    <x v="1"/>
  </r>
  <r>
    <x v="2"/>
    <x v="0"/>
    <x v="8"/>
    <x v="240"/>
    <s v="TRANSFER FROM S TAEBI - 00 ;"/>
    <n v="1105.9100000000001"/>
    <x v="1"/>
    <x v="24"/>
    <x v="1"/>
  </r>
  <r>
    <x v="2"/>
    <x v="0"/>
    <x v="8"/>
    <x v="240"/>
    <s v="INTEREST CREDIT ;"/>
    <n v="79.599999999999994"/>
    <x v="13"/>
    <x v="24"/>
    <x v="42"/>
  </r>
  <r>
    <x v="2"/>
    <x v="0"/>
    <x v="8"/>
    <x v="240"/>
    <s v="IRD WITHHOLDING TAX 17.500% ;"/>
    <n v="-8.83"/>
    <x v="5"/>
    <x v="7"/>
    <x v="13"/>
  </r>
  <r>
    <x v="2"/>
    <x v="0"/>
    <x v="8"/>
    <x v="241"/>
    <s v="TRANSFER TO S TAEBI - 00 ;"/>
    <n v="-113.27"/>
    <x v="1"/>
    <x v="24"/>
    <x v="1"/>
  </r>
  <r>
    <x v="2"/>
    <x v="0"/>
    <x v="8"/>
    <x v="245"/>
    <s v="TRANSFER TO S TAEBI - 00 ;"/>
    <n v="-3290.07"/>
    <x v="1"/>
    <x v="24"/>
    <x v="1"/>
  </r>
  <r>
    <x v="2"/>
    <x v="0"/>
    <x v="8"/>
    <x v="245"/>
    <s v="TRANSFER TO S TAEBI - 00 ;"/>
    <n v="-281.62"/>
    <x v="1"/>
    <x v="24"/>
    <x v="1"/>
  </r>
  <r>
    <x v="2"/>
    <x v="0"/>
    <x v="8"/>
    <x v="248"/>
    <s v="Bill Payment Rent myRentakpn80l0nsvn5BClearyRoad MYRENT LTD ;Ref: Rent myRentakpn80l0nsvn5BClearyRoad MYRENT LTD"/>
    <n v="1786.7"/>
    <x v="12"/>
    <x v="2"/>
    <x v="2"/>
  </r>
  <r>
    <x v="2"/>
    <x v="0"/>
    <x v="8"/>
    <x v="618"/>
    <s v="TRANSFER TO S TAEBI - 00 ;"/>
    <n v="-299.63"/>
    <x v="1"/>
    <x v="24"/>
    <x v="1"/>
  </r>
  <r>
    <x v="2"/>
    <x v="0"/>
    <x v="8"/>
    <x v="249"/>
    <s v="TRANSFER FROM S TAEBI - 00 ;"/>
    <n v="2342.89"/>
    <x v="1"/>
    <x v="24"/>
    <x v="1"/>
  </r>
  <r>
    <x v="2"/>
    <x v="0"/>
    <x v="8"/>
    <x v="250"/>
    <s v="TRANSFER FROM S TAEBI - 00 ;"/>
    <n v="728.58"/>
    <x v="1"/>
    <x v="24"/>
    <x v="1"/>
  </r>
  <r>
    <x v="2"/>
    <x v="0"/>
    <x v="8"/>
    <x v="250"/>
    <s v="TRANSFER TO S TAEBI - 00 ;"/>
    <n v="-350.12"/>
    <x v="1"/>
    <x v="24"/>
    <x v="1"/>
  </r>
  <r>
    <x v="2"/>
    <x v="0"/>
    <x v="8"/>
    <x v="288"/>
    <s v="TRANSFER TO S TAEBI - 00 ;"/>
    <n v="-129.68"/>
    <x v="1"/>
    <x v="24"/>
    <x v="1"/>
  </r>
  <r>
    <x v="2"/>
    <x v="0"/>
    <x v="8"/>
    <x v="254"/>
    <s v="TRANSFER TO S TAEBI - 00 ;"/>
    <n v="-6524.83"/>
    <x v="1"/>
    <x v="24"/>
    <x v="1"/>
  </r>
  <r>
    <x v="2"/>
    <x v="0"/>
    <x v="8"/>
    <x v="255"/>
    <s v="Bill Payment Rent myRentakplw280wlc75BClearyRoad MYRENT LTD ;Ref: Rent myRentakplw280wlc75BClearyRoad MYRENT LTD"/>
    <n v="1031.28"/>
    <x v="12"/>
    <x v="2"/>
    <x v="2"/>
  </r>
  <r>
    <x v="2"/>
    <x v="0"/>
    <x v="8"/>
    <x v="290"/>
    <s v="TRANSFER FROM S TAEBI - 00 ;"/>
    <n v="1398.07"/>
    <x v="1"/>
    <x v="24"/>
    <x v="1"/>
  </r>
  <r>
    <x v="2"/>
    <x v="0"/>
    <x v="8"/>
    <x v="258"/>
    <s v="TRANSFER FROM S TAEBI - 00 ;"/>
    <n v="2290.35"/>
    <x v="1"/>
    <x v="24"/>
    <x v="1"/>
  </r>
  <r>
    <x v="2"/>
    <x v="0"/>
    <x v="8"/>
    <x v="259"/>
    <s v="INTEREST CREDIT ;"/>
    <n v="219.24"/>
    <x v="13"/>
    <x v="24"/>
    <x v="42"/>
  </r>
  <r>
    <x v="2"/>
    <x v="0"/>
    <x v="8"/>
    <x v="259"/>
    <s v="IRD WITHHOLDING TAX 17.500% ;"/>
    <n v="-44.26"/>
    <x v="5"/>
    <x v="7"/>
    <x v="13"/>
  </r>
  <r>
    <x v="2"/>
    <x v="0"/>
    <x v="9"/>
    <x v="194"/>
    <s v="TRANSFER FROM S TAEBI - 01 ;Term deposit"/>
    <n v="73267.520000000004"/>
    <x v="13"/>
    <x v="24"/>
    <x v="42"/>
  </r>
  <r>
    <x v="2"/>
    <x v="0"/>
    <x v="9"/>
    <x v="194"/>
    <s v="#761738 $50000 Due 06JAN25 6.15% ;"/>
    <n v="0"/>
    <x v="13"/>
    <x v="24"/>
    <x v="42"/>
  </r>
  <r>
    <x v="2"/>
    <x v="0"/>
    <x v="10"/>
    <x v="109"/>
    <s v="TRANSFER FROM S TAEBI - 00 ;"/>
    <n v="298.23"/>
    <x v="1"/>
    <x v="24"/>
    <x v="1"/>
  </r>
  <r>
    <x v="2"/>
    <x v="0"/>
    <x v="10"/>
    <x v="114"/>
    <s v="Fixed Rate Lock Option ;"/>
    <n v="-210.93"/>
    <x v="12"/>
    <x v="30"/>
    <x v="45"/>
  </r>
  <r>
    <x v="2"/>
    <x v="0"/>
    <x v="10"/>
    <x v="151"/>
    <s v="TRANSFER FROM S TAEBI - 01 ;"/>
    <n v="89072.63"/>
    <x v="1"/>
    <x v="24"/>
    <x v="1"/>
  </r>
  <r>
    <x v="2"/>
    <x v="0"/>
    <x v="10"/>
    <x v="153"/>
    <s v="TRANSFER FROM S TAEBI - 01 ;"/>
    <n v="903.36"/>
    <x v="1"/>
    <x v="24"/>
    <x v="1"/>
  </r>
  <r>
    <x v="2"/>
    <x v="0"/>
    <x v="10"/>
    <x v="153"/>
    <s v="CASH CONTRIBUTION ;"/>
    <n v="6993.11"/>
    <x v="13"/>
    <x v="24"/>
    <x v="42"/>
  </r>
  <r>
    <x v="2"/>
    <x v="0"/>
    <x v="10"/>
    <x v="153"/>
    <s v="SHORTFALL ;"/>
    <n v="-9970.5400000000009"/>
    <x v="14"/>
    <x v="31"/>
    <x v="46"/>
  </r>
  <r>
    <x v="2"/>
    <x v="0"/>
    <x v="10"/>
    <x v="153"/>
    <s v="PAY S TAEBI ;"/>
    <n v="-758.59"/>
    <x v="1"/>
    <x v="24"/>
    <x v="1"/>
  </r>
  <r>
    <x v="2"/>
    <x v="0"/>
    <x v="10"/>
    <x v="153"/>
    <s v="PAY S TAEBI ;"/>
    <n v="-105.09"/>
    <x v="1"/>
    <x v="24"/>
    <x v="1"/>
  </r>
  <r>
    <x v="2"/>
    <x v="0"/>
    <x v="10"/>
    <x v="153"/>
    <s v="PAY S TAEBI ;"/>
    <n v="-212.4"/>
    <x v="1"/>
    <x v="24"/>
    <x v="1"/>
  </r>
  <r>
    <x v="2"/>
    <x v="0"/>
    <x v="10"/>
    <x v="153"/>
    <s v="TRANSFER FROM S TAEBI - 00 ;Mortgage 5B Cleary"/>
    <n v="53.21"/>
    <x v="1"/>
    <x v="24"/>
    <x v="1"/>
  </r>
  <r>
    <x v="2"/>
    <x v="0"/>
    <x v="10"/>
    <x v="156"/>
    <s v="TRANSFER FROM S TAEBI - 01 ;"/>
    <n v="466.28"/>
    <x v="1"/>
    <x v="24"/>
    <x v="1"/>
  </r>
  <r>
    <x v="2"/>
    <x v="0"/>
    <x v="10"/>
    <x v="156"/>
    <s v="PAY S TAEBI ;"/>
    <n v="-871.17"/>
    <x v="1"/>
    <x v="24"/>
    <x v="1"/>
  </r>
  <r>
    <x v="2"/>
    <x v="0"/>
    <x v="10"/>
    <x v="156"/>
    <s v="AP#22653868 FROM S TAEBI ;Payment from S TAEBI"/>
    <n v="1008.03"/>
    <x v="1"/>
    <x v="24"/>
    <x v="1"/>
  </r>
  <r>
    <x v="2"/>
    <x v="0"/>
    <x v="10"/>
    <x v="157"/>
    <s v="AP#22653655 TO S TAEBI  S M ALAVI ;Pay S TAEBI  S M ALAVI"/>
    <n v="-429.24"/>
    <x v="1"/>
    <x v="24"/>
    <x v="1"/>
  </r>
  <r>
    <x v="2"/>
    <x v="0"/>
    <x v="10"/>
    <x v="162"/>
    <s v="AP#22653868 FROM S TAEBI ;Payment from S TAEBI"/>
    <n v="1260.02"/>
    <x v="1"/>
    <x v="24"/>
    <x v="1"/>
  </r>
  <r>
    <x v="2"/>
    <x v="0"/>
    <x v="10"/>
    <x v="163"/>
    <s v="AP#22653655 TO S TAEBI  S M ALAVI ;Pay S TAEBI  S M ALAVI"/>
    <n v="-679.51"/>
    <x v="1"/>
    <x v="24"/>
    <x v="1"/>
  </r>
  <r>
    <x v="2"/>
    <x v="0"/>
    <x v="10"/>
    <x v="168"/>
    <s v="AP#22653868 FROM S TAEBI ;Payment from S TAEBI"/>
    <n v="225.32"/>
    <x v="1"/>
    <x v="24"/>
    <x v="1"/>
  </r>
  <r>
    <x v="2"/>
    <x v="0"/>
    <x v="10"/>
    <x v="169"/>
    <s v="AP#22653655 TO S TAEBI  S M ALAVI ;Pay S TAEBI  S M ALAVI"/>
    <n v="-428.43"/>
    <x v="1"/>
    <x v="24"/>
    <x v="1"/>
  </r>
  <r>
    <x v="2"/>
    <x v="0"/>
    <x v="10"/>
    <x v="174"/>
    <s v="AP#22653868 FROM S TAEBI ;Payment from S TAEBI"/>
    <n v="416.1"/>
    <x v="1"/>
    <x v="24"/>
    <x v="1"/>
  </r>
  <r>
    <x v="2"/>
    <x v="0"/>
    <x v="10"/>
    <x v="175"/>
    <s v="AP#22653655 TO S TAEBI  S M ALAVI ;Pay S TAEBI  S M ALAVI"/>
    <n v="-42.44"/>
    <x v="1"/>
    <x v="24"/>
    <x v="1"/>
  </r>
  <r>
    <x v="2"/>
    <x v="0"/>
    <x v="10"/>
    <x v="179"/>
    <s v="AP#22653868 FROM S TAEBI ;Payment from S TAEBI"/>
    <n v="170.58"/>
    <x v="1"/>
    <x v="24"/>
    <x v="1"/>
  </r>
  <r>
    <x v="2"/>
    <x v="0"/>
    <x v="10"/>
    <x v="180"/>
    <s v="AP#22653655 TO S TAEBI  S M ALAVI ;Pay S TAEBI  S M ALAVI"/>
    <n v="-316.69"/>
    <x v="1"/>
    <x v="24"/>
    <x v="1"/>
  </r>
  <r>
    <x v="2"/>
    <x v="0"/>
    <x v="10"/>
    <x v="183"/>
    <s v="AP#22653868 FROM S TAEBI ;Payment from S TAEBI"/>
    <n v="1098.44"/>
    <x v="1"/>
    <x v="24"/>
    <x v="1"/>
  </r>
  <r>
    <x v="2"/>
    <x v="0"/>
    <x v="10"/>
    <x v="184"/>
    <s v="AP#22653655 TO S TAEBI  S M ALAVI ;Pay S TAEBI  S M ALAVI"/>
    <n v="-404.6"/>
    <x v="1"/>
    <x v="24"/>
    <x v="1"/>
  </r>
  <r>
    <x v="2"/>
    <x v="0"/>
    <x v="10"/>
    <x v="187"/>
    <s v="AP#22653868 FROM S TAEBI ;Payment from S TAEBI"/>
    <n v="924.02"/>
    <x v="1"/>
    <x v="24"/>
    <x v="1"/>
  </r>
  <r>
    <x v="2"/>
    <x v="0"/>
    <x v="10"/>
    <x v="286"/>
    <s v="AP#22653655 TO S TAEBI  S M ALAVI ;Pay S TAEBI  S M ALAVI"/>
    <n v="-226.95"/>
    <x v="1"/>
    <x v="24"/>
    <x v="1"/>
  </r>
  <r>
    <x v="2"/>
    <x v="0"/>
    <x v="10"/>
    <x v="191"/>
    <s v="AP#22653868 FROM S TAEBI ;Payment from S TAEBI"/>
    <n v="619.41"/>
    <x v="1"/>
    <x v="24"/>
    <x v="1"/>
  </r>
  <r>
    <x v="2"/>
    <x v="0"/>
    <x v="10"/>
    <x v="192"/>
    <s v="AP#22653655 TO S TAEBI  S M ALAVI ;Pay S TAEBI  S M ALAVI"/>
    <n v="-581.67999999999995"/>
    <x v="1"/>
    <x v="24"/>
    <x v="1"/>
  </r>
  <r>
    <x v="2"/>
    <x v="0"/>
    <x v="10"/>
    <x v="198"/>
    <s v="AP#22653868 FROM S TAEBI ;Payment from S TAEBI"/>
    <n v="1130.3699999999999"/>
    <x v="1"/>
    <x v="24"/>
    <x v="1"/>
  </r>
  <r>
    <x v="2"/>
    <x v="0"/>
    <x v="10"/>
    <x v="199"/>
    <s v="AP#22653655 TO S TAEBI  S M ALAVI ;Pay S TAEBI  S M ALAVI"/>
    <n v="-743.6"/>
    <x v="1"/>
    <x v="24"/>
    <x v="1"/>
  </r>
  <r>
    <x v="2"/>
    <x v="0"/>
    <x v="10"/>
    <x v="205"/>
    <s v="AP#22653868 FROM S TAEBI ;Payment from S TAEBI"/>
    <n v="700.25"/>
    <x v="1"/>
    <x v="24"/>
    <x v="1"/>
  </r>
  <r>
    <x v="2"/>
    <x v="0"/>
    <x v="10"/>
    <x v="206"/>
    <s v="AP#22653655 TO S TAEBI  S M ALAVI ;Pay S TAEBI  S M ALAVI"/>
    <n v="-589.29999999999995"/>
    <x v="1"/>
    <x v="24"/>
    <x v="1"/>
  </r>
  <r>
    <x v="2"/>
    <x v="0"/>
    <x v="10"/>
    <x v="212"/>
    <s v="AP#22653868 FROM S TAEBI ;Payment from S TAEBI"/>
    <n v="965.31"/>
    <x v="1"/>
    <x v="24"/>
    <x v="1"/>
  </r>
  <r>
    <x v="2"/>
    <x v="0"/>
    <x v="10"/>
    <x v="213"/>
    <s v="AP#22653655 TO S TAEBI  S M ALAVI ;Pay S TAEBI  S M ALAVI"/>
    <n v="-966.3"/>
    <x v="1"/>
    <x v="24"/>
    <x v="1"/>
  </r>
  <r>
    <x v="2"/>
    <x v="0"/>
    <x v="10"/>
    <x v="217"/>
    <s v="AP#22653868 FROM S TAEBI ;Payment from S TAEBI"/>
    <n v="553.88"/>
    <x v="1"/>
    <x v="24"/>
    <x v="1"/>
  </r>
  <r>
    <x v="2"/>
    <x v="0"/>
    <x v="10"/>
    <x v="218"/>
    <s v="AP#22653655 TO S TAEBI  S M ALAVI ;Pay S TAEBI  S M ALAVI"/>
    <n v="-179.09"/>
    <x v="1"/>
    <x v="24"/>
    <x v="1"/>
  </r>
  <r>
    <x v="2"/>
    <x v="0"/>
    <x v="10"/>
    <x v="223"/>
    <s v="AP#22653868 FROM S TAEBI ;Payment from S TAEBI"/>
    <n v="1136.49"/>
    <x v="1"/>
    <x v="24"/>
    <x v="1"/>
  </r>
  <r>
    <x v="2"/>
    <x v="0"/>
    <x v="10"/>
    <x v="224"/>
    <s v="AP#22653655 TO S TAEBI  S M ALAVI ;Pay S TAEBI  S M ALAVI"/>
    <n v="-159.26"/>
    <x v="1"/>
    <x v="24"/>
    <x v="1"/>
  </r>
  <r>
    <x v="2"/>
    <x v="0"/>
    <x v="10"/>
    <x v="227"/>
    <s v="AP#22653868 FROM S TAEBI ;Payment from S TAEBI"/>
    <n v="1208.8900000000001"/>
    <x v="1"/>
    <x v="24"/>
    <x v="1"/>
  </r>
  <r>
    <x v="2"/>
    <x v="0"/>
    <x v="10"/>
    <x v="228"/>
    <s v="AP#22653655 TO S TAEBI  S M ALAVI ;Pay S TAEBI  S M ALAVI"/>
    <n v="-863.46"/>
    <x v="1"/>
    <x v="24"/>
    <x v="1"/>
  </r>
  <r>
    <x v="2"/>
    <x v="0"/>
    <x v="10"/>
    <x v="233"/>
    <s v="AP#22653868 FROM S TAEBI ;Payment from S TAEBI"/>
    <n v="1204.94"/>
    <x v="1"/>
    <x v="24"/>
    <x v="1"/>
  </r>
  <r>
    <x v="2"/>
    <x v="0"/>
    <x v="10"/>
    <x v="234"/>
    <s v="AP#22653655 TO S TAEBI  S M ALAVI ;Pay S TAEBI  S M ALAVI"/>
    <n v="-1126.04"/>
    <x v="1"/>
    <x v="24"/>
    <x v="1"/>
  </r>
  <r>
    <x v="2"/>
    <x v="0"/>
    <x v="10"/>
    <x v="239"/>
    <s v="AP#22653868 FROM S TAEBI ;Payment from S TAEBI"/>
    <n v="148.41999999999999"/>
    <x v="1"/>
    <x v="24"/>
    <x v="1"/>
  </r>
  <r>
    <x v="2"/>
    <x v="0"/>
    <x v="10"/>
    <x v="240"/>
    <s v="AP#22653655 TO S TAEBI  S M ALAVI ;Pay S TAEBI  S M ALAVI"/>
    <n v="-1093.8499999999999"/>
    <x v="1"/>
    <x v="24"/>
    <x v="1"/>
  </r>
  <r>
    <x v="2"/>
    <x v="0"/>
    <x v="10"/>
    <x v="245"/>
    <s v="AP#22653868 FROM S TAEBI ;Payment from S TAEBI"/>
    <n v="189.98"/>
    <x v="1"/>
    <x v="24"/>
    <x v="1"/>
  </r>
  <r>
    <x v="2"/>
    <x v="0"/>
    <x v="10"/>
    <x v="246"/>
    <s v="AP#22653655 TO S TAEBI  S M ALAVI ;Pay S TAEBI  S M ALAVI"/>
    <n v="-953.95"/>
    <x v="1"/>
    <x v="24"/>
    <x v="1"/>
  </r>
  <r>
    <x v="2"/>
    <x v="0"/>
    <x v="10"/>
    <x v="249"/>
    <s v="AP#22653868 FROM S TAEBI ;Payment from S TAEBI"/>
    <n v="1196.94"/>
    <x v="1"/>
    <x v="24"/>
    <x v="1"/>
  </r>
  <r>
    <x v="2"/>
    <x v="0"/>
    <x v="10"/>
    <x v="250"/>
    <s v="AP#22653655 TO S TAEBI  S M ALAVI ;Pay S TAEBI  S M ALAVI"/>
    <n v="-293.60000000000002"/>
    <x v="1"/>
    <x v="24"/>
    <x v="1"/>
  </r>
  <r>
    <x v="2"/>
    <x v="0"/>
    <x v="10"/>
    <x v="254"/>
    <s v="AP#22653868 FROM S TAEBI ;Payment from S TAEBI"/>
    <n v="528.01"/>
    <x v="1"/>
    <x v="24"/>
    <x v="1"/>
  </r>
  <r>
    <x v="2"/>
    <x v="0"/>
    <x v="10"/>
    <x v="289"/>
    <s v="AP#22653655 TO S TAEBI  S M ALAVI ;Pay S TAEBI  S M ALAVI"/>
    <n v="-676.89"/>
    <x v="1"/>
    <x v="24"/>
    <x v="1"/>
  </r>
  <r>
    <x v="2"/>
    <x v="0"/>
    <x v="10"/>
    <x v="257"/>
    <s v="AP#22653868 FROM S TAEBI ;Payment from S TAEBI"/>
    <n v="782.63"/>
    <x v="1"/>
    <x v="24"/>
    <x v="1"/>
  </r>
  <r>
    <x v="2"/>
    <x v="0"/>
    <x v="10"/>
    <x v="292"/>
    <s v="AP#22653655 TO S TAEBI  S M ALAVI ;Pay S TAEBI  S M ALAVI"/>
    <n v="-122.82"/>
    <x v="1"/>
    <x v="24"/>
    <x v="1"/>
  </r>
  <r>
    <x v="2"/>
    <x v="2"/>
    <x v="11"/>
    <x v="264"/>
    <s v="LOAN INTEREST ;"/>
    <n v="-297.25"/>
    <x v="4"/>
    <x v="30"/>
    <x v="37"/>
  </r>
  <r>
    <x v="2"/>
    <x v="2"/>
    <x v="11"/>
    <x v="6"/>
    <s v="AP#18495353 FROM S TAEBI ;Transfer from S TAEBI - 00"/>
    <n v="1002.24"/>
    <x v="4"/>
    <x v="30"/>
    <x v="36"/>
  </r>
  <r>
    <x v="2"/>
    <x v="2"/>
    <x v="11"/>
    <x v="583"/>
    <s v="AP#18495353 FROM S TAEBI ;Transfer from S TAEBI - 00"/>
    <n v="1686.19"/>
    <x v="4"/>
    <x v="30"/>
    <x v="36"/>
  </r>
  <r>
    <x v="2"/>
    <x v="2"/>
    <x v="11"/>
    <x v="583"/>
    <s v="LOAN INTEREST ;"/>
    <n v="-1361.52"/>
    <x v="4"/>
    <x v="30"/>
    <x v="37"/>
  </r>
  <r>
    <x v="2"/>
    <x v="2"/>
    <x v="11"/>
    <x v="25"/>
    <s v="AP#18495353 FROM S TAEBI ;Transfer from S TAEBI - 00"/>
    <n v="1235.1500000000001"/>
    <x v="4"/>
    <x v="30"/>
    <x v="36"/>
  </r>
  <r>
    <x v="2"/>
    <x v="2"/>
    <x v="11"/>
    <x v="25"/>
    <s v="LOAN INTEREST ;"/>
    <n v="-779.02"/>
    <x v="4"/>
    <x v="30"/>
    <x v="37"/>
  </r>
  <r>
    <x v="2"/>
    <x v="2"/>
    <x v="11"/>
    <x v="35"/>
    <s v="AP#18495353 FROM S TAEBI ;Transfer from S TAEBI - 00"/>
    <n v="591.12"/>
    <x v="4"/>
    <x v="30"/>
    <x v="36"/>
  </r>
  <r>
    <x v="2"/>
    <x v="2"/>
    <x v="11"/>
    <x v="35"/>
    <s v="LOAN INTEREST ;"/>
    <n v="-561.83000000000004"/>
    <x v="4"/>
    <x v="30"/>
    <x v="37"/>
  </r>
  <r>
    <x v="2"/>
    <x v="2"/>
    <x v="11"/>
    <x v="586"/>
    <s v="AP#18495353 FROM S TAEBI ;Transfer from S TAEBI - 00"/>
    <n v="1031.25"/>
    <x v="4"/>
    <x v="30"/>
    <x v="36"/>
  </r>
  <r>
    <x v="2"/>
    <x v="2"/>
    <x v="11"/>
    <x v="586"/>
    <s v="LOAN INTEREST ;"/>
    <n v="-584.71"/>
    <x v="4"/>
    <x v="30"/>
    <x v="37"/>
  </r>
  <r>
    <x v="2"/>
    <x v="2"/>
    <x v="11"/>
    <x v="589"/>
    <s v="AP#18495353 FROM S TAEBI ;Transfer from S TAEBI - 00"/>
    <n v="1556.06"/>
    <x v="4"/>
    <x v="30"/>
    <x v="36"/>
  </r>
  <r>
    <x v="2"/>
    <x v="2"/>
    <x v="11"/>
    <x v="589"/>
    <s v="LOAN INTEREST ;"/>
    <n v="-216.36"/>
    <x v="4"/>
    <x v="30"/>
    <x v="37"/>
  </r>
  <r>
    <x v="2"/>
    <x v="2"/>
    <x v="11"/>
    <x v="56"/>
    <s v="REMEDIATION NOT TOWARDS 5% NA ;"/>
    <n v="903.62"/>
    <x v="4"/>
    <x v="30"/>
    <x v="36"/>
  </r>
  <r>
    <x v="2"/>
    <x v="2"/>
    <x v="11"/>
    <x v="592"/>
    <s v="AP#18495353 FROM S TAEBI ;Transfer from S TAEBI - 00"/>
    <n v="1070.3"/>
    <x v="4"/>
    <x v="30"/>
    <x v="36"/>
  </r>
  <r>
    <x v="2"/>
    <x v="2"/>
    <x v="11"/>
    <x v="592"/>
    <s v="LOAN INTEREST ;"/>
    <n v="-1631.51"/>
    <x v="4"/>
    <x v="30"/>
    <x v="37"/>
  </r>
  <r>
    <x v="2"/>
    <x v="2"/>
    <x v="11"/>
    <x v="594"/>
    <s v="AP#18495353 FROM S TAEBI ;Transfer from S TAEBI - 00"/>
    <n v="381.31"/>
    <x v="4"/>
    <x v="30"/>
    <x v="36"/>
  </r>
  <r>
    <x v="2"/>
    <x v="2"/>
    <x v="11"/>
    <x v="594"/>
    <s v="LOAN INTEREST ;"/>
    <n v="-1070.6400000000001"/>
    <x v="4"/>
    <x v="30"/>
    <x v="37"/>
  </r>
  <r>
    <x v="2"/>
    <x v="2"/>
    <x v="11"/>
    <x v="596"/>
    <s v="AP#18495353 FROM S TAEBI ;Transfer from S TAEBI - 00"/>
    <n v="1370.61"/>
    <x v="4"/>
    <x v="30"/>
    <x v="36"/>
  </r>
  <r>
    <x v="2"/>
    <x v="2"/>
    <x v="11"/>
    <x v="596"/>
    <s v="LOAN INTEREST ;"/>
    <n v="-399.12"/>
    <x v="4"/>
    <x v="30"/>
    <x v="37"/>
  </r>
  <r>
    <x v="2"/>
    <x v="2"/>
    <x v="11"/>
    <x v="87"/>
    <s v="AP#18495353 FROM S TAEBI ;Transfer from S TAEBI - 00"/>
    <n v="600.12"/>
    <x v="4"/>
    <x v="30"/>
    <x v="36"/>
  </r>
  <r>
    <x v="2"/>
    <x v="2"/>
    <x v="11"/>
    <x v="87"/>
    <s v="LOAN INTEREST ;"/>
    <n v="-1286.3399999999999"/>
    <x v="4"/>
    <x v="30"/>
    <x v="37"/>
  </r>
  <r>
    <x v="2"/>
    <x v="2"/>
    <x v="11"/>
    <x v="97"/>
    <s v="AP#18495353 FROM S TAEBI ;Transfer from S TAEBI - 00"/>
    <n v="958.77"/>
    <x v="4"/>
    <x v="30"/>
    <x v="36"/>
  </r>
  <r>
    <x v="2"/>
    <x v="2"/>
    <x v="11"/>
    <x v="97"/>
    <s v="LOAN INTEREST ;"/>
    <n v="-1580.87"/>
    <x v="4"/>
    <x v="30"/>
    <x v="37"/>
  </r>
  <r>
    <x v="2"/>
    <x v="2"/>
    <x v="11"/>
    <x v="107"/>
    <s v="AP#18495353 FROM S TAEBI ;Transfer from S TAEBI - 00"/>
    <n v="192.85"/>
    <x v="4"/>
    <x v="30"/>
    <x v="36"/>
  </r>
  <r>
    <x v="2"/>
    <x v="2"/>
    <x v="11"/>
    <x v="107"/>
    <s v="LOAN INTEREST ;"/>
    <n v="-1250.95"/>
    <x v="4"/>
    <x v="30"/>
    <x v="37"/>
  </r>
  <r>
    <x v="2"/>
    <x v="2"/>
    <x v="11"/>
    <x v="118"/>
    <s v="AP#18495353 FROM S TAEBI ;Transfer from S TAEBI - 00"/>
    <n v="1061.1300000000001"/>
    <x v="4"/>
    <x v="30"/>
    <x v="36"/>
  </r>
  <r>
    <x v="2"/>
    <x v="2"/>
    <x v="11"/>
    <x v="118"/>
    <s v="LOAN INTEREST ;"/>
    <n v="-305.79000000000002"/>
    <x v="4"/>
    <x v="30"/>
    <x v="37"/>
  </r>
  <r>
    <x v="2"/>
    <x v="2"/>
    <x v="11"/>
    <x v="128"/>
    <s v="AP#18495353 FROM S TAEBI ;Transfer from S TAEBI - 00"/>
    <n v="681.32"/>
    <x v="4"/>
    <x v="30"/>
    <x v="36"/>
  </r>
  <r>
    <x v="2"/>
    <x v="2"/>
    <x v="11"/>
    <x v="128"/>
    <s v="LOAN INTEREST ;"/>
    <n v="-391.82"/>
    <x v="4"/>
    <x v="30"/>
    <x v="37"/>
  </r>
  <r>
    <x v="2"/>
    <x v="2"/>
    <x v="11"/>
    <x v="137"/>
    <s v="AP#18495353 FROM S TAEBI ;Transfer from S TAEBI - 00"/>
    <n v="1601.81"/>
    <x v="4"/>
    <x v="30"/>
    <x v="36"/>
  </r>
  <r>
    <x v="2"/>
    <x v="2"/>
    <x v="11"/>
    <x v="137"/>
    <s v="LOAN INTEREST ;"/>
    <n v="-333.94"/>
    <x v="4"/>
    <x v="30"/>
    <x v="37"/>
  </r>
  <r>
    <x v="2"/>
    <x v="2"/>
    <x v="11"/>
    <x v="604"/>
    <s v="AP#18495353 FROM S TAEBI ;Transfer from S TAEBI - 00"/>
    <n v="247.67"/>
    <x v="4"/>
    <x v="30"/>
    <x v="36"/>
  </r>
  <r>
    <x v="2"/>
    <x v="2"/>
    <x v="11"/>
    <x v="604"/>
    <s v="LOAN INTEREST ;"/>
    <n v="-1014.94"/>
    <x v="4"/>
    <x v="30"/>
    <x v="37"/>
  </r>
  <r>
    <x v="2"/>
    <x v="2"/>
    <x v="11"/>
    <x v="606"/>
    <s v="AP#18495353 FROM S TAEBI ;Transfer from S TAEBI - 00"/>
    <n v="761.4"/>
    <x v="4"/>
    <x v="30"/>
    <x v="36"/>
  </r>
  <r>
    <x v="2"/>
    <x v="2"/>
    <x v="11"/>
    <x v="606"/>
    <s v="LOAN INTEREST ;"/>
    <n v="-471.19"/>
    <x v="4"/>
    <x v="30"/>
    <x v="37"/>
  </r>
  <r>
    <x v="2"/>
    <x v="2"/>
    <x v="11"/>
    <x v="170"/>
    <s v="AP#18495353 FROM S TAEBI ;Transfer from S TAEBI - 00"/>
    <n v="1865.29"/>
    <x v="4"/>
    <x v="30"/>
    <x v="36"/>
  </r>
  <r>
    <x v="2"/>
    <x v="2"/>
    <x v="11"/>
    <x v="170"/>
    <s v="LOAN INTEREST ;"/>
    <n v="-664.93"/>
    <x v="4"/>
    <x v="30"/>
    <x v="37"/>
  </r>
  <r>
    <x v="2"/>
    <x v="2"/>
    <x v="11"/>
    <x v="608"/>
    <s v="AP#18495353 FROM S TAEBI ;Transfer from S TAEBI - 00"/>
    <n v="523.61"/>
    <x v="4"/>
    <x v="30"/>
    <x v="36"/>
  </r>
  <r>
    <x v="2"/>
    <x v="2"/>
    <x v="11"/>
    <x v="608"/>
    <s v="LOAN INTEREST ;"/>
    <n v="-484.32"/>
    <x v="4"/>
    <x v="30"/>
    <x v="37"/>
  </r>
  <r>
    <x v="2"/>
    <x v="2"/>
    <x v="11"/>
    <x v="188"/>
    <s v="AP#18495353 FROM S TAEBI ;Transfer from S TAEBI - 00"/>
    <n v="601.51"/>
    <x v="4"/>
    <x v="30"/>
    <x v="36"/>
  </r>
  <r>
    <x v="2"/>
    <x v="2"/>
    <x v="11"/>
    <x v="188"/>
    <s v="LOAN INTEREST ;"/>
    <n v="-760.17"/>
    <x v="4"/>
    <x v="30"/>
    <x v="37"/>
  </r>
  <r>
    <x v="2"/>
    <x v="2"/>
    <x v="11"/>
    <x v="200"/>
    <s v="AP#18495353 FROM S TAEBI ;Transfer from S TAEBI - 00"/>
    <n v="383.12"/>
    <x v="4"/>
    <x v="30"/>
    <x v="36"/>
  </r>
  <r>
    <x v="2"/>
    <x v="2"/>
    <x v="11"/>
    <x v="200"/>
    <s v="LOAN INTEREST ;"/>
    <n v="-843.16"/>
    <x v="4"/>
    <x v="30"/>
    <x v="37"/>
  </r>
  <r>
    <x v="2"/>
    <x v="2"/>
    <x v="11"/>
    <x v="214"/>
    <s v="AP#18495353 FROM S TAEBI ;Transfer from S TAEBI - 00"/>
    <n v="844.32"/>
    <x v="4"/>
    <x v="30"/>
    <x v="36"/>
  </r>
  <r>
    <x v="2"/>
    <x v="2"/>
    <x v="11"/>
    <x v="214"/>
    <s v="LOAN INTEREST ;"/>
    <n v="-750.54"/>
    <x v="4"/>
    <x v="30"/>
    <x v="37"/>
  </r>
  <r>
    <x v="2"/>
    <x v="2"/>
    <x v="11"/>
    <x v="225"/>
    <s v="AP#18495353 FROM S TAEBI ;Transfer from S TAEBI - 00"/>
    <n v="421.79"/>
    <x v="4"/>
    <x v="30"/>
    <x v="36"/>
  </r>
  <r>
    <x v="2"/>
    <x v="2"/>
    <x v="11"/>
    <x v="225"/>
    <s v="LOAN INTEREST ;"/>
    <n v="-236.76"/>
    <x v="4"/>
    <x v="30"/>
    <x v="37"/>
  </r>
  <r>
    <x v="2"/>
    <x v="2"/>
    <x v="11"/>
    <x v="228"/>
    <s v="Rate 8.500% (V) loaded ;"/>
    <n v="0"/>
    <x v="4"/>
    <x v="30"/>
    <x v="36"/>
  </r>
  <r>
    <x v="2"/>
    <x v="2"/>
    <x v="11"/>
    <x v="228"/>
    <s v="From 8.500% (V) to 6.540% (F) ;"/>
    <n v="0"/>
    <x v="4"/>
    <x v="30"/>
    <x v="36"/>
  </r>
  <r>
    <x v="2"/>
    <x v="2"/>
    <x v="11"/>
    <x v="229"/>
    <s v="From 6.140% (F) to 6.540% (F) ;"/>
    <n v="0"/>
    <x v="4"/>
    <x v="30"/>
    <x v="36"/>
  </r>
  <r>
    <x v="2"/>
    <x v="2"/>
    <x v="11"/>
    <x v="229"/>
    <s v="From 1372.65 to 1424.98 due 23FEB2024 ;"/>
    <n v="0"/>
    <x v="4"/>
    <x v="30"/>
    <x v="36"/>
  </r>
  <r>
    <x v="2"/>
    <x v="2"/>
    <x v="11"/>
    <x v="235"/>
    <s v="AP#18495353 FROM S TAEBI ;Transfer from S TAEBI - 00"/>
    <n v="223.56"/>
    <x v="4"/>
    <x v="30"/>
    <x v="36"/>
  </r>
  <r>
    <x v="2"/>
    <x v="2"/>
    <x v="11"/>
    <x v="235"/>
    <s v="LOAN INTEREST ;"/>
    <n v="-341.17"/>
    <x v="4"/>
    <x v="30"/>
    <x v="37"/>
  </r>
  <r>
    <x v="2"/>
    <x v="2"/>
    <x v="11"/>
    <x v="247"/>
    <s v="AP#18495353 FROM S TAEBI ;Transfer from S TAEBI - 00"/>
    <n v="1960.6"/>
    <x v="4"/>
    <x v="30"/>
    <x v="36"/>
  </r>
  <r>
    <x v="2"/>
    <x v="2"/>
    <x v="11"/>
    <x v="247"/>
    <s v="LOAN INTEREST ;"/>
    <n v="-1460.43"/>
    <x v="4"/>
    <x v="30"/>
    <x v="37"/>
  </r>
  <r>
    <x v="2"/>
    <x v="2"/>
    <x v="11"/>
    <x v="255"/>
    <s v="AP#18495353 FROM S TAEBI ;Transfer from S TAEBI - 00"/>
    <n v="1896.33"/>
    <x v="4"/>
    <x v="30"/>
    <x v="36"/>
  </r>
  <r>
    <x v="2"/>
    <x v="2"/>
    <x v="11"/>
    <x v="255"/>
    <s v="LOAN INTEREST ;"/>
    <n v="-1727.02"/>
    <x v="4"/>
    <x v="30"/>
    <x v="37"/>
  </r>
  <r>
    <x v="2"/>
    <x v="2"/>
    <x v="12"/>
    <x v="264"/>
    <s v="LOAN INTEREST ;"/>
    <n v="-1176.08"/>
    <x v="4"/>
    <x v="30"/>
    <x v="37"/>
  </r>
  <r>
    <x v="2"/>
    <x v="2"/>
    <x v="12"/>
    <x v="6"/>
    <s v="AP#18495354 FROM S TAEBI ;Transfer from S TAEBI - 00"/>
    <n v="64.319999999999993"/>
    <x v="4"/>
    <x v="30"/>
    <x v="36"/>
  </r>
  <r>
    <x v="2"/>
    <x v="2"/>
    <x v="12"/>
    <x v="583"/>
    <s v="AP#18495354 FROM S TAEBI ;Transfer from S TAEBI - 00"/>
    <n v="618.91999999999996"/>
    <x v="4"/>
    <x v="30"/>
    <x v="36"/>
  </r>
  <r>
    <x v="2"/>
    <x v="2"/>
    <x v="12"/>
    <x v="583"/>
    <s v="LOAN INTEREST ;"/>
    <n v="-603.13"/>
    <x v="4"/>
    <x v="30"/>
    <x v="37"/>
  </r>
  <r>
    <x v="2"/>
    <x v="2"/>
    <x v="12"/>
    <x v="25"/>
    <s v="AP#18495354 FROM S TAEBI ;Transfer from S TAEBI - 00"/>
    <n v="775.69"/>
    <x v="4"/>
    <x v="30"/>
    <x v="36"/>
  </r>
  <r>
    <x v="2"/>
    <x v="2"/>
    <x v="12"/>
    <x v="25"/>
    <s v="LOAN INTEREST ;"/>
    <n v="-246.4"/>
    <x v="4"/>
    <x v="30"/>
    <x v="37"/>
  </r>
  <r>
    <x v="2"/>
    <x v="2"/>
    <x v="12"/>
    <x v="35"/>
    <s v="AP#18495354 FROM S TAEBI ;Transfer from S TAEBI - 00"/>
    <n v="1013.42"/>
    <x v="4"/>
    <x v="30"/>
    <x v="36"/>
  </r>
  <r>
    <x v="2"/>
    <x v="2"/>
    <x v="12"/>
    <x v="35"/>
    <s v="LOAN INTEREST ;"/>
    <n v="-424.25"/>
    <x v="4"/>
    <x v="30"/>
    <x v="37"/>
  </r>
  <r>
    <x v="2"/>
    <x v="2"/>
    <x v="12"/>
    <x v="586"/>
    <s v="AP#18495354 FROM S TAEBI ;Transfer from S TAEBI - 00"/>
    <n v="1726.36"/>
    <x v="4"/>
    <x v="30"/>
    <x v="36"/>
  </r>
  <r>
    <x v="2"/>
    <x v="2"/>
    <x v="12"/>
    <x v="586"/>
    <s v="LOAN INTEREST ;"/>
    <n v="-1136.8699999999999"/>
    <x v="4"/>
    <x v="30"/>
    <x v="37"/>
  </r>
  <r>
    <x v="2"/>
    <x v="2"/>
    <x v="12"/>
    <x v="589"/>
    <s v="AP#18495354 FROM S TAEBI ;Transfer from S TAEBI - 00"/>
    <n v="1995.96"/>
    <x v="4"/>
    <x v="30"/>
    <x v="36"/>
  </r>
  <r>
    <x v="2"/>
    <x v="2"/>
    <x v="12"/>
    <x v="589"/>
    <s v="LOAN INTEREST ;"/>
    <n v="-1160.3499999999999"/>
    <x v="4"/>
    <x v="30"/>
    <x v="37"/>
  </r>
  <r>
    <x v="2"/>
    <x v="2"/>
    <x v="12"/>
    <x v="56"/>
    <s v="REMEDIATION NOT TOWARDS 5% NA ;"/>
    <n v="717.73"/>
    <x v="4"/>
    <x v="30"/>
    <x v="36"/>
  </r>
  <r>
    <x v="2"/>
    <x v="2"/>
    <x v="12"/>
    <x v="592"/>
    <s v="AP#18495354 FROM S TAEBI ;Transfer from S TAEBI - 00"/>
    <n v="1563.97"/>
    <x v="4"/>
    <x v="30"/>
    <x v="36"/>
  </r>
  <r>
    <x v="2"/>
    <x v="2"/>
    <x v="12"/>
    <x v="592"/>
    <s v="LOAN INTEREST ;"/>
    <n v="-266.11"/>
    <x v="4"/>
    <x v="30"/>
    <x v="37"/>
  </r>
  <r>
    <x v="2"/>
    <x v="2"/>
    <x v="12"/>
    <x v="594"/>
    <s v="AP#18495354 FROM S TAEBI ;Transfer from S TAEBI - 00"/>
    <n v="1206.74"/>
    <x v="4"/>
    <x v="30"/>
    <x v="36"/>
  </r>
  <r>
    <x v="2"/>
    <x v="2"/>
    <x v="12"/>
    <x v="594"/>
    <s v="LOAN INTEREST ;"/>
    <n v="-1506.9"/>
    <x v="4"/>
    <x v="30"/>
    <x v="37"/>
  </r>
  <r>
    <x v="2"/>
    <x v="2"/>
    <x v="12"/>
    <x v="596"/>
    <s v="AP#18495354 FROM S TAEBI ;Transfer from S TAEBI - 00"/>
    <n v="1459.99"/>
    <x v="4"/>
    <x v="30"/>
    <x v="36"/>
  </r>
  <r>
    <x v="2"/>
    <x v="2"/>
    <x v="12"/>
    <x v="596"/>
    <s v="LOAN INTEREST ;"/>
    <n v="-1282.3"/>
    <x v="4"/>
    <x v="30"/>
    <x v="37"/>
  </r>
  <r>
    <x v="2"/>
    <x v="2"/>
    <x v="12"/>
    <x v="87"/>
    <s v="AP#18495354 FROM S TAEBI ;Transfer from S TAEBI - 00"/>
    <n v="1844.08"/>
    <x v="4"/>
    <x v="30"/>
    <x v="36"/>
  </r>
  <r>
    <x v="2"/>
    <x v="2"/>
    <x v="12"/>
    <x v="87"/>
    <s v="LOAN INTEREST ;"/>
    <n v="-1496.12"/>
    <x v="4"/>
    <x v="30"/>
    <x v="37"/>
  </r>
  <r>
    <x v="2"/>
    <x v="2"/>
    <x v="12"/>
    <x v="97"/>
    <s v="AP#18495354 FROM S TAEBI ;Transfer from S TAEBI - 00"/>
    <n v="1418.8"/>
    <x v="4"/>
    <x v="30"/>
    <x v="36"/>
  </r>
  <r>
    <x v="2"/>
    <x v="2"/>
    <x v="12"/>
    <x v="97"/>
    <s v="LOAN INTEREST ;"/>
    <n v="-448.15"/>
    <x v="4"/>
    <x v="30"/>
    <x v="37"/>
  </r>
  <r>
    <x v="2"/>
    <x v="2"/>
    <x v="12"/>
    <x v="107"/>
    <s v="AP#18495354 FROM S TAEBI ;Transfer from S TAEBI - 00"/>
    <n v="633.99"/>
    <x v="4"/>
    <x v="30"/>
    <x v="36"/>
  </r>
  <r>
    <x v="2"/>
    <x v="2"/>
    <x v="12"/>
    <x v="107"/>
    <s v="LOAN INTEREST ;"/>
    <n v="-401.48"/>
    <x v="4"/>
    <x v="30"/>
    <x v="37"/>
  </r>
  <r>
    <x v="2"/>
    <x v="2"/>
    <x v="12"/>
    <x v="118"/>
    <s v="AP#18495354 FROM S TAEBI ;Transfer from S TAEBI - 00"/>
    <n v="1083.6300000000001"/>
    <x v="4"/>
    <x v="30"/>
    <x v="36"/>
  </r>
  <r>
    <x v="2"/>
    <x v="2"/>
    <x v="12"/>
    <x v="118"/>
    <s v="LOAN INTEREST ;"/>
    <n v="-1231.24"/>
    <x v="4"/>
    <x v="30"/>
    <x v="37"/>
  </r>
  <r>
    <x v="2"/>
    <x v="2"/>
    <x v="12"/>
    <x v="128"/>
    <s v="AP#18495354 FROM S TAEBI ;Transfer from S TAEBI - 00"/>
    <n v="1333.79"/>
    <x v="4"/>
    <x v="30"/>
    <x v="36"/>
  </r>
  <r>
    <x v="2"/>
    <x v="2"/>
    <x v="12"/>
    <x v="128"/>
    <s v="LOAN INTEREST ;"/>
    <n v="-1601.96"/>
    <x v="4"/>
    <x v="30"/>
    <x v="37"/>
  </r>
  <r>
    <x v="2"/>
    <x v="2"/>
    <x v="12"/>
    <x v="137"/>
    <s v="AP#18495354 FROM S TAEBI ;Transfer from S TAEBI - 00"/>
    <n v="1387.96"/>
    <x v="4"/>
    <x v="30"/>
    <x v="36"/>
  </r>
  <r>
    <x v="2"/>
    <x v="2"/>
    <x v="12"/>
    <x v="137"/>
    <s v="LOAN INTEREST ;"/>
    <n v="-1494.75"/>
    <x v="4"/>
    <x v="30"/>
    <x v="37"/>
  </r>
  <r>
    <x v="2"/>
    <x v="2"/>
    <x v="12"/>
    <x v="604"/>
    <s v="AP#18495354 FROM S TAEBI ;Transfer from S TAEBI - 00"/>
    <n v="1912.29"/>
    <x v="4"/>
    <x v="30"/>
    <x v="36"/>
  </r>
  <r>
    <x v="2"/>
    <x v="2"/>
    <x v="12"/>
    <x v="604"/>
    <s v="LOAN INTEREST ;"/>
    <n v="-1318.63"/>
    <x v="4"/>
    <x v="30"/>
    <x v="37"/>
  </r>
  <r>
    <x v="2"/>
    <x v="2"/>
    <x v="12"/>
    <x v="606"/>
    <s v="AP#18495354 FROM S TAEBI ;Transfer from S TAEBI - 00"/>
    <n v="1555.88"/>
    <x v="4"/>
    <x v="30"/>
    <x v="36"/>
  </r>
  <r>
    <x v="2"/>
    <x v="2"/>
    <x v="12"/>
    <x v="606"/>
    <s v="LOAN INTEREST ;"/>
    <n v="-248.12"/>
    <x v="4"/>
    <x v="30"/>
    <x v="37"/>
  </r>
  <r>
    <x v="2"/>
    <x v="2"/>
    <x v="12"/>
    <x v="170"/>
    <s v="AP#18495354 FROM S TAEBI ;Transfer from S TAEBI - 00"/>
    <n v="1113.79"/>
    <x v="4"/>
    <x v="30"/>
    <x v="36"/>
  </r>
  <r>
    <x v="2"/>
    <x v="2"/>
    <x v="12"/>
    <x v="170"/>
    <s v="LOAN INTEREST ;"/>
    <n v="-565.54999999999995"/>
    <x v="4"/>
    <x v="30"/>
    <x v="37"/>
  </r>
  <r>
    <x v="2"/>
    <x v="2"/>
    <x v="12"/>
    <x v="608"/>
    <s v="AP#18495354 FROM S TAEBI ;Transfer from S TAEBI - 00"/>
    <n v="578.36"/>
    <x v="4"/>
    <x v="30"/>
    <x v="36"/>
  </r>
  <r>
    <x v="2"/>
    <x v="2"/>
    <x v="12"/>
    <x v="608"/>
    <s v="LOAN INTEREST ;"/>
    <n v="-373.51"/>
    <x v="4"/>
    <x v="30"/>
    <x v="37"/>
  </r>
  <r>
    <x v="2"/>
    <x v="2"/>
    <x v="12"/>
    <x v="188"/>
    <s v="AP#18495354 FROM S TAEBI ;Transfer from S TAEBI - 00"/>
    <n v="869.77"/>
    <x v="4"/>
    <x v="30"/>
    <x v="36"/>
  </r>
  <r>
    <x v="2"/>
    <x v="2"/>
    <x v="12"/>
    <x v="188"/>
    <s v="LOAN INTEREST ;"/>
    <n v="-724.75"/>
    <x v="4"/>
    <x v="30"/>
    <x v="37"/>
  </r>
  <r>
    <x v="2"/>
    <x v="2"/>
    <x v="12"/>
    <x v="200"/>
    <s v="AP#18495354 FROM S TAEBI ;Transfer from S TAEBI - 00"/>
    <n v="1116.71"/>
    <x v="4"/>
    <x v="30"/>
    <x v="36"/>
  </r>
  <r>
    <x v="2"/>
    <x v="2"/>
    <x v="12"/>
    <x v="200"/>
    <s v="LOAN INTEREST ;"/>
    <n v="-759.61"/>
    <x v="4"/>
    <x v="30"/>
    <x v="37"/>
  </r>
  <r>
    <x v="2"/>
    <x v="2"/>
    <x v="12"/>
    <x v="214"/>
    <s v="AP#18495354 FROM S TAEBI ;Transfer from S TAEBI - 00"/>
    <n v="126.16"/>
    <x v="4"/>
    <x v="30"/>
    <x v="36"/>
  </r>
  <r>
    <x v="2"/>
    <x v="2"/>
    <x v="12"/>
    <x v="214"/>
    <s v="LOAN INTEREST ;"/>
    <n v="-771.41"/>
    <x v="4"/>
    <x v="30"/>
    <x v="37"/>
  </r>
  <r>
    <x v="2"/>
    <x v="2"/>
    <x v="12"/>
    <x v="225"/>
    <s v="AP#18495354 FROM S TAEBI ;Transfer from S TAEBI - 00"/>
    <n v="970.01"/>
    <x v="4"/>
    <x v="30"/>
    <x v="36"/>
  </r>
  <r>
    <x v="2"/>
    <x v="2"/>
    <x v="12"/>
    <x v="225"/>
    <s v="LOAN INTEREST ;"/>
    <n v="-443.19"/>
    <x v="4"/>
    <x v="30"/>
    <x v="37"/>
  </r>
  <r>
    <x v="2"/>
    <x v="2"/>
    <x v="12"/>
    <x v="228"/>
    <s v="Rate 8.500% (V) loaded ;"/>
    <n v="0"/>
    <x v="4"/>
    <x v="30"/>
    <x v="36"/>
  </r>
  <r>
    <x v="2"/>
    <x v="2"/>
    <x v="12"/>
    <x v="228"/>
    <s v="From 8.500% (V) to 6.540% (F) ;"/>
    <n v="0"/>
    <x v="4"/>
    <x v="30"/>
    <x v="36"/>
  </r>
  <r>
    <x v="2"/>
    <x v="2"/>
    <x v="12"/>
    <x v="229"/>
    <s v="From 6.140% (F) to 6.540% (F) ;"/>
    <n v="0"/>
    <x v="4"/>
    <x v="30"/>
    <x v="36"/>
  </r>
  <r>
    <x v="2"/>
    <x v="2"/>
    <x v="12"/>
    <x v="229"/>
    <s v="From 1372.65 to 1424.98 due 23FEB2024 ;"/>
    <n v="0"/>
    <x v="4"/>
    <x v="30"/>
    <x v="36"/>
  </r>
  <r>
    <x v="2"/>
    <x v="2"/>
    <x v="12"/>
    <x v="235"/>
    <s v="AP#18495354 FROM S TAEBI ;Transfer from S TAEBI - 00"/>
    <n v="370.29"/>
    <x v="4"/>
    <x v="30"/>
    <x v="36"/>
  </r>
  <r>
    <x v="2"/>
    <x v="2"/>
    <x v="12"/>
    <x v="235"/>
    <s v="LOAN INTEREST ;"/>
    <n v="-1460.19"/>
    <x v="4"/>
    <x v="30"/>
    <x v="37"/>
  </r>
  <r>
    <x v="2"/>
    <x v="2"/>
    <x v="12"/>
    <x v="247"/>
    <s v="AP#18495354 FROM S TAEBI ;Transfer from S TAEBI - 00"/>
    <n v="687.28"/>
    <x v="4"/>
    <x v="30"/>
    <x v="36"/>
  </r>
  <r>
    <x v="2"/>
    <x v="2"/>
    <x v="12"/>
    <x v="247"/>
    <s v="LOAN INTEREST ;"/>
    <n v="-1260.76"/>
    <x v="4"/>
    <x v="30"/>
    <x v="37"/>
  </r>
  <r>
    <x v="2"/>
    <x v="2"/>
    <x v="12"/>
    <x v="255"/>
    <s v="AP#18495354 FROM S TAEBI ;Transfer from S TAEBI - 00"/>
    <n v="1540.48"/>
    <x v="4"/>
    <x v="30"/>
    <x v="36"/>
  </r>
  <r>
    <x v="2"/>
    <x v="2"/>
    <x v="12"/>
    <x v="255"/>
    <s v="LOAN INTEREST ;"/>
    <n v="-718.76"/>
    <x v="4"/>
    <x v="30"/>
    <x v="37"/>
  </r>
  <r>
    <x v="2"/>
    <x v="2"/>
    <x v="13"/>
    <x v="264"/>
    <s v="LOAN INTEREST ;"/>
    <n v="-328.55"/>
    <x v="4"/>
    <x v="30"/>
    <x v="37"/>
  </r>
  <r>
    <x v="2"/>
    <x v="2"/>
    <x v="13"/>
    <x v="6"/>
    <s v="AP#20595693 FROM S TAEBI ;Transfer from S TAEBI - 00"/>
    <n v="371.51"/>
    <x v="4"/>
    <x v="30"/>
    <x v="36"/>
  </r>
  <r>
    <x v="2"/>
    <x v="2"/>
    <x v="13"/>
    <x v="583"/>
    <s v="AP#20595693 FROM S TAEBI ;Transfer from S TAEBI - 00"/>
    <n v="364.76"/>
    <x v="4"/>
    <x v="30"/>
    <x v="36"/>
  </r>
  <r>
    <x v="2"/>
    <x v="2"/>
    <x v="13"/>
    <x v="583"/>
    <s v="LOAN INTEREST ;"/>
    <n v="-289.98"/>
    <x v="4"/>
    <x v="30"/>
    <x v="37"/>
  </r>
  <r>
    <x v="2"/>
    <x v="2"/>
    <x v="13"/>
    <x v="25"/>
    <s v="AP#20595693 FROM S TAEBI ;Transfer from S TAEBI - 00"/>
    <n v="317.14999999999998"/>
    <x v="4"/>
    <x v="30"/>
    <x v="36"/>
  </r>
  <r>
    <x v="2"/>
    <x v="2"/>
    <x v="13"/>
    <x v="25"/>
    <s v="LOAN INTEREST ;"/>
    <n v="-160.03"/>
    <x v="4"/>
    <x v="30"/>
    <x v="37"/>
  </r>
  <r>
    <x v="2"/>
    <x v="2"/>
    <x v="13"/>
    <x v="35"/>
    <s v="AP#20595693 FROM S TAEBI ;Transfer from S TAEBI - 00"/>
    <n v="31.3"/>
    <x v="4"/>
    <x v="30"/>
    <x v="36"/>
  </r>
  <r>
    <x v="2"/>
    <x v="2"/>
    <x v="13"/>
    <x v="35"/>
    <s v="LOAN INTEREST ;"/>
    <n v="-222.61"/>
    <x v="4"/>
    <x v="30"/>
    <x v="37"/>
  </r>
  <r>
    <x v="2"/>
    <x v="2"/>
    <x v="13"/>
    <x v="586"/>
    <s v="AP#20595693 FROM S TAEBI ;Transfer from S TAEBI - 00"/>
    <n v="5.67"/>
    <x v="4"/>
    <x v="30"/>
    <x v="36"/>
  </r>
  <r>
    <x v="2"/>
    <x v="2"/>
    <x v="13"/>
    <x v="586"/>
    <s v="LOAN INTEREST ;"/>
    <n v="-389.27"/>
    <x v="4"/>
    <x v="30"/>
    <x v="37"/>
  </r>
  <r>
    <x v="2"/>
    <x v="2"/>
    <x v="13"/>
    <x v="589"/>
    <s v="AP#20595693 FROM S TAEBI ;Transfer from S TAEBI - 00"/>
    <n v="474.45"/>
    <x v="4"/>
    <x v="30"/>
    <x v="36"/>
  </r>
  <r>
    <x v="2"/>
    <x v="2"/>
    <x v="13"/>
    <x v="589"/>
    <s v="LOAN INTEREST ;"/>
    <n v="-227.99"/>
    <x v="4"/>
    <x v="30"/>
    <x v="37"/>
  </r>
  <r>
    <x v="2"/>
    <x v="2"/>
    <x v="13"/>
    <x v="592"/>
    <s v="AP#20595693 FROM S TAEBI ;Transfer from S TAEBI - 00"/>
    <n v="303.69"/>
    <x v="4"/>
    <x v="30"/>
    <x v="36"/>
  </r>
  <r>
    <x v="2"/>
    <x v="2"/>
    <x v="13"/>
    <x v="592"/>
    <s v="LOAN INTEREST ;"/>
    <n v="-14.58"/>
    <x v="4"/>
    <x v="30"/>
    <x v="37"/>
  </r>
  <r>
    <x v="2"/>
    <x v="2"/>
    <x v="13"/>
    <x v="594"/>
    <s v="AP#20595693 FROM S TAEBI ;Transfer from S TAEBI - 00"/>
    <n v="450.43"/>
    <x v="4"/>
    <x v="30"/>
    <x v="36"/>
  </r>
  <r>
    <x v="2"/>
    <x v="2"/>
    <x v="13"/>
    <x v="594"/>
    <s v="LOAN INTEREST ;"/>
    <n v="-123.55"/>
    <x v="4"/>
    <x v="30"/>
    <x v="37"/>
  </r>
  <r>
    <x v="2"/>
    <x v="2"/>
    <x v="13"/>
    <x v="596"/>
    <s v="AP#20595693 FROM S TAEBI ;Transfer from S TAEBI - 00"/>
    <n v="321.18"/>
    <x v="4"/>
    <x v="30"/>
    <x v="36"/>
  </r>
  <r>
    <x v="2"/>
    <x v="2"/>
    <x v="13"/>
    <x v="596"/>
    <s v="LOAN INTEREST ;"/>
    <n v="-420.55"/>
    <x v="4"/>
    <x v="30"/>
    <x v="37"/>
  </r>
  <r>
    <x v="2"/>
    <x v="2"/>
    <x v="13"/>
    <x v="87"/>
    <s v="AP#20595693 FROM S TAEBI ;Transfer from S TAEBI - 00"/>
    <n v="10.54"/>
    <x v="4"/>
    <x v="30"/>
    <x v="36"/>
  </r>
  <r>
    <x v="2"/>
    <x v="2"/>
    <x v="13"/>
    <x v="87"/>
    <s v="LOAN INTEREST ;"/>
    <n v="-96.17"/>
    <x v="4"/>
    <x v="30"/>
    <x v="37"/>
  </r>
  <r>
    <x v="2"/>
    <x v="2"/>
    <x v="13"/>
    <x v="97"/>
    <s v="AP#20595693 FROM S TAEBI ;Transfer from S TAEBI - 00"/>
    <n v="323.13"/>
    <x v="4"/>
    <x v="30"/>
    <x v="36"/>
  </r>
  <r>
    <x v="2"/>
    <x v="2"/>
    <x v="13"/>
    <x v="97"/>
    <s v="LOAN INTEREST ;"/>
    <n v="-67.42"/>
    <x v="4"/>
    <x v="30"/>
    <x v="37"/>
  </r>
  <r>
    <x v="2"/>
    <x v="2"/>
    <x v="13"/>
    <x v="107"/>
    <s v="AP#20595693 FROM S TAEBI ;Transfer from S TAEBI - 00"/>
    <n v="501.42"/>
    <x v="4"/>
    <x v="30"/>
    <x v="36"/>
  </r>
  <r>
    <x v="2"/>
    <x v="2"/>
    <x v="13"/>
    <x v="107"/>
    <s v="LOAN INTEREST ;"/>
    <n v="-326.31"/>
    <x v="4"/>
    <x v="30"/>
    <x v="37"/>
  </r>
  <r>
    <x v="2"/>
    <x v="2"/>
    <x v="13"/>
    <x v="118"/>
    <s v="AP#20595693 FROM S TAEBI ;Transfer from S TAEBI - 00"/>
    <n v="266.64999999999998"/>
    <x v="4"/>
    <x v="30"/>
    <x v="36"/>
  </r>
  <r>
    <x v="2"/>
    <x v="2"/>
    <x v="13"/>
    <x v="118"/>
    <s v="LOAN INTEREST ;"/>
    <n v="-86.15"/>
    <x v="4"/>
    <x v="30"/>
    <x v="37"/>
  </r>
  <r>
    <x v="2"/>
    <x v="2"/>
    <x v="13"/>
    <x v="128"/>
    <s v="AP#20595693 FROM S TAEBI ;Transfer from S TAEBI - 00"/>
    <n v="416.02"/>
    <x v="4"/>
    <x v="30"/>
    <x v="36"/>
  </r>
  <r>
    <x v="2"/>
    <x v="2"/>
    <x v="13"/>
    <x v="128"/>
    <s v="LOAN INTEREST ;"/>
    <n v="-425.68"/>
    <x v="4"/>
    <x v="30"/>
    <x v="37"/>
  </r>
  <r>
    <x v="2"/>
    <x v="2"/>
    <x v="13"/>
    <x v="137"/>
    <s v="AP#20595693 FROM S TAEBI ;Transfer from S TAEBI - 00"/>
    <n v="283.98"/>
    <x v="4"/>
    <x v="30"/>
    <x v="36"/>
  </r>
  <r>
    <x v="2"/>
    <x v="2"/>
    <x v="13"/>
    <x v="137"/>
    <s v="LOAN INTEREST ;"/>
    <n v="-344.95"/>
    <x v="4"/>
    <x v="30"/>
    <x v="37"/>
  </r>
  <r>
    <x v="2"/>
    <x v="2"/>
    <x v="13"/>
    <x v="604"/>
    <s v="AP#20595693 FROM S TAEBI ;Transfer from S TAEBI - 00"/>
    <n v="47.98"/>
    <x v="4"/>
    <x v="30"/>
    <x v="36"/>
  </r>
  <r>
    <x v="2"/>
    <x v="2"/>
    <x v="13"/>
    <x v="604"/>
    <s v="LOAN INTEREST ;"/>
    <n v="-250.03"/>
    <x v="4"/>
    <x v="30"/>
    <x v="37"/>
  </r>
  <r>
    <x v="2"/>
    <x v="2"/>
    <x v="13"/>
    <x v="606"/>
    <s v="AP#20595693 FROM S TAEBI ;Transfer from S TAEBI - 00"/>
    <n v="447.22"/>
    <x v="4"/>
    <x v="30"/>
    <x v="36"/>
  </r>
  <r>
    <x v="2"/>
    <x v="2"/>
    <x v="13"/>
    <x v="606"/>
    <s v="LOAN INTEREST ;"/>
    <n v="-423.68"/>
    <x v="4"/>
    <x v="30"/>
    <x v="37"/>
  </r>
  <r>
    <x v="2"/>
    <x v="2"/>
    <x v="13"/>
    <x v="170"/>
    <s v="AP#20595693 FROM S TAEBI ;Transfer from S TAEBI - 00"/>
    <n v="214.77"/>
    <x v="4"/>
    <x v="30"/>
    <x v="36"/>
  </r>
  <r>
    <x v="2"/>
    <x v="2"/>
    <x v="13"/>
    <x v="170"/>
    <s v="LOAN INTEREST ;"/>
    <n v="-112.19"/>
    <x v="4"/>
    <x v="30"/>
    <x v="37"/>
  </r>
  <r>
    <x v="2"/>
    <x v="2"/>
    <x v="13"/>
    <x v="608"/>
    <s v="AP#20595693 FROM S TAEBI ;Transfer from S TAEBI - 00"/>
    <n v="408.46"/>
    <x v="4"/>
    <x v="30"/>
    <x v="36"/>
  </r>
  <r>
    <x v="2"/>
    <x v="2"/>
    <x v="13"/>
    <x v="608"/>
    <s v="LOAN INTEREST ;"/>
    <n v="-249.67"/>
    <x v="4"/>
    <x v="30"/>
    <x v="37"/>
  </r>
  <r>
    <x v="2"/>
    <x v="2"/>
    <x v="13"/>
    <x v="188"/>
    <s v="AP#20595693 FROM S TAEBI ;Transfer from S TAEBI - 00"/>
    <n v="409.5"/>
    <x v="4"/>
    <x v="30"/>
    <x v="36"/>
  </r>
  <r>
    <x v="2"/>
    <x v="2"/>
    <x v="13"/>
    <x v="188"/>
    <s v="LOAN INTEREST ;"/>
    <n v="-185.55"/>
    <x v="4"/>
    <x v="30"/>
    <x v="37"/>
  </r>
  <r>
    <x v="2"/>
    <x v="2"/>
    <x v="13"/>
    <x v="200"/>
    <s v="AP#20595693 FROM S TAEBI ;Transfer from S TAEBI - 00"/>
    <n v="337.63"/>
    <x v="4"/>
    <x v="30"/>
    <x v="36"/>
  </r>
  <r>
    <x v="2"/>
    <x v="2"/>
    <x v="13"/>
    <x v="200"/>
    <s v="LOAN INTEREST ;"/>
    <n v="-189.97"/>
    <x v="4"/>
    <x v="30"/>
    <x v="37"/>
  </r>
  <r>
    <x v="2"/>
    <x v="2"/>
    <x v="13"/>
    <x v="214"/>
    <s v="AP#20595693 FROM S TAEBI ;Transfer from S TAEBI - 00"/>
    <n v="310.81"/>
    <x v="4"/>
    <x v="30"/>
    <x v="36"/>
  </r>
  <r>
    <x v="2"/>
    <x v="2"/>
    <x v="13"/>
    <x v="214"/>
    <s v="LOAN INTEREST ;"/>
    <n v="-170.51"/>
    <x v="4"/>
    <x v="30"/>
    <x v="37"/>
  </r>
  <r>
    <x v="2"/>
    <x v="2"/>
    <x v="13"/>
    <x v="225"/>
    <s v="AP#20595693 FROM S TAEBI ;Transfer from S TAEBI - 00"/>
    <n v="515.19000000000005"/>
    <x v="4"/>
    <x v="30"/>
    <x v="36"/>
  </r>
  <r>
    <x v="2"/>
    <x v="2"/>
    <x v="13"/>
    <x v="225"/>
    <s v="LOAN INTEREST ;"/>
    <n v="-151.81"/>
    <x v="4"/>
    <x v="30"/>
    <x v="37"/>
  </r>
  <r>
    <x v="2"/>
    <x v="2"/>
    <x v="13"/>
    <x v="235"/>
    <s v="AP#20595693 FROM S TAEBI ;Transfer from S TAEBI - 00"/>
    <n v="429.27"/>
    <x v="4"/>
    <x v="30"/>
    <x v="36"/>
  </r>
  <r>
    <x v="2"/>
    <x v="2"/>
    <x v="13"/>
    <x v="235"/>
    <s v="LOAN INTEREST ;"/>
    <n v="-285.14999999999998"/>
    <x v="4"/>
    <x v="30"/>
    <x v="37"/>
  </r>
  <r>
    <x v="2"/>
    <x v="2"/>
    <x v="13"/>
    <x v="247"/>
    <s v="AP#20595693 FROM S TAEBI ;Transfer from S TAEBI - 00"/>
    <n v="221.79"/>
    <x v="4"/>
    <x v="30"/>
    <x v="36"/>
  </r>
  <r>
    <x v="2"/>
    <x v="2"/>
    <x v="13"/>
    <x v="247"/>
    <s v="LOAN INTEREST ;"/>
    <n v="-353.07"/>
    <x v="4"/>
    <x v="30"/>
    <x v="37"/>
  </r>
  <r>
    <x v="2"/>
    <x v="2"/>
    <x v="13"/>
    <x v="255"/>
    <s v="AP#20595693 FROM S TAEBI ;Transfer from S TAEBI - 00"/>
    <n v="311.17"/>
    <x v="4"/>
    <x v="30"/>
    <x v="36"/>
  </r>
  <r>
    <x v="2"/>
    <x v="2"/>
    <x v="13"/>
    <x v="255"/>
    <s v="LOAN INTEREST ;"/>
    <n v="-70.36"/>
    <x v="4"/>
    <x v="30"/>
    <x v="37"/>
  </r>
  <r>
    <x v="2"/>
    <x v="2"/>
    <x v="14"/>
    <x v="153"/>
    <s v="6.540% P.A. ;"/>
    <n v="0"/>
    <x v="12"/>
    <x v="30"/>
    <x v="36"/>
  </r>
  <r>
    <x v="2"/>
    <x v="2"/>
    <x v="14"/>
    <x v="153"/>
    <s v="TFR TO 1068S94.3 ;"/>
    <n v="-124799.81"/>
    <x v="15"/>
    <x v="32"/>
    <x v="47"/>
  </r>
  <r>
    <x v="2"/>
    <x v="2"/>
    <x v="14"/>
    <x v="157"/>
    <s v="AP#22653655 FROM S M ALAVI  S TAEBI ;Payment from S M ALAVI  S TAEBI"/>
    <n v="1167.69"/>
    <x v="12"/>
    <x v="30"/>
    <x v="36"/>
  </r>
  <r>
    <x v="2"/>
    <x v="2"/>
    <x v="14"/>
    <x v="157"/>
    <s v="LOAN INTEREST ;"/>
    <n v="-831.09"/>
    <x v="12"/>
    <x v="30"/>
    <x v="37"/>
  </r>
  <r>
    <x v="2"/>
    <x v="2"/>
    <x v="14"/>
    <x v="163"/>
    <s v="AP#22653655 FROM S M ALAVI  S TAEBI ;Payment from S M ALAVI  S TAEBI"/>
    <n v="1136.3900000000001"/>
    <x v="12"/>
    <x v="30"/>
    <x v="36"/>
  </r>
  <r>
    <x v="2"/>
    <x v="2"/>
    <x v="14"/>
    <x v="163"/>
    <s v="LOAN INTEREST ;"/>
    <n v="-288.88"/>
    <x v="12"/>
    <x v="30"/>
    <x v="37"/>
  </r>
  <r>
    <x v="2"/>
    <x v="2"/>
    <x v="14"/>
    <x v="169"/>
    <s v="AP#22653655 FROM S M ALAVI  S TAEBI ;Payment from S M ALAVI  S TAEBI"/>
    <n v="1264.27"/>
    <x v="12"/>
    <x v="30"/>
    <x v="36"/>
  </r>
  <r>
    <x v="2"/>
    <x v="2"/>
    <x v="14"/>
    <x v="169"/>
    <s v="LOAN INTEREST ;"/>
    <n v="-498.46"/>
    <x v="12"/>
    <x v="30"/>
    <x v="37"/>
  </r>
  <r>
    <x v="2"/>
    <x v="2"/>
    <x v="14"/>
    <x v="175"/>
    <s v="AP#22653655 FROM S M ALAVI  S TAEBI ;Payment from S M ALAVI  S TAEBI"/>
    <n v="554.21"/>
    <x v="12"/>
    <x v="30"/>
    <x v="36"/>
  </r>
  <r>
    <x v="2"/>
    <x v="2"/>
    <x v="14"/>
    <x v="175"/>
    <s v="LOAN INTEREST ;"/>
    <n v="-821.24"/>
    <x v="12"/>
    <x v="30"/>
    <x v="37"/>
  </r>
  <r>
    <x v="2"/>
    <x v="2"/>
    <x v="14"/>
    <x v="180"/>
    <s v="AP#22653655 FROM S M ALAVI  S TAEBI ;Payment from S M ALAVI  S TAEBI"/>
    <n v="496.39"/>
    <x v="12"/>
    <x v="30"/>
    <x v="36"/>
  </r>
  <r>
    <x v="2"/>
    <x v="2"/>
    <x v="14"/>
    <x v="180"/>
    <s v="LOAN INTEREST ;"/>
    <n v="-517.39"/>
    <x v="12"/>
    <x v="30"/>
    <x v="37"/>
  </r>
  <r>
    <x v="2"/>
    <x v="2"/>
    <x v="14"/>
    <x v="184"/>
    <s v="AP#22653655 FROM S M ALAVI  S TAEBI ;Payment from S M ALAVI  S TAEBI"/>
    <n v="716.55"/>
    <x v="12"/>
    <x v="30"/>
    <x v="36"/>
  </r>
  <r>
    <x v="2"/>
    <x v="2"/>
    <x v="14"/>
    <x v="184"/>
    <s v="LOAN INTEREST ;"/>
    <n v="-536.91999999999996"/>
    <x v="12"/>
    <x v="30"/>
    <x v="37"/>
  </r>
  <r>
    <x v="2"/>
    <x v="2"/>
    <x v="14"/>
    <x v="286"/>
    <s v="AP#22653655 FROM S M ALAVI  S TAEBI ;Payment from S M ALAVI  S TAEBI"/>
    <n v="216.65"/>
    <x v="12"/>
    <x v="30"/>
    <x v="36"/>
  </r>
  <r>
    <x v="2"/>
    <x v="2"/>
    <x v="14"/>
    <x v="286"/>
    <s v="LOAN INTEREST ;"/>
    <n v="-639.14"/>
    <x v="12"/>
    <x v="30"/>
    <x v="37"/>
  </r>
  <r>
    <x v="2"/>
    <x v="2"/>
    <x v="14"/>
    <x v="192"/>
    <s v="AP#22653655 FROM S M ALAVI  S TAEBI ;Payment from S M ALAVI  S TAEBI"/>
    <n v="686.57"/>
    <x v="12"/>
    <x v="30"/>
    <x v="36"/>
  </r>
  <r>
    <x v="2"/>
    <x v="2"/>
    <x v="14"/>
    <x v="192"/>
    <s v="LOAN INTEREST ;"/>
    <n v="-397.16"/>
    <x v="12"/>
    <x v="30"/>
    <x v="37"/>
  </r>
  <r>
    <x v="2"/>
    <x v="2"/>
    <x v="14"/>
    <x v="199"/>
    <s v="AP#22653655 FROM S M ALAVI  S TAEBI ;Payment from S M ALAVI  S TAEBI"/>
    <n v="856.32"/>
    <x v="12"/>
    <x v="30"/>
    <x v="36"/>
  </r>
  <r>
    <x v="2"/>
    <x v="2"/>
    <x v="14"/>
    <x v="199"/>
    <s v="LOAN INTEREST ;"/>
    <n v="-850.74"/>
    <x v="12"/>
    <x v="30"/>
    <x v="37"/>
  </r>
  <r>
    <x v="2"/>
    <x v="2"/>
    <x v="14"/>
    <x v="206"/>
    <s v="AP#22653655 FROM S M ALAVI  S TAEBI ;Payment from S M ALAVI  S TAEBI"/>
    <n v="306.39999999999998"/>
    <x v="12"/>
    <x v="30"/>
    <x v="36"/>
  </r>
  <r>
    <x v="2"/>
    <x v="2"/>
    <x v="14"/>
    <x v="206"/>
    <s v="LOAN INTEREST ;"/>
    <n v="-963.08"/>
    <x v="12"/>
    <x v="30"/>
    <x v="37"/>
  </r>
  <r>
    <x v="2"/>
    <x v="2"/>
    <x v="14"/>
    <x v="213"/>
    <s v="AP#22653655 FROM S M ALAVI  S TAEBI ;Payment from S M ALAVI  S TAEBI"/>
    <n v="848.38"/>
    <x v="12"/>
    <x v="30"/>
    <x v="36"/>
  </r>
  <r>
    <x v="2"/>
    <x v="2"/>
    <x v="14"/>
    <x v="213"/>
    <s v="LOAN INTEREST ;"/>
    <n v="-155.41999999999999"/>
    <x v="12"/>
    <x v="30"/>
    <x v="37"/>
  </r>
  <r>
    <x v="2"/>
    <x v="2"/>
    <x v="14"/>
    <x v="218"/>
    <s v="AP#22653655 FROM S M ALAVI  S TAEBI ;Payment from S M ALAVI  S TAEBI"/>
    <n v="1021.13"/>
    <x v="12"/>
    <x v="30"/>
    <x v="36"/>
  </r>
  <r>
    <x v="2"/>
    <x v="2"/>
    <x v="14"/>
    <x v="218"/>
    <s v="LOAN INTEREST ;"/>
    <n v="-393.13"/>
    <x v="12"/>
    <x v="30"/>
    <x v="37"/>
  </r>
  <r>
    <x v="2"/>
    <x v="2"/>
    <x v="14"/>
    <x v="224"/>
    <s v="AP#22653655 FROM S M ALAVI  S TAEBI ;Payment from S M ALAVI  S TAEBI"/>
    <n v="107.52"/>
    <x v="12"/>
    <x v="30"/>
    <x v="36"/>
  </r>
  <r>
    <x v="2"/>
    <x v="2"/>
    <x v="14"/>
    <x v="224"/>
    <s v="LOAN INTEREST ;"/>
    <n v="-816.44"/>
    <x v="12"/>
    <x v="30"/>
    <x v="37"/>
  </r>
  <r>
    <x v="2"/>
    <x v="2"/>
    <x v="14"/>
    <x v="228"/>
    <s v="AP#22653655 FROM S M ALAVI  S TAEBI ;Payment from S M ALAVI  S TAEBI"/>
    <n v="802.64"/>
    <x v="12"/>
    <x v="30"/>
    <x v="36"/>
  </r>
  <r>
    <x v="2"/>
    <x v="2"/>
    <x v="14"/>
    <x v="228"/>
    <s v="LOAN INTEREST ;"/>
    <n v="-79.930000000000007"/>
    <x v="12"/>
    <x v="30"/>
    <x v="37"/>
  </r>
  <r>
    <x v="2"/>
    <x v="2"/>
    <x v="14"/>
    <x v="234"/>
    <s v="AP#22653655 FROM S M ALAVI  S TAEBI ;Payment from S M ALAVI  S TAEBI"/>
    <n v="956.92"/>
    <x v="12"/>
    <x v="30"/>
    <x v="36"/>
  </r>
  <r>
    <x v="2"/>
    <x v="2"/>
    <x v="14"/>
    <x v="234"/>
    <s v="LOAN INTEREST ;"/>
    <n v="-588.78"/>
    <x v="12"/>
    <x v="30"/>
    <x v="37"/>
  </r>
  <r>
    <x v="2"/>
    <x v="2"/>
    <x v="14"/>
    <x v="240"/>
    <s v="AP#22653655 FROM S M ALAVI  S TAEBI ;Payment from S M ALAVI  S TAEBI"/>
    <n v="493.92"/>
    <x v="12"/>
    <x v="30"/>
    <x v="36"/>
  </r>
  <r>
    <x v="2"/>
    <x v="2"/>
    <x v="14"/>
    <x v="240"/>
    <s v="LOAN INTEREST ;"/>
    <n v="-809.43"/>
    <x v="12"/>
    <x v="30"/>
    <x v="37"/>
  </r>
  <r>
    <x v="2"/>
    <x v="2"/>
    <x v="14"/>
    <x v="246"/>
    <s v="AP#22653655 FROM S M ALAVI  S TAEBI ;Payment from S M ALAVI  S TAEBI"/>
    <n v="324.79000000000002"/>
    <x v="12"/>
    <x v="30"/>
    <x v="36"/>
  </r>
  <r>
    <x v="2"/>
    <x v="2"/>
    <x v="14"/>
    <x v="246"/>
    <s v="LOAN INTEREST ;"/>
    <n v="-700.1"/>
    <x v="12"/>
    <x v="30"/>
    <x v="37"/>
  </r>
  <r>
    <x v="2"/>
    <x v="2"/>
    <x v="14"/>
    <x v="250"/>
    <s v="AP#22653655 FROM S M ALAVI  S TAEBI ;Payment from S M ALAVI  S TAEBI"/>
    <n v="193.25"/>
    <x v="12"/>
    <x v="30"/>
    <x v="36"/>
  </r>
  <r>
    <x v="2"/>
    <x v="2"/>
    <x v="14"/>
    <x v="250"/>
    <s v="LOAN INTEREST ;"/>
    <n v="-390.68"/>
    <x v="12"/>
    <x v="30"/>
    <x v="37"/>
  </r>
  <r>
    <x v="2"/>
    <x v="2"/>
    <x v="14"/>
    <x v="289"/>
    <s v="AP#22653655 FROM S M ALAVI  S TAEBI ;Payment from S M ALAVI  S TAEBI"/>
    <n v="132.35"/>
    <x v="12"/>
    <x v="30"/>
    <x v="36"/>
  </r>
  <r>
    <x v="2"/>
    <x v="2"/>
    <x v="14"/>
    <x v="289"/>
    <s v="LOAN INTEREST ;"/>
    <n v="-730.42"/>
    <x v="12"/>
    <x v="30"/>
    <x v="37"/>
  </r>
  <r>
    <x v="2"/>
    <x v="2"/>
    <x v="14"/>
    <x v="292"/>
    <s v="AP#22653655 FROM S M ALAVI  S TAEBI ;Payment from S M ALAVI  S TAEBI"/>
    <n v="673.49"/>
    <x v="12"/>
    <x v="30"/>
    <x v="36"/>
  </r>
  <r>
    <x v="2"/>
    <x v="2"/>
    <x v="14"/>
    <x v="292"/>
    <s v="LOAN INTEREST ;"/>
    <n v="-190.16"/>
    <x v="12"/>
    <x v="30"/>
    <x v="37"/>
  </r>
  <r>
    <x v="2"/>
    <x v="1"/>
    <x v="15"/>
    <x v="3"/>
    <s v="HESARI BAKERY LIMITED AUCKLAND "/>
    <n v="-3.83"/>
    <x v="0"/>
    <x v="0"/>
    <x v="0"/>
  </r>
  <r>
    <x v="2"/>
    <x v="1"/>
    <x v="15"/>
    <x v="3"/>
    <s v="PAYMENT THANKYOU . "/>
    <n v="2.98"/>
    <x v="1"/>
    <x v="24"/>
    <x v="1"/>
  </r>
  <r>
    <x v="2"/>
    <x v="1"/>
    <x v="15"/>
    <x v="27"/>
    <s v="PAYMENT THANKYOU . "/>
    <n v="35.26"/>
    <x v="1"/>
    <x v="24"/>
    <x v="1"/>
  </r>
  <r>
    <x v="2"/>
    <x v="1"/>
    <x v="15"/>
    <x v="27"/>
    <s v="BUOY CAFE &amp; EATERY AUCKLAND "/>
    <n v="-27.75"/>
    <x v="3"/>
    <x v="8"/>
    <x v="8"/>
  </r>
  <r>
    <x v="2"/>
    <x v="1"/>
    <x v="15"/>
    <x v="35"/>
    <s v="HESARI BAKERY LIMITED AUCKLAND "/>
    <n v="-15.42"/>
    <x v="0"/>
    <x v="0"/>
    <x v="0"/>
  </r>
  <r>
    <x v="2"/>
    <x v="1"/>
    <x v="15"/>
    <x v="35"/>
    <s v="HESARISUPERMARKETPANMURE AUCKLAND "/>
    <n v="-31.68"/>
    <x v="0"/>
    <x v="0"/>
    <x v="0"/>
  </r>
  <r>
    <x v="2"/>
    <x v="1"/>
    <x v="15"/>
    <x v="35"/>
    <s v="PAYMENT THANKYOU . "/>
    <n v="52.7"/>
    <x v="1"/>
    <x v="24"/>
    <x v="1"/>
  </r>
  <r>
    <x v="2"/>
    <x v="1"/>
    <x v="15"/>
    <x v="90"/>
    <s v="PAYMENT THANKYOU . "/>
    <n v="4.38"/>
    <x v="1"/>
    <x v="24"/>
    <x v="1"/>
  </r>
  <r>
    <x v="2"/>
    <x v="1"/>
    <x v="15"/>
    <x v="91"/>
    <s v="LE PETITE FOURCHETTE AUCKLAND "/>
    <n v="-13.41"/>
    <x v="3"/>
    <x v="8"/>
    <x v="8"/>
  </r>
  <r>
    <x v="2"/>
    <x v="1"/>
    <x v="15"/>
    <x v="91"/>
    <s v="COUNTDOWN HALSE/100 HALSE HALSEY STREET "/>
    <n v="-1.43"/>
    <x v="0"/>
    <x v="0"/>
    <x v="0"/>
  </r>
  <r>
    <x v="2"/>
    <x v="1"/>
    <x v="16"/>
    <x v="263"/>
    <s v="PAK N SAVE SYLVIA PARK AUCKLAND "/>
    <n v="-358.26"/>
    <x v="0"/>
    <x v="0"/>
    <x v="0"/>
  </r>
  <r>
    <x v="2"/>
    <x v="1"/>
    <x v="16"/>
    <x v="263"/>
    <s v="PAYMENT THANKYOU . "/>
    <n v="232.95"/>
    <x v="1"/>
    <x v="24"/>
    <x v="1"/>
  </r>
  <r>
    <x v="2"/>
    <x v="1"/>
    <x v="16"/>
    <x v="263"/>
    <s v="PAYMENT THANKYOU . "/>
    <n v="5.33"/>
    <x v="1"/>
    <x v="24"/>
    <x v="1"/>
  </r>
  <r>
    <x v="2"/>
    <x v="1"/>
    <x v="16"/>
    <x v="263"/>
    <s v="OPEN CAFE AND CATERING AUCKLAND "/>
    <n v="-2.5"/>
    <x v="3"/>
    <x v="8"/>
    <x v="8"/>
  </r>
  <r>
    <x v="2"/>
    <x v="1"/>
    <x v="16"/>
    <x v="263"/>
    <s v="PAYMENT THANKYOU . "/>
    <n v="16.43"/>
    <x v="1"/>
    <x v="24"/>
    <x v="1"/>
  </r>
  <r>
    <x v="2"/>
    <x v="1"/>
    <x v="16"/>
    <x v="263"/>
    <s v="AKL AIRPORT CARPARK AUCKLAND "/>
    <n v="-1.95"/>
    <x v="6"/>
    <x v="9"/>
    <x v="21"/>
  </r>
  <r>
    <x v="2"/>
    <x v="1"/>
    <x v="16"/>
    <x v="263"/>
    <s v="Bistro Box Auckland "/>
    <n v="-5.57"/>
    <x v="3"/>
    <x v="8"/>
    <x v="8"/>
  </r>
  <r>
    <x v="2"/>
    <x v="1"/>
    <x v="16"/>
    <x v="3"/>
    <s v="PITA HOUSE PAKURANGA AUCKLAND "/>
    <n v="-52.36"/>
    <x v="0"/>
    <x v="0"/>
    <x v="0"/>
  </r>
  <r>
    <x v="2"/>
    <x v="1"/>
    <x v="16"/>
    <x v="3"/>
    <s v="HESARISUPERMARKETPANMURE AUCKLAND "/>
    <n v="-29.61"/>
    <x v="0"/>
    <x v="0"/>
    <x v="0"/>
  </r>
  <r>
    <x v="2"/>
    <x v="1"/>
    <x v="16"/>
    <x v="3"/>
    <s v="TAIPING ASIAN SUPERMARKET AUCKLAND "/>
    <n v="-65.77"/>
    <x v="0"/>
    <x v="0"/>
    <x v="0"/>
  </r>
  <r>
    <x v="2"/>
    <x v="1"/>
    <x v="16"/>
    <x v="3"/>
    <s v="PAYMENT THANKYOU . "/>
    <n v="282.47000000000003"/>
    <x v="1"/>
    <x v="24"/>
    <x v="1"/>
  </r>
  <r>
    <x v="2"/>
    <x v="1"/>
    <x v="16"/>
    <x v="6"/>
    <s v="Nandos Auckland "/>
    <n v="-54.25"/>
    <x v="3"/>
    <x v="3"/>
    <x v="26"/>
  </r>
  <r>
    <x v="2"/>
    <x v="1"/>
    <x v="16"/>
    <x v="6"/>
    <s v="PAYMENT THANKYOU . "/>
    <n v="66.45"/>
    <x v="1"/>
    <x v="24"/>
    <x v="1"/>
  </r>
  <r>
    <x v="2"/>
    <x v="1"/>
    <x v="16"/>
    <x v="6"/>
    <s v="COUNTDOWN PAKURANGA AUCKLAND "/>
    <n v="-20.329999999999998"/>
    <x v="0"/>
    <x v="0"/>
    <x v="0"/>
  </r>
  <r>
    <x v="2"/>
    <x v="1"/>
    <x v="16"/>
    <x v="6"/>
    <s v="PITA HOUSE PAKURANGA AUCKLAND "/>
    <n v="-16.899999999999999"/>
    <x v="0"/>
    <x v="0"/>
    <x v="0"/>
  </r>
  <r>
    <x v="2"/>
    <x v="1"/>
    <x v="16"/>
    <x v="6"/>
    <s v="TAIPING ASIAN SUPERMARKET AUCKLAND "/>
    <n v="-7.65"/>
    <x v="0"/>
    <x v="0"/>
    <x v="0"/>
  </r>
  <r>
    <x v="2"/>
    <x v="1"/>
    <x v="16"/>
    <x v="6"/>
    <s v="ARCHIE BROTHERS AUCKLAND "/>
    <n v="-15.5"/>
    <x v="3"/>
    <x v="3"/>
    <x v="3"/>
  </r>
  <r>
    <x v="2"/>
    <x v="1"/>
    <x v="16"/>
    <x v="6"/>
    <s v="NEW WORLD STONEFIELDS AUCKLAND NZ "/>
    <n v="-10.3"/>
    <x v="0"/>
    <x v="0"/>
    <x v="0"/>
  </r>
  <r>
    <x v="2"/>
    <x v="1"/>
    <x v="16"/>
    <x v="6"/>
    <s v="Briscoes Panmure Mt Wellington "/>
    <n v="-37.9"/>
    <x v="4"/>
    <x v="12"/>
    <x v="12"/>
  </r>
  <r>
    <x v="2"/>
    <x v="1"/>
    <x v="16"/>
    <x v="7"/>
    <s v="PAYMENT THANKYOU . "/>
    <n v="17.850000000000001"/>
    <x v="1"/>
    <x v="24"/>
    <x v="1"/>
  </r>
  <r>
    <x v="2"/>
    <x v="1"/>
    <x v="16"/>
    <x v="9"/>
    <s v="PAK N SAVE SYLVIA PARK AUCKLAND "/>
    <n v="-181.58"/>
    <x v="0"/>
    <x v="0"/>
    <x v="0"/>
  </r>
  <r>
    <x v="2"/>
    <x v="1"/>
    <x v="16"/>
    <x v="266"/>
    <s v="PAYMENT THANKYOU . "/>
    <n v="280.16000000000003"/>
    <x v="1"/>
    <x v="24"/>
    <x v="1"/>
  </r>
  <r>
    <x v="2"/>
    <x v="1"/>
    <x v="16"/>
    <x v="266"/>
    <s v="PAYMENT THANKYOU . "/>
    <n v="68.36"/>
    <x v="1"/>
    <x v="24"/>
    <x v="1"/>
  </r>
  <r>
    <x v="2"/>
    <x v="1"/>
    <x v="16"/>
    <x v="266"/>
    <s v="GULL REEVES ROAD AUCKLAND "/>
    <n v="-127.63"/>
    <x v="6"/>
    <x v="9"/>
    <x v="14"/>
  </r>
  <r>
    <x v="2"/>
    <x v="1"/>
    <x v="16"/>
    <x v="266"/>
    <s v="The Warehouse 114 Pakuranga "/>
    <n v="-13.64"/>
    <x v="4"/>
    <x v="12"/>
    <x v="12"/>
  </r>
  <r>
    <x v="2"/>
    <x v="1"/>
    <x v="16"/>
    <x v="266"/>
    <s v="PITA HOUSE PAKURANGA AUCKLAND "/>
    <n v="-38.06"/>
    <x v="0"/>
    <x v="0"/>
    <x v="0"/>
  </r>
  <r>
    <x v="2"/>
    <x v="1"/>
    <x v="16"/>
    <x v="266"/>
    <s v="FIRST MILLENIUM HAIR DSGN AUCKLAND "/>
    <n v="-16.95"/>
    <x v="9"/>
    <x v="29"/>
    <x v="44"/>
  </r>
  <r>
    <x v="2"/>
    <x v="1"/>
    <x v="16"/>
    <x v="266"/>
    <s v="NEW WORLD STONEFIELDS AUCKLAND NZ "/>
    <n v="-41.04"/>
    <x v="0"/>
    <x v="0"/>
    <x v="0"/>
  </r>
  <r>
    <x v="2"/>
    <x v="1"/>
    <x v="16"/>
    <x v="266"/>
    <s v="MITRE 10 MEGA MT WTGN MOUNT WELLING "/>
    <n v="-4.21"/>
    <x v="4"/>
    <x v="12"/>
    <x v="12"/>
  </r>
  <r>
    <x v="2"/>
    <x v="1"/>
    <x v="16"/>
    <x v="12"/>
    <s v="LE PETITE FOURCHETTE AUCKLAND "/>
    <n v="-4.57"/>
    <x v="0"/>
    <x v="0"/>
    <x v="0"/>
  </r>
  <r>
    <x v="2"/>
    <x v="1"/>
    <x v="16"/>
    <x v="13"/>
    <s v="PAK N SAVE SYLVIA PARK AUCKLAND "/>
    <n v="-13.5"/>
    <x v="0"/>
    <x v="0"/>
    <x v="0"/>
  </r>
  <r>
    <x v="2"/>
    <x v="1"/>
    <x v="16"/>
    <x v="13"/>
    <s v="SHAHJI SPICES LTD AUCKLAND "/>
    <n v="-2.3199999999999998"/>
    <x v="0"/>
    <x v="0"/>
    <x v="0"/>
  </r>
  <r>
    <x v="2"/>
    <x v="1"/>
    <x v="16"/>
    <x v="13"/>
    <s v="PAYMENT THANKYOU . "/>
    <n v="12.06"/>
    <x v="1"/>
    <x v="24"/>
    <x v="1"/>
  </r>
  <r>
    <x v="2"/>
    <x v="1"/>
    <x v="16"/>
    <x v="13"/>
    <s v="PAYMENT THANKYOU . "/>
    <n v="16.29"/>
    <x v="1"/>
    <x v="24"/>
    <x v="1"/>
  </r>
  <r>
    <x v="2"/>
    <x v="1"/>
    <x v="16"/>
    <x v="17"/>
    <s v="PITA HOUSE PAKURANGA AUCKLAND "/>
    <n v="-38.39"/>
    <x v="0"/>
    <x v="0"/>
    <x v="0"/>
  </r>
  <r>
    <x v="2"/>
    <x v="1"/>
    <x v="16"/>
    <x v="17"/>
    <s v="HESARISUPERMARKETPANMURE AUCKLAND "/>
    <n v="-17.63"/>
    <x v="0"/>
    <x v="0"/>
    <x v="0"/>
  </r>
  <r>
    <x v="2"/>
    <x v="1"/>
    <x v="16"/>
    <x v="17"/>
    <s v="TAIPING ASIAN SUPERMARKET AUCKLAND "/>
    <n v="-14.99"/>
    <x v="0"/>
    <x v="0"/>
    <x v="0"/>
  </r>
  <r>
    <x v="2"/>
    <x v="1"/>
    <x v="16"/>
    <x v="21"/>
    <s v="FOREIGN CURRENCY TXN FEE  "/>
    <n v="-6.24"/>
    <x v="5"/>
    <x v="7"/>
    <x v="7"/>
  </r>
  <r>
    <x v="2"/>
    <x v="1"/>
    <x v="16"/>
    <x v="21"/>
    <s v="CURRENCY CONV ASSESSMENT  "/>
    <n v="-1.93"/>
    <x v="5"/>
    <x v="7"/>
    <x v="7"/>
  </r>
  <r>
    <x v="2"/>
    <x v="1"/>
    <x v="16"/>
    <x v="21"/>
    <s v="AIR CAN*    0142171375713 AIRCANADA.COM MB;540.66 CANADIAN DOLLAR at 0.8304"/>
    <n v="-468.44"/>
    <x v="3"/>
    <x v="6"/>
    <x v="6"/>
  </r>
  <r>
    <x v="2"/>
    <x v="1"/>
    <x v="16"/>
    <x v="21"/>
    <s v="FOREIGN CURRENCY TXN FEE  "/>
    <n v="-3.89"/>
    <x v="5"/>
    <x v="7"/>
    <x v="7"/>
  </r>
  <r>
    <x v="2"/>
    <x v="1"/>
    <x v="16"/>
    <x v="21"/>
    <s v="CURRENCY CONV ASSESSMENT  "/>
    <n v="-9.51"/>
    <x v="5"/>
    <x v="7"/>
    <x v="7"/>
  </r>
  <r>
    <x v="2"/>
    <x v="1"/>
    <x v="16"/>
    <x v="21"/>
    <s v="AIR CAN*    0142171375712 AIRCANADA.COM MB;540.66 CANADIAN DOLLAR at 0.8304"/>
    <n v="-425.41"/>
    <x v="3"/>
    <x v="6"/>
    <x v="6"/>
  </r>
  <r>
    <x v="2"/>
    <x v="1"/>
    <x v="16"/>
    <x v="17"/>
    <s v="PAYMENT THANKYOU . "/>
    <n v="26.4"/>
    <x v="1"/>
    <x v="24"/>
    <x v="1"/>
  </r>
  <r>
    <x v="2"/>
    <x v="1"/>
    <x v="16"/>
    <x v="17"/>
    <s v="PAYMENT THANKYOU . "/>
    <n v="3.53"/>
    <x v="1"/>
    <x v="24"/>
    <x v="1"/>
  </r>
  <r>
    <x v="2"/>
    <x v="1"/>
    <x v="16"/>
    <x v="17"/>
    <s v="SNO CAFE AUCKLAND "/>
    <n v="-28.91"/>
    <x v="3"/>
    <x v="8"/>
    <x v="8"/>
  </r>
  <r>
    <x v="2"/>
    <x v="1"/>
    <x v="16"/>
    <x v="18"/>
    <s v="Pak N Save Queenstown Frankton "/>
    <n v="-57.86"/>
    <x v="0"/>
    <x v="0"/>
    <x v="0"/>
  </r>
  <r>
    <x v="2"/>
    <x v="1"/>
    <x v="16"/>
    <x v="19"/>
    <s v="Fergbaker Queenstown "/>
    <n v="-8.2799999999999994"/>
    <x v="3"/>
    <x v="8"/>
    <x v="8"/>
  </r>
  <r>
    <x v="2"/>
    <x v="1"/>
    <x v="16"/>
    <x v="19"/>
    <s v="Mrs Ferg Queenstown "/>
    <n v="-0.3"/>
    <x v="3"/>
    <x v="8"/>
    <x v="8"/>
  </r>
  <r>
    <x v="2"/>
    <x v="1"/>
    <x v="16"/>
    <x v="19"/>
    <s v="Mrs Ferg Queenstown "/>
    <n v="-1.76"/>
    <x v="3"/>
    <x v="8"/>
    <x v="8"/>
  </r>
  <r>
    <x v="2"/>
    <x v="1"/>
    <x v="16"/>
    <x v="18"/>
    <s v="PAYMENT THANKYOU . "/>
    <n v="118.48"/>
    <x v="1"/>
    <x v="24"/>
    <x v="1"/>
  </r>
  <r>
    <x v="2"/>
    <x v="1"/>
    <x v="16"/>
    <x v="18"/>
    <s v="PAYMENT THANKYOU . "/>
    <n v="107.64"/>
    <x v="1"/>
    <x v="24"/>
    <x v="1"/>
  </r>
  <r>
    <x v="2"/>
    <x v="1"/>
    <x v="16"/>
    <x v="18"/>
    <s v="PAYMENT THANKYOU . "/>
    <n v="1766.39"/>
    <x v="1"/>
    <x v="24"/>
    <x v="1"/>
  </r>
  <r>
    <x v="2"/>
    <x v="1"/>
    <x v="16"/>
    <x v="18"/>
    <s v="PAYMENT THANKYOU . "/>
    <n v="33.049999999999997"/>
    <x v="1"/>
    <x v="24"/>
    <x v="1"/>
  </r>
  <r>
    <x v="2"/>
    <x v="1"/>
    <x v="16"/>
    <x v="21"/>
    <s v="PAYMENT THANKYOU . "/>
    <n v="77.39"/>
    <x v="1"/>
    <x v="24"/>
    <x v="1"/>
  </r>
  <r>
    <x v="2"/>
    <x v="1"/>
    <x v="16"/>
    <x v="21"/>
    <s v="Little Blackwood Queenstown "/>
    <n v="-58.31"/>
    <x v="3"/>
    <x v="8"/>
    <x v="8"/>
  </r>
  <r>
    <x v="2"/>
    <x v="1"/>
    <x v="16"/>
    <x v="21"/>
    <s v="Fergburger Queenstown "/>
    <n v="-11.66"/>
    <x v="3"/>
    <x v="8"/>
    <x v="8"/>
  </r>
  <r>
    <x v="2"/>
    <x v="1"/>
    <x v="16"/>
    <x v="21"/>
    <s v="Mrs Ferg Queenstown "/>
    <n v="-1.79"/>
    <x v="3"/>
    <x v="8"/>
    <x v="8"/>
  </r>
  <r>
    <x v="2"/>
    <x v="1"/>
    <x v="16"/>
    <x v="21"/>
    <s v="Fergbaker Queenstown "/>
    <n v="-7.44"/>
    <x v="3"/>
    <x v="8"/>
    <x v="8"/>
  </r>
  <r>
    <x v="2"/>
    <x v="1"/>
    <x v="16"/>
    <x v="21"/>
    <s v="ACCOUNT FEE CREDIT  "/>
    <n v="7.22"/>
    <x v="5"/>
    <x v="7"/>
    <x v="7"/>
  </r>
  <r>
    <x v="2"/>
    <x v="1"/>
    <x v="16"/>
    <x v="21"/>
    <s v=" +ACCOUNT FEE  "/>
    <n v="-31.95"/>
    <x v="5"/>
    <x v="7"/>
    <x v="7"/>
  </r>
  <r>
    <x v="2"/>
    <x v="1"/>
    <x v="16"/>
    <x v="21"/>
    <s v="PAYMENT THANKYOU . "/>
    <n v="36.18"/>
    <x v="1"/>
    <x v="24"/>
    <x v="1"/>
  </r>
  <r>
    <x v="2"/>
    <x v="1"/>
    <x v="16"/>
    <x v="21"/>
    <s v="PAYMENT THANKYOU . "/>
    <n v="2.78"/>
    <x v="1"/>
    <x v="24"/>
    <x v="1"/>
  </r>
  <r>
    <x v="2"/>
    <x v="1"/>
    <x v="16"/>
    <x v="21"/>
    <s v="PAYMENT THANKYOU . "/>
    <n v="21.24"/>
    <x v="1"/>
    <x v="24"/>
    <x v="1"/>
  </r>
  <r>
    <x v="2"/>
    <x v="1"/>
    <x v="16"/>
    <x v="21"/>
    <s v="KMART QUEENSTOWN "/>
    <n v="-4.3899999999999997"/>
    <x v="9"/>
    <x v="18"/>
    <x v="30"/>
  </r>
  <r>
    <x v="2"/>
    <x v="1"/>
    <x v="16"/>
    <x v="21"/>
    <s v="Pak N Save Queenstown Frankton "/>
    <n v="-13.77"/>
    <x v="0"/>
    <x v="0"/>
    <x v="0"/>
  </r>
  <r>
    <x v="2"/>
    <x v="1"/>
    <x v="16"/>
    <x v="21"/>
    <s v="Fergbaker Queenstown "/>
    <n v="-19.260000000000002"/>
    <x v="3"/>
    <x v="8"/>
    <x v="8"/>
  </r>
  <r>
    <x v="2"/>
    <x v="1"/>
    <x v="16"/>
    <x v="21"/>
    <s v="WOLF COFFEE CAFE ARROWTOWN "/>
    <n v="-0.05"/>
    <x v="3"/>
    <x v="8"/>
    <x v="8"/>
  </r>
  <r>
    <x v="2"/>
    <x v="1"/>
    <x v="16"/>
    <x v="21"/>
    <s v="Postmasters Arrowtown "/>
    <n v="-2.48"/>
    <x v="3"/>
    <x v="8"/>
    <x v="8"/>
  </r>
  <r>
    <x v="2"/>
    <x v="1"/>
    <x v="16"/>
    <x v="22"/>
    <s v="DF SOUVENIRS QN.TOWN QUEENSTOWN "/>
    <n v="-18.739999999999998"/>
    <x v="9"/>
    <x v="18"/>
    <x v="30"/>
  </r>
  <r>
    <x v="2"/>
    <x v="1"/>
    <x v="16"/>
    <x v="21"/>
    <s v="PAYMENT THANKYOU . "/>
    <n v="8.42"/>
    <x v="1"/>
    <x v="24"/>
    <x v="1"/>
  </r>
  <r>
    <x v="2"/>
    <x v="1"/>
    <x v="16"/>
    <x v="21"/>
    <s v="MOBIL QUEENSTOWN QUEENSTOWN "/>
    <n v="-30.9"/>
    <x v="6"/>
    <x v="9"/>
    <x v="14"/>
  </r>
  <r>
    <x v="2"/>
    <x v="1"/>
    <x v="16"/>
    <x v="21"/>
    <s v="THE TRADING POST GLENORCHY "/>
    <n v="-5.27"/>
    <x v="3"/>
    <x v="8"/>
    <x v="8"/>
  </r>
  <r>
    <x v="2"/>
    <x v="1"/>
    <x v="16"/>
    <x v="21"/>
    <s v="Qldc Parking Queenstown "/>
    <n v="-6.16"/>
    <x v="6"/>
    <x v="9"/>
    <x v="21"/>
  </r>
  <r>
    <x v="2"/>
    <x v="1"/>
    <x v="16"/>
    <x v="21"/>
    <s v="BOLD PEAK LODGE GLENORCHY "/>
    <n v="-3.61"/>
    <x v="3"/>
    <x v="8"/>
    <x v="8"/>
  </r>
  <r>
    <x v="2"/>
    <x v="1"/>
    <x v="16"/>
    <x v="21"/>
    <s v="BOLD PEAK LODGE GLENORCHY "/>
    <n v="-5.69"/>
    <x v="3"/>
    <x v="8"/>
    <x v="8"/>
  </r>
  <r>
    <x v="2"/>
    <x v="1"/>
    <x v="16"/>
    <x v="23"/>
    <s v="CW Sylvia Park Glen Innes "/>
    <n v="-10.66"/>
    <x v="9"/>
    <x v="18"/>
    <x v="30"/>
  </r>
  <r>
    <x v="2"/>
    <x v="1"/>
    <x v="16"/>
    <x v="22"/>
    <s v="PAYMENT THANKYOU . "/>
    <n v="21.75"/>
    <x v="1"/>
    <x v="24"/>
    <x v="1"/>
  </r>
  <r>
    <x v="2"/>
    <x v="1"/>
    <x v="16"/>
    <x v="24"/>
    <s v="HESARISUPERMARKETPANMURE AUCKLAND "/>
    <n v="-20.100000000000001"/>
    <x v="0"/>
    <x v="0"/>
    <x v="0"/>
  </r>
  <r>
    <x v="2"/>
    <x v="1"/>
    <x v="16"/>
    <x v="23"/>
    <s v="PAYMENT THANKYOU . "/>
    <n v="164.37"/>
    <x v="1"/>
    <x v="24"/>
    <x v="1"/>
  </r>
  <r>
    <x v="2"/>
    <x v="1"/>
    <x v="16"/>
    <x v="27"/>
    <s v="TAIPING ASIAN SUPERMARKET AUCKLAND "/>
    <n v="-10.88"/>
    <x v="0"/>
    <x v="0"/>
    <x v="0"/>
  </r>
  <r>
    <x v="2"/>
    <x v="1"/>
    <x v="16"/>
    <x v="25"/>
    <s v="PAYMENT THANKYOU . "/>
    <n v="237.38"/>
    <x v="1"/>
    <x v="24"/>
    <x v="1"/>
  </r>
  <r>
    <x v="2"/>
    <x v="1"/>
    <x v="16"/>
    <x v="25"/>
    <s v="Fraser Smith Lowe Denti Pakuranga AK "/>
    <n v="-134.12"/>
    <x v="10"/>
    <x v="20"/>
    <x v="27"/>
  </r>
  <r>
    <x v="2"/>
    <x v="1"/>
    <x v="16"/>
    <x v="25"/>
    <s v="PITA HOUSE PAKURANGA AUCKLAND "/>
    <n v="-1.99"/>
    <x v="0"/>
    <x v="0"/>
    <x v="0"/>
  </r>
  <r>
    <x v="2"/>
    <x v="1"/>
    <x v="16"/>
    <x v="27"/>
    <s v="DAPHNES BAR TAVERNA AUCKLAND "/>
    <n v="-4.72"/>
    <x v="3"/>
    <x v="8"/>
    <x v="8"/>
  </r>
  <r>
    <x v="2"/>
    <x v="1"/>
    <x v="16"/>
    <x v="29"/>
    <s v="INLAND REVENUE WELLINGTON "/>
    <n v="-1784.39"/>
    <x v="5"/>
    <x v="7"/>
    <x v="13"/>
  </r>
  <r>
    <x v="2"/>
    <x v="1"/>
    <x v="16"/>
    <x v="29"/>
    <s v="IRD Conv Fee AUCKLAND "/>
    <n v="-16.559999999999999"/>
    <x v="5"/>
    <x v="7"/>
    <x v="13"/>
  </r>
  <r>
    <x v="2"/>
    <x v="1"/>
    <x v="16"/>
    <x v="27"/>
    <s v="NEW WORLD STONEFIELDS AUCKLAND NZ "/>
    <n v="-45"/>
    <x v="0"/>
    <x v="0"/>
    <x v="0"/>
  </r>
  <r>
    <x v="2"/>
    <x v="1"/>
    <x v="16"/>
    <x v="28"/>
    <s v="PAYMENT THANKYOU . "/>
    <n v="6.36"/>
    <x v="1"/>
    <x v="24"/>
    <x v="1"/>
  </r>
  <r>
    <x v="2"/>
    <x v="1"/>
    <x v="16"/>
    <x v="27"/>
    <s v="PAYMENT THANKYOU . "/>
    <n v="43.37"/>
    <x v="1"/>
    <x v="24"/>
    <x v="1"/>
  </r>
  <r>
    <x v="2"/>
    <x v="1"/>
    <x v="16"/>
    <x v="27"/>
    <s v="PAYMENT THANKYOU . "/>
    <n v="2757.42"/>
    <x v="1"/>
    <x v="24"/>
    <x v="1"/>
  </r>
  <r>
    <x v="2"/>
    <x v="1"/>
    <x v="16"/>
    <x v="27"/>
    <s v="CW Wstfield Newmarket Auckland "/>
    <n v="-0.86"/>
    <x v="9"/>
    <x v="18"/>
    <x v="30"/>
  </r>
  <r>
    <x v="2"/>
    <x v="1"/>
    <x v="16"/>
    <x v="28"/>
    <s v="PAYMENT THANKYOU . "/>
    <n v="15.25"/>
    <x v="1"/>
    <x v="24"/>
    <x v="1"/>
  </r>
  <r>
    <x v="2"/>
    <x v="1"/>
    <x v="16"/>
    <x v="28"/>
    <s v="AT Hop Auckland Henderson "/>
    <n v="-14.11"/>
    <x v="6"/>
    <x v="9"/>
    <x v="33"/>
  </r>
  <r>
    <x v="2"/>
    <x v="1"/>
    <x v="16"/>
    <x v="31"/>
    <s v="PAYMENT THANKYOU . "/>
    <n v="12.88"/>
    <x v="1"/>
    <x v="24"/>
    <x v="1"/>
  </r>
  <r>
    <x v="2"/>
    <x v="1"/>
    <x v="16"/>
    <x v="31"/>
    <s v="PAYMENT THANKYOU . "/>
    <n v="7.43"/>
    <x v="1"/>
    <x v="24"/>
    <x v="1"/>
  </r>
  <r>
    <x v="2"/>
    <x v="1"/>
    <x v="16"/>
    <x v="31"/>
    <s v="SKINNY AUCKLAND "/>
    <n v="-0.54"/>
    <x v="7"/>
    <x v="10"/>
    <x v="10"/>
  </r>
  <r>
    <x v="2"/>
    <x v="1"/>
    <x v="16"/>
    <x v="31"/>
    <s v="SKINNY AUCKLAND "/>
    <n v="-7.68"/>
    <x v="7"/>
    <x v="10"/>
    <x v="10"/>
  </r>
  <r>
    <x v="2"/>
    <x v="1"/>
    <x v="16"/>
    <x v="31"/>
    <s v="FOREIGN CURRENCY TXN FEE  "/>
    <n v="-7.0000000000000007E-2"/>
    <x v="5"/>
    <x v="7"/>
    <x v="7"/>
  </r>
  <r>
    <x v="2"/>
    <x v="1"/>
    <x v="16"/>
    <x v="31"/>
    <s v="CURRENCY CONV ASSESSMENT  "/>
    <n v="-7.0000000000000007E-2"/>
    <x v="5"/>
    <x v="7"/>
    <x v="7"/>
  </r>
  <r>
    <x v="2"/>
    <x v="1"/>
    <x v="16"/>
    <x v="31"/>
    <s v="US MOBILE* US MOBILE WWW.USMOBILE. NY;4.34 US DOLLAR  $ at 0.6327"/>
    <n v="-7.42"/>
    <x v="7"/>
    <x v="13"/>
    <x v="15"/>
  </r>
  <r>
    <x v="2"/>
    <x v="1"/>
    <x v="16"/>
    <x v="30"/>
    <s v="PAYMENT THANKYOU . "/>
    <n v="1.86"/>
    <x v="1"/>
    <x v="24"/>
    <x v="1"/>
  </r>
  <r>
    <x v="2"/>
    <x v="1"/>
    <x v="16"/>
    <x v="30"/>
    <s v="PAYMENT THANKYOU . "/>
    <n v="3.59"/>
    <x v="1"/>
    <x v="24"/>
    <x v="1"/>
  </r>
  <r>
    <x v="2"/>
    <x v="1"/>
    <x v="16"/>
    <x v="32"/>
    <s v="PAYMENT THANKYOU . "/>
    <n v="0.04"/>
    <x v="1"/>
    <x v="24"/>
    <x v="1"/>
  </r>
  <r>
    <x v="2"/>
    <x v="1"/>
    <x v="16"/>
    <x v="32"/>
    <s v="Mecca Commercial Bay Auckland "/>
    <n v="-4.96"/>
    <x v="9"/>
    <x v="29"/>
    <x v="48"/>
  </r>
  <r>
    <x v="2"/>
    <x v="1"/>
    <x v="16"/>
    <x v="32"/>
    <s v="PITA HOUSE PAKURANGA AUCKLAND "/>
    <n v="-19.53"/>
    <x v="0"/>
    <x v="0"/>
    <x v="0"/>
  </r>
  <r>
    <x v="2"/>
    <x v="1"/>
    <x v="16"/>
    <x v="32"/>
    <s v="TAIPING ASIAN SUPERMARKET AUCKLAND "/>
    <n v="-13.28"/>
    <x v="0"/>
    <x v="0"/>
    <x v="0"/>
  </r>
  <r>
    <x v="2"/>
    <x v="1"/>
    <x v="16"/>
    <x v="32"/>
    <s v="Downtown Car Park Auckland "/>
    <n v="-5.91"/>
    <x v="6"/>
    <x v="9"/>
    <x v="21"/>
  </r>
  <r>
    <x v="2"/>
    <x v="1"/>
    <x v="16"/>
    <x v="33"/>
    <s v="AIA NEW ZEALAND AUCKLAND "/>
    <n v="-36.119999999999997"/>
    <x v="3"/>
    <x v="6"/>
    <x v="6"/>
  </r>
  <r>
    <x v="2"/>
    <x v="1"/>
    <x v="16"/>
    <x v="585"/>
    <s v="LE PETITE FOURCHETTE AUCKLAND "/>
    <n v="-9.9600000000000009"/>
    <x v="0"/>
    <x v="0"/>
    <x v="0"/>
  </r>
  <r>
    <x v="2"/>
    <x v="1"/>
    <x v="16"/>
    <x v="32"/>
    <s v="PAYMENT THANKYOU . "/>
    <n v="84.74"/>
    <x v="1"/>
    <x v="24"/>
    <x v="1"/>
  </r>
  <r>
    <x v="2"/>
    <x v="1"/>
    <x v="16"/>
    <x v="32"/>
    <s v="PAYMENT THANKYOU . "/>
    <n v="5.94"/>
    <x v="1"/>
    <x v="24"/>
    <x v="1"/>
  </r>
  <r>
    <x v="2"/>
    <x v="1"/>
    <x v="16"/>
    <x v="585"/>
    <s v="PAYMENT THANKYOU . "/>
    <n v="89.15"/>
    <x v="1"/>
    <x v="24"/>
    <x v="1"/>
  </r>
  <r>
    <x v="2"/>
    <x v="1"/>
    <x v="16"/>
    <x v="34"/>
    <s v="CW Wstfield Newmarket Auckland "/>
    <n v="-13.33"/>
    <x v="9"/>
    <x v="18"/>
    <x v="30"/>
  </r>
  <r>
    <x v="2"/>
    <x v="1"/>
    <x v="16"/>
    <x v="34"/>
    <s v="GONG CHA WESTFIELD NEWMAR AUCKLAND "/>
    <n v="-2.4"/>
    <x v="3"/>
    <x v="8"/>
    <x v="8"/>
  </r>
  <r>
    <x v="2"/>
    <x v="1"/>
    <x v="16"/>
    <x v="34"/>
    <s v="TSUJIRI AUCKLAND "/>
    <n v="-21.22"/>
    <x v="0"/>
    <x v="0"/>
    <x v="0"/>
  </r>
  <r>
    <x v="2"/>
    <x v="1"/>
    <x v="16"/>
    <x v="38"/>
    <s v="DBS*Jetts Remuera North Harbour "/>
    <n v="-7.87"/>
    <x v="3"/>
    <x v="14"/>
    <x v="17"/>
  </r>
  <r>
    <x v="2"/>
    <x v="1"/>
    <x v="16"/>
    <x v="35"/>
    <s v="PAK N SAVE SYLVIA PARK AUCKLAND "/>
    <n v="-89.66"/>
    <x v="0"/>
    <x v="0"/>
    <x v="0"/>
  </r>
  <r>
    <x v="2"/>
    <x v="1"/>
    <x v="16"/>
    <x v="35"/>
    <s v="CW Sylvia Park Glen Innes "/>
    <n v="-60.13"/>
    <x v="9"/>
    <x v="18"/>
    <x v="30"/>
  </r>
  <r>
    <x v="2"/>
    <x v="1"/>
    <x v="16"/>
    <x v="35"/>
    <s v="PAYMENT THANKYOU . "/>
    <n v="116.29"/>
    <x v="1"/>
    <x v="24"/>
    <x v="1"/>
  </r>
  <r>
    <x v="2"/>
    <x v="1"/>
    <x v="16"/>
    <x v="38"/>
    <s v="PAYMENT THANKYOU . "/>
    <n v="293.60000000000002"/>
    <x v="1"/>
    <x v="24"/>
    <x v="1"/>
  </r>
  <r>
    <x v="2"/>
    <x v="1"/>
    <x v="16"/>
    <x v="38"/>
    <s v="TOWER INSURANCE - EIS 093692079 "/>
    <n v="-165.59"/>
    <x v="4"/>
    <x v="11"/>
    <x v="11"/>
  </r>
  <r>
    <x v="2"/>
    <x v="1"/>
    <x v="16"/>
    <x v="38"/>
    <s v="TOWER INSURANCE - EIS 093692079 "/>
    <n v="-36.630000000000003"/>
    <x v="2"/>
    <x v="33"/>
    <x v="49"/>
  </r>
  <r>
    <x v="2"/>
    <x v="1"/>
    <x v="16"/>
    <x v="38"/>
    <s v="TOWER INSURANCE - EIS 093692079 "/>
    <n v="-106.6"/>
    <x v="12"/>
    <x v="33"/>
    <x v="49"/>
  </r>
  <r>
    <x v="2"/>
    <x v="1"/>
    <x v="16"/>
    <x v="38"/>
    <s v="PAYMENT THANKYOU . "/>
    <n v="36.92"/>
    <x v="1"/>
    <x v="24"/>
    <x v="1"/>
  </r>
  <r>
    <x v="2"/>
    <x v="1"/>
    <x v="16"/>
    <x v="38"/>
    <s v="FLEXI BIN AUCKLAND "/>
    <n v="-111.38"/>
    <x v="4"/>
    <x v="12"/>
    <x v="12"/>
  </r>
  <r>
    <x v="2"/>
    <x v="1"/>
    <x v="16"/>
    <x v="271"/>
    <s v="PITA HOUSE PAKURANGA AUCKLAND "/>
    <n v="-56.14"/>
    <x v="0"/>
    <x v="0"/>
    <x v="0"/>
  </r>
  <r>
    <x v="2"/>
    <x v="1"/>
    <x v="16"/>
    <x v="271"/>
    <s v="HESARISUPERMARKETPANMURE AUCKLAND "/>
    <n v="-55.14"/>
    <x v="0"/>
    <x v="0"/>
    <x v="0"/>
  </r>
  <r>
    <x v="2"/>
    <x v="1"/>
    <x v="16"/>
    <x v="41"/>
    <s v="DBS*Jetts Remuera North Harbour "/>
    <n v="-1.18"/>
    <x v="3"/>
    <x v="14"/>
    <x v="17"/>
  </r>
  <r>
    <x v="2"/>
    <x v="1"/>
    <x v="16"/>
    <x v="41"/>
    <s v="KMART AUCKLAND "/>
    <n v="-15.32"/>
    <x v="9"/>
    <x v="18"/>
    <x v="30"/>
  </r>
  <r>
    <x v="2"/>
    <x v="1"/>
    <x v="16"/>
    <x v="621"/>
    <s v="AKL COUNCIL ONLINE AUCKLAND "/>
    <n v="-1918.2"/>
    <x v="4"/>
    <x v="28"/>
    <x v="43"/>
  </r>
  <r>
    <x v="2"/>
    <x v="1"/>
    <x v="16"/>
    <x v="621"/>
    <s v="Auckland Council Conv Fee AUCKLAND "/>
    <n v="-55.18"/>
    <x v="12"/>
    <x v="28"/>
    <x v="43"/>
  </r>
  <r>
    <x v="2"/>
    <x v="1"/>
    <x v="16"/>
    <x v="621"/>
    <s v="SKINNY AUCKLAND "/>
    <n v="-6.11"/>
    <x v="7"/>
    <x v="10"/>
    <x v="10"/>
  </r>
  <r>
    <x v="2"/>
    <x v="1"/>
    <x v="16"/>
    <x v="41"/>
    <s v="PAYMENT THANKYOU . "/>
    <n v="98.78"/>
    <x v="1"/>
    <x v="24"/>
    <x v="1"/>
  </r>
  <r>
    <x v="2"/>
    <x v="1"/>
    <x v="16"/>
    <x v="621"/>
    <s v="PAYMENT THANKYOU . "/>
    <n v="2411.77"/>
    <x v="1"/>
    <x v="24"/>
    <x v="1"/>
  </r>
  <r>
    <x v="2"/>
    <x v="1"/>
    <x v="16"/>
    <x v="621"/>
    <s v="PAYMENT THANKYOU . "/>
    <n v="295.75"/>
    <x v="1"/>
    <x v="24"/>
    <x v="1"/>
  </r>
  <r>
    <x v="2"/>
    <x v="1"/>
    <x v="16"/>
    <x v="621"/>
    <s v="Pak N Save Royal Oak Royal Oak "/>
    <n v="-136.78"/>
    <x v="0"/>
    <x v="0"/>
    <x v="0"/>
  </r>
  <r>
    <x v="2"/>
    <x v="1"/>
    <x v="16"/>
    <x v="621"/>
    <s v="NEW WORLD MT ROSKILL AUCKLAND "/>
    <n v="-97.59"/>
    <x v="0"/>
    <x v="0"/>
    <x v="0"/>
  </r>
  <r>
    <x v="2"/>
    <x v="1"/>
    <x v="16"/>
    <x v="621"/>
    <s v="BAKLAWA CAFE AUCKLAND "/>
    <n v="-32.229999999999997"/>
    <x v="3"/>
    <x v="8"/>
    <x v="8"/>
  </r>
  <r>
    <x v="2"/>
    <x v="1"/>
    <x v="16"/>
    <x v="621"/>
    <s v="BAKLAWA CAFE AUCKLAND "/>
    <n v="-51.98"/>
    <x v="3"/>
    <x v="8"/>
    <x v="8"/>
  </r>
  <r>
    <x v="2"/>
    <x v="1"/>
    <x v="16"/>
    <x v="621"/>
    <s v="SKINNY AUCKLAND "/>
    <n v="-10.46"/>
    <x v="7"/>
    <x v="10"/>
    <x v="10"/>
  </r>
  <r>
    <x v="2"/>
    <x v="1"/>
    <x v="16"/>
    <x v="622"/>
    <s v="AA IDP ONLINE AUCKLAND "/>
    <n v="-25.44"/>
    <x v="5"/>
    <x v="7"/>
    <x v="31"/>
  </r>
  <r>
    <x v="2"/>
    <x v="1"/>
    <x v="16"/>
    <x v="622"/>
    <s v="LE PETITE FOURCHETTE AUCKLAND "/>
    <n v="-4.1399999999999997"/>
    <x v="0"/>
    <x v="0"/>
    <x v="0"/>
  </r>
  <r>
    <x v="2"/>
    <x v="1"/>
    <x v="16"/>
    <x v="44"/>
    <s v="FOREIGN CURRENCY TXN FEE  "/>
    <n v="-0.15"/>
    <x v="5"/>
    <x v="7"/>
    <x v="7"/>
  </r>
  <r>
    <x v="2"/>
    <x v="1"/>
    <x v="16"/>
    <x v="44"/>
    <s v="CURRENCY CONV ASSESSMENT  "/>
    <n v="-0.17"/>
    <x v="5"/>
    <x v="7"/>
    <x v="7"/>
  </r>
  <r>
    <x v="2"/>
    <x v="1"/>
    <x v="16"/>
    <x v="44"/>
    <s v="US MOBILE* US MOBILE WWW.USMOBILE. NY;8.57 US DOLLAR  $ at 0.6031"/>
    <n v="-3.58"/>
    <x v="7"/>
    <x v="13"/>
    <x v="15"/>
  </r>
  <r>
    <x v="2"/>
    <x v="1"/>
    <x v="16"/>
    <x v="43"/>
    <s v="FMK EPSOM AUCKLAND "/>
    <n v="-104.29"/>
    <x v="9"/>
    <x v="29"/>
    <x v="44"/>
  </r>
  <r>
    <x v="2"/>
    <x v="1"/>
    <x v="16"/>
    <x v="43"/>
    <s v="CORNWALL PARK CAFE AUCKLAND "/>
    <n v="-10.71"/>
    <x v="3"/>
    <x v="8"/>
    <x v="8"/>
  </r>
  <r>
    <x v="2"/>
    <x v="1"/>
    <x v="16"/>
    <x v="622"/>
    <s v="HESARI BAKERY LIMITED AUCKLAND "/>
    <n v="-27.89"/>
    <x v="0"/>
    <x v="0"/>
    <x v="0"/>
  </r>
  <r>
    <x v="2"/>
    <x v="1"/>
    <x v="16"/>
    <x v="44"/>
    <s v="HESARISUPERMARKETPANMURE AUCKLAND "/>
    <n v="-7.09"/>
    <x v="0"/>
    <x v="0"/>
    <x v="0"/>
  </r>
  <r>
    <x v="2"/>
    <x v="1"/>
    <x v="16"/>
    <x v="43"/>
    <s v="PAYMENT THANKYOU . "/>
    <n v="369.37"/>
    <x v="1"/>
    <x v="24"/>
    <x v="1"/>
  </r>
  <r>
    <x v="2"/>
    <x v="1"/>
    <x v="16"/>
    <x v="43"/>
    <s v="Harris Road Pharmacy Auckland "/>
    <n v="-24.99"/>
    <x v="10"/>
    <x v="20"/>
    <x v="27"/>
  </r>
  <r>
    <x v="2"/>
    <x v="1"/>
    <x v="16"/>
    <x v="586"/>
    <s v="PAK N SAVE SYLVIA PARK AUCKLAND "/>
    <n v="-41.97"/>
    <x v="0"/>
    <x v="0"/>
    <x v="0"/>
  </r>
  <r>
    <x v="2"/>
    <x v="1"/>
    <x v="16"/>
    <x v="586"/>
    <s v="Mecca Sylvia Park Mt Wellington "/>
    <n v="-5.28"/>
    <x v="9"/>
    <x v="29"/>
    <x v="48"/>
  </r>
  <r>
    <x v="2"/>
    <x v="1"/>
    <x v="16"/>
    <x v="586"/>
    <s v="DBS*Jetts Remuera North Harbour "/>
    <n v="-4.78"/>
    <x v="3"/>
    <x v="14"/>
    <x v="17"/>
  </r>
  <r>
    <x v="2"/>
    <x v="1"/>
    <x v="16"/>
    <x v="586"/>
    <s v="CW Sylvia Park Glen Innes "/>
    <n v="-0.1"/>
    <x v="9"/>
    <x v="18"/>
    <x v="30"/>
  </r>
  <r>
    <x v="2"/>
    <x v="1"/>
    <x v="16"/>
    <x v="586"/>
    <s v="WHITCOULLS 284 AUCKLAND "/>
    <n v="-4.83"/>
    <x v="3"/>
    <x v="8"/>
    <x v="8"/>
  </r>
  <r>
    <x v="2"/>
    <x v="1"/>
    <x v="16"/>
    <x v="586"/>
    <s v="PAYMENT THANKYOU . "/>
    <n v="166.71"/>
    <x v="1"/>
    <x v="24"/>
    <x v="1"/>
  </r>
  <r>
    <x v="2"/>
    <x v="1"/>
    <x v="16"/>
    <x v="47"/>
    <s v="PAYMENT THANKYOU . "/>
    <n v="87.07"/>
    <x v="1"/>
    <x v="24"/>
    <x v="1"/>
  </r>
  <r>
    <x v="2"/>
    <x v="1"/>
    <x v="16"/>
    <x v="47"/>
    <s v="PAYMENT THANKYOU . "/>
    <n v="78.989999999999995"/>
    <x v="1"/>
    <x v="24"/>
    <x v="1"/>
  </r>
  <r>
    <x v="2"/>
    <x v="1"/>
    <x v="16"/>
    <x v="47"/>
    <s v="AELIA DUTY FREE DEPARTURE AUCKLAND "/>
    <n v="-44.13"/>
    <x v="3"/>
    <x v="6"/>
    <x v="6"/>
  </r>
  <r>
    <x v="2"/>
    <x v="1"/>
    <x v="16"/>
    <x v="47"/>
    <s v="BETTER BURGER AUCKLAND "/>
    <n v="-29.76"/>
    <x v="3"/>
    <x v="8"/>
    <x v="8"/>
  </r>
  <r>
    <x v="2"/>
    <x v="1"/>
    <x v="16"/>
    <x v="47"/>
    <s v="AELIA DUTY FREE DEPARTURE AUCKLAND "/>
    <n v="-12.23"/>
    <x v="3"/>
    <x v="6"/>
    <x v="6"/>
  </r>
  <r>
    <x v="2"/>
    <x v="1"/>
    <x v="16"/>
    <x v="47"/>
    <s v="SKINNY AUCKLAND "/>
    <n v="-1.24"/>
    <x v="7"/>
    <x v="10"/>
    <x v="10"/>
  </r>
  <r>
    <x v="2"/>
    <x v="1"/>
    <x v="16"/>
    <x v="47"/>
    <s v="OLA HELP.OLA.CO.NZ AUCKLAND "/>
    <n v="-32.33"/>
    <x v="6"/>
    <x v="9"/>
    <x v="33"/>
  </r>
  <r>
    <x v="2"/>
    <x v="1"/>
    <x v="16"/>
    <x v="47"/>
    <s v="UBER   *TRIP HELP.UBER.COM "/>
    <n v="-28.36"/>
    <x v="6"/>
    <x v="9"/>
    <x v="33"/>
  </r>
  <r>
    <x v="2"/>
    <x v="1"/>
    <x v="16"/>
    <x v="47"/>
    <s v="FOREIGN CURRENCY TXN FEE  "/>
    <n v="-0.33"/>
    <x v="5"/>
    <x v="7"/>
    <x v="7"/>
  </r>
  <r>
    <x v="2"/>
    <x v="1"/>
    <x v="16"/>
    <x v="47"/>
    <s v="CURRENCY CONV ASSESSMENT  "/>
    <n v="-0.21"/>
    <x v="5"/>
    <x v="7"/>
    <x v="7"/>
  </r>
  <r>
    <x v="2"/>
    <x v="1"/>
    <x v="16"/>
    <x v="47"/>
    <s v="REX BAKERY North Vancouv BC;25.28 CANADIAN DOLLAR at 0.8077"/>
    <n v="-2.75"/>
    <x v="0"/>
    <x v="0"/>
    <x v="0"/>
  </r>
  <r>
    <x v="2"/>
    <x v="1"/>
    <x v="16"/>
    <x v="47"/>
    <s v="TEA GARDENS AUCKLAND "/>
    <n v="-7.84"/>
    <x v="3"/>
    <x v="8"/>
    <x v="8"/>
  </r>
  <r>
    <x v="2"/>
    <x v="1"/>
    <x v="16"/>
    <x v="47"/>
    <s v="SKINNY AUCKLAND "/>
    <n v="-5.3"/>
    <x v="7"/>
    <x v="10"/>
    <x v="10"/>
  </r>
  <r>
    <x v="2"/>
    <x v="1"/>
    <x v="16"/>
    <x v="48"/>
    <s v="APPLE.COM/BILL SYDNEY "/>
    <n v="-22.36"/>
    <x v="7"/>
    <x v="16"/>
    <x v="19"/>
  </r>
  <r>
    <x v="2"/>
    <x v="1"/>
    <x v="16"/>
    <x v="49"/>
    <s v="FOREIGN CURRENCY TXN FEE  "/>
    <n v="-0.03"/>
    <x v="5"/>
    <x v="7"/>
    <x v="7"/>
  </r>
  <r>
    <x v="2"/>
    <x v="1"/>
    <x v="16"/>
    <x v="49"/>
    <s v="CURRENCY CONV ASSESSMENT  "/>
    <n v="-0.01"/>
    <x v="5"/>
    <x v="7"/>
    <x v="7"/>
  </r>
  <r>
    <x v="2"/>
    <x v="1"/>
    <x v="16"/>
    <x v="49"/>
    <s v="US MOBILE* US MOBILE WWW.USMOBILE. NY;3.50 US DOLLAR  $ at 0.6034"/>
    <n v="-7.88"/>
    <x v="7"/>
    <x v="13"/>
    <x v="15"/>
  </r>
  <r>
    <x v="2"/>
    <x v="1"/>
    <x v="16"/>
    <x v="48"/>
    <s v="TOWER INSURANCE - EIS 093692079 "/>
    <n v="-51.31"/>
    <x v="4"/>
    <x v="34"/>
    <x v="50"/>
  </r>
  <r>
    <x v="2"/>
    <x v="1"/>
    <x v="16"/>
    <x v="48"/>
    <s v="PAYMENT THANKYOU . "/>
    <n v="52.92"/>
    <x v="1"/>
    <x v="24"/>
    <x v="1"/>
  </r>
  <r>
    <x v="2"/>
    <x v="1"/>
    <x v="16"/>
    <x v="588"/>
    <s v="FOREIGN CURRENCY TXN FEE  "/>
    <n v="-0.08"/>
    <x v="5"/>
    <x v="7"/>
    <x v="7"/>
  </r>
  <r>
    <x v="2"/>
    <x v="1"/>
    <x v="16"/>
    <x v="588"/>
    <s v="CURRENCY CONV ASSESSMENT  "/>
    <n v="-0.04"/>
    <x v="5"/>
    <x v="7"/>
    <x v="7"/>
  </r>
  <r>
    <x v="2"/>
    <x v="1"/>
    <x v="16"/>
    <x v="588"/>
    <s v="UBER* TRIP TORONTO ON;7.56 CANADIAN DOLLAR at 0.8025"/>
    <n v="-7.26"/>
    <x v="6"/>
    <x v="9"/>
    <x v="33"/>
  </r>
  <r>
    <x v="2"/>
    <x v="1"/>
    <x v="16"/>
    <x v="50"/>
    <s v="DBS*Jetts Remuera North Harbour "/>
    <n v="-7.29"/>
    <x v="3"/>
    <x v="14"/>
    <x v="17"/>
  </r>
  <r>
    <x v="2"/>
    <x v="1"/>
    <x v="16"/>
    <x v="49"/>
    <s v="PAYMENT THANKYOU . "/>
    <n v="8.23"/>
    <x v="1"/>
    <x v="24"/>
    <x v="1"/>
  </r>
  <r>
    <x v="2"/>
    <x v="1"/>
    <x v="16"/>
    <x v="50"/>
    <s v="PAYMENT THANKYOU . "/>
    <n v="7.0000000000000007E-2"/>
    <x v="1"/>
    <x v="24"/>
    <x v="1"/>
  </r>
  <r>
    <x v="2"/>
    <x v="1"/>
    <x v="16"/>
    <x v="50"/>
    <s v="PAYMENT THANKYOU . "/>
    <n v="4.8099999999999996"/>
    <x v="1"/>
    <x v="24"/>
    <x v="1"/>
  </r>
  <r>
    <x v="2"/>
    <x v="1"/>
    <x v="16"/>
    <x v="53"/>
    <s v="FOREIGN CURRENCY TXN FEE  "/>
    <n v="-0.22"/>
    <x v="5"/>
    <x v="7"/>
    <x v="7"/>
  </r>
  <r>
    <x v="2"/>
    <x v="1"/>
    <x v="16"/>
    <x v="53"/>
    <s v="CURRENCY CONV ASSESSMENT  "/>
    <n v="-0.08"/>
    <x v="5"/>
    <x v="7"/>
    <x v="7"/>
  </r>
  <r>
    <x v="2"/>
    <x v="1"/>
    <x v="16"/>
    <x v="53"/>
    <s v="UBER CANADA/UBERTRIP TORONTO ON;19.12 CANADIAN DOLLAR at 0.8085"/>
    <n v="-30"/>
    <x v="6"/>
    <x v="9"/>
    <x v="33"/>
  </r>
  <r>
    <x v="2"/>
    <x v="1"/>
    <x v="16"/>
    <x v="53"/>
    <s v="FOREIGN CURRENCY TXN FEE  "/>
    <n v="-0.04"/>
    <x v="5"/>
    <x v="7"/>
    <x v="7"/>
  </r>
  <r>
    <x v="2"/>
    <x v="1"/>
    <x v="16"/>
    <x v="53"/>
    <s v="CURRENCY CONV ASSESSMENT  "/>
    <n v="-0.11"/>
    <x v="5"/>
    <x v="7"/>
    <x v="7"/>
  </r>
  <r>
    <x v="2"/>
    <x v="1"/>
    <x v="16"/>
    <x v="53"/>
    <s v="UBER* TRIP TORONTO ON;30.67 CANADIAN DOLLAR at 0.8086"/>
    <n v="-26.73"/>
    <x v="6"/>
    <x v="9"/>
    <x v="33"/>
  </r>
  <r>
    <x v="2"/>
    <x v="1"/>
    <x v="16"/>
    <x v="52"/>
    <s v="PAYMENT THANKYOU . "/>
    <n v="4.8"/>
    <x v="1"/>
    <x v="24"/>
    <x v="1"/>
  </r>
  <r>
    <x v="2"/>
    <x v="1"/>
    <x v="16"/>
    <x v="589"/>
    <s v="AIA NEW ZEALAND AUCKLAND "/>
    <n v="-7.58"/>
    <x v="3"/>
    <x v="6"/>
    <x v="6"/>
  </r>
  <r>
    <x v="2"/>
    <x v="1"/>
    <x v="16"/>
    <x v="589"/>
    <s v="DBS*Jetts Remuera North Harbour "/>
    <n v="-15.11"/>
    <x v="3"/>
    <x v="14"/>
    <x v="17"/>
  </r>
  <r>
    <x v="2"/>
    <x v="1"/>
    <x v="16"/>
    <x v="520"/>
    <s v="PAYMENT THANKYOU . "/>
    <n v="85.29"/>
    <x v="1"/>
    <x v="24"/>
    <x v="1"/>
  </r>
  <r>
    <x v="2"/>
    <x v="1"/>
    <x v="16"/>
    <x v="623"/>
    <s v="FOREIGN CURRENCY TXN FEE  "/>
    <n v="-0.34"/>
    <x v="5"/>
    <x v="7"/>
    <x v="7"/>
  </r>
  <r>
    <x v="2"/>
    <x v="1"/>
    <x v="16"/>
    <x v="623"/>
    <s v="CURRENCY CONV ASSESSMENT  "/>
    <n v="-0.05"/>
    <x v="5"/>
    <x v="7"/>
    <x v="7"/>
  </r>
  <r>
    <x v="2"/>
    <x v="1"/>
    <x v="16"/>
    <x v="623"/>
    <s v="UBER CANADA/UBERTRIP TORONTO ON;23.03 CANADIAN DOLLAR at 0.8146"/>
    <n v="-40.54"/>
    <x v="6"/>
    <x v="9"/>
    <x v="33"/>
  </r>
  <r>
    <x v="2"/>
    <x v="1"/>
    <x v="16"/>
    <x v="520"/>
    <s v="PAYMENT THANKYOU . "/>
    <n v="11.71"/>
    <x v="1"/>
    <x v="24"/>
    <x v="1"/>
  </r>
  <r>
    <x v="2"/>
    <x v="1"/>
    <x v="16"/>
    <x v="55"/>
    <s v="SKINNY AUCKLAND "/>
    <n v="-6.64"/>
    <x v="7"/>
    <x v="10"/>
    <x v="10"/>
  </r>
  <r>
    <x v="2"/>
    <x v="1"/>
    <x v="16"/>
    <x v="56"/>
    <s v="TOWER INSURANCE - EIS 093692079 "/>
    <n v="-29.94"/>
    <x v="4"/>
    <x v="11"/>
    <x v="11"/>
  </r>
  <r>
    <x v="2"/>
    <x v="1"/>
    <x v="16"/>
    <x v="56"/>
    <s v="TOWER INSURANCE - EIS 093692079 "/>
    <n v="-77.78"/>
    <x v="2"/>
    <x v="33"/>
    <x v="49"/>
  </r>
  <r>
    <x v="2"/>
    <x v="1"/>
    <x v="16"/>
    <x v="56"/>
    <s v="TOWER INSURANCE - EIS 093692079 "/>
    <n v="-25.25"/>
    <x v="12"/>
    <x v="33"/>
    <x v="49"/>
  </r>
  <r>
    <x v="2"/>
    <x v="1"/>
    <x v="16"/>
    <x v="55"/>
    <s v="PAYMENT THANKYOU . "/>
    <n v="346.71"/>
    <x v="1"/>
    <x v="24"/>
    <x v="1"/>
  </r>
  <r>
    <x v="2"/>
    <x v="1"/>
    <x v="16"/>
    <x v="591"/>
    <s v="SKINNY AUCKLAND "/>
    <n v="-16.66"/>
    <x v="7"/>
    <x v="10"/>
    <x v="10"/>
  </r>
  <r>
    <x v="2"/>
    <x v="1"/>
    <x v="16"/>
    <x v="591"/>
    <s v="DBS*Jetts Remuera North Harbour "/>
    <n v="-13"/>
    <x v="3"/>
    <x v="14"/>
    <x v="17"/>
  </r>
  <r>
    <x v="2"/>
    <x v="1"/>
    <x v="16"/>
    <x v="591"/>
    <s v="PAYMENT THANKYOU . "/>
    <n v="25.94"/>
    <x v="1"/>
    <x v="24"/>
    <x v="1"/>
  </r>
  <r>
    <x v="2"/>
    <x v="1"/>
    <x v="16"/>
    <x v="59"/>
    <s v="PAYMENT THANKYOU . "/>
    <n v="15.04"/>
    <x v="1"/>
    <x v="24"/>
    <x v="1"/>
  </r>
  <r>
    <x v="2"/>
    <x v="1"/>
    <x v="16"/>
    <x v="59"/>
    <s v="SKINNY AUCKLAND "/>
    <n v="-21.22"/>
    <x v="7"/>
    <x v="10"/>
    <x v="10"/>
  </r>
  <r>
    <x v="2"/>
    <x v="1"/>
    <x v="16"/>
    <x v="61"/>
    <s v="UBER   *TRIP HELP.UBER.COM "/>
    <n v="-21.85"/>
    <x v="6"/>
    <x v="9"/>
    <x v="33"/>
  </r>
  <r>
    <x v="2"/>
    <x v="1"/>
    <x v="16"/>
    <x v="59"/>
    <s v="PAYMENT THANKYOU . "/>
    <n v="51.31"/>
    <x v="1"/>
    <x v="24"/>
    <x v="1"/>
  </r>
  <r>
    <x v="2"/>
    <x v="1"/>
    <x v="16"/>
    <x v="61"/>
    <s v="MARRAM COMMUNITY TRUST WELLINGTON "/>
    <n v="-92.42"/>
    <x v="3"/>
    <x v="6"/>
    <x v="6"/>
  </r>
  <r>
    <x v="2"/>
    <x v="1"/>
    <x v="16"/>
    <x v="61"/>
    <s v="NZ EXHIBITION AND EVENTS AUCKLAND "/>
    <n v="-0.62"/>
    <x v="3"/>
    <x v="3"/>
    <x v="3"/>
  </r>
  <r>
    <x v="2"/>
    <x v="1"/>
    <x v="16"/>
    <x v="60"/>
    <s v="PAYMENT THANKYOU . "/>
    <n v="28.23"/>
    <x v="1"/>
    <x v="24"/>
    <x v="1"/>
  </r>
  <r>
    <x v="2"/>
    <x v="1"/>
    <x v="16"/>
    <x v="60"/>
    <s v="PAYMENT THANKYOU . "/>
    <n v="10.37"/>
    <x v="1"/>
    <x v="24"/>
    <x v="1"/>
  </r>
  <r>
    <x v="2"/>
    <x v="1"/>
    <x v="16"/>
    <x v="592"/>
    <s v="FOREIGN CURRENCY TXN FEE  "/>
    <n v="-0.16"/>
    <x v="5"/>
    <x v="7"/>
    <x v="7"/>
  </r>
  <r>
    <x v="2"/>
    <x v="1"/>
    <x v="16"/>
    <x v="592"/>
    <s v="CURRENCY CONV ASSESSMENT  "/>
    <n v="-0.18"/>
    <x v="5"/>
    <x v="7"/>
    <x v="7"/>
  </r>
  <r>
    <x v="2"/>
    <x v="1"/>
    <x v="16"/>
    <x v="592"/>
    <s v="US MOBILE* US MOBILE WWW.USMOBILE. NY;8.57 US DOLLAR  $ at 0.6135"/>
    <n v="-15.06"/>
    <x v="7"/>
    <x v="13"/>
    <x v="15"/>
  </r>
  <r>
    <x v="2"/>
    <x v="1"/>
    <x v="16"/>
    <x v="592"/>
    <s v="DBS*Jetts Remuera North Harbour "/>
    <n v="-7.71"/>
    <x v="3"/>
    <x v="14"/>
    <x v="17"/>
  </r>
  <r>
    <x v="2"/>
    <x v="1"/>
    <x v="16"/>
    <x v="592"/>
    <s v="MAJESTICTEABARSYLVIAPARK AUCKLAND "/>
    <n v="-0.53"/>
    <x v="0"/>
    <x v="0"/>
    <x v="0"/>
  </r>
  <r>
    <x v="2"/>
    <x v="1"/>
    <x v="16"/>
    <x v="508"/>
    <s v="PAYMENT THANKYOU . "/>
    <n v="6.66"/>
    <x v="1"/>
    <x v="24"/>
    <x v="1"/>
  </r>
  <r>
    <x v="2"/>
    <x v="1"/>
    <x v="16"/>
    <x v="592"/>
    <s v="PAYMENT THANKYOU . "/>
    <n v="1292.6099999999999"/>
    <x v="1"/>
    <x v="24"/>
    <x v="1"/>
  </r>
  <r>
    <x v="2"/>
    <x v="1"/>
    <x v="16"/>
    <x v="593"/>
    <s v="ZARA AUCKLAND "/>
    <n v="-146.34"/>
    <x v="9"/>
    <x v="18"/>
    <x v="30"/>
  </r>
  <r>
    <x v="2"/>
    <x v="1"/>
    <x v="16"/>
    <x v="593"/>
    <s v="QANTAS AIR  0812339490666 NSW "/>
    <n v="-1199.8900000000001"/>
    <x v="3"/>
    <x v="6"/>
    <x v="6"/>
  </r>
  <r>
    <x v="2"/>
    <x v="1"/>
    <x v="16"/>
    <x v="593"/>
    <s v="QANTAS AIR  0812339490665 NSW "/>
    <n v="-983.92"/>
    <x v="3"/>
    <x v="6"/>
    <x v="6"/>
  </r>
  <r>
    <x v="2"/>
    <x v="1"/>
    <x v="16"/>
    <x v="593"/>
    <s v="VICTORY CHRISTIAN CHURCH AUCKLAND "/>
    <n v="-1.07"/>
    <x v="6"/>
    <x v="9"/>
    <x v="21"/>
  </r>
  <r>
    <x v="2"/>
    <x v="1"/>
    <x v="16"/>
    <x v="593"/>
    <s v="PAYMENT THANKYOU . "/>
    <n v="0.15"/>
    <x v="1"/>
    <x v="24"/>
    <x v="1"/>
  </r>
  <r>
    <x v="2"/>
    <x v="1"/>
    <x v="16"/>
    <x v="593"/>
    <s v="PAYMENT THANKYOU . "/>
    <n v="143.46"/>
    <x v="1"/>
    <x v="24"/>
    <x v="1"/>
  </r>
  <r>
    <x v="2"/>
    <x v="1"/>
    <x v="16"/>
    <x v="593"/>
    <s v="PAK N SAVE SYLVIA PARK AUCKLAND "/>
    <n v="-307.02999999999997"/>
    <x v="0"/>
    <x v="0"/>
    <x v="0"/>
  </r>
  <r>
    <x v="2"/>
    <x v="1"/>
    <x v="16"/>
    <x v="593"/>
    <s v="JAPAN MART SYLVIA PARK AUCKLAND "/>
    <n v="-2.5499999999999998"/>
    <x v="0"/>
    <x v="0"/>
    <x v="0"/>
  </r>
  <r>
    <x v="2"/>
    <x v="1"/>
    <x v="16"/>
    <x v="593"/>
    <s v="PAYMENT THANKYOU . "/>
    <n v="23.73"/>
    <x v="1"/>
    <x v="24"/>
    <x v="1"/>
  </r>
  <r>
    <x v="2"/>
    <x v="1"/>
    <x v="16"/>
    <x v="593"/>
    <s v="Themarket.Com Takapuna "/>
    <n v="-41.47"/>
    <x v="9"/>
    <x v="18"/>
    <x v="30"/>
  </r>
  <r>
    <x v="2"/>
    <x v="1"/>
    <x v="16"/>
    <x v="593"/>
    <s v="VICTORY CHRISTIAN CHURCH AUCKLAND "/>
    <n v="-13.24"/>
    <x v="6"/>
    <x v="9"/>
    <x v="21"/>
  </r>
  <r>
    <x v="2"/>
    <x v="1"/>
    <x v="16"/>
    <x v="63"/>
    <s v="BLOSSOM COURT AUCKLAND "/>
    <n v="-64.900000000000006"/>
    <x v="3"/>
    <x v="8"/>
    <x v="8"/>
  </r>
  <r>
    <x v="2"/>
    <x v="1"/>
    <x v="16"/>
    <x v="593"/>
    <s v="PAYMENT THANKYOU . "/>
    <n v="19.59"/>
    <x v="1"/>
    <x v="24"/>
    <x v="1"/>
  </r>
  <r>
    <x v="2"/>
    <x v="1"/>
    <x v="16"/>
    <x v="593"/>
    <s v="PAYMENT THANKYOU . "/>
    <n v="81.52"/>
    <x v="1"/>
    <x v="24"/>
    <x v="1"/>
  </r>
  <r>
    <x v="2"/>
    <x v="1"/>
    <x v="16"/>
    <x v="66"/>
    <s v="DBS*Jetts Remuera North Harbour "/>
    <n v="-4.1500000000000004"/>
    <x v="3"/>
    <x v="14"/>
    <x v="17"/>
  </r>
  <r>
    <x v="2"/>
    <x v="1"/>
    <x v="16"/>
    <x v="65"/>
    <s v="PAYMENT THANKYOU . "/>
    <n v="177.02"/>
    <x v="1"/>
    <x v="24"/>
    <x v="1"/>
  </r>
  <r>
    <x v="2"/>
    <x v="1"/>
    <x v="16"/>
    <x v="65"/>
    <s v="PAK N SAVE SYLVIA PARK AUCKLAND "/>
    <n v="-41.04"/>
    <x v="0"/>
    <x v="0"/>
    <x v="0"/>
  </r>
  <r>
    <x v="2"/>
    <x v="1"/>
    <x v="16"/>
    <x v="65"/>
    <s v="CW Sylvia Park Glen Innes "/>
    <n v="-6.59"/>
    <x v="9"/>
    <x v="18"/>
    <x v="30"/>
  </r>
  <r>
    <x v="2"/>
    <x v="1"/>
    <x v="16"/>
    <x v="65"/>
    <s v="KMART AUCKLAND "/>
    <n v="-56.64"/>
    <x v="4"/>
    <x v="12"/>
    <x v="12"/>
  </r>
  <r>
    <x v="2"/>
    <x v="1"/>
    <x v="16"/>
    <x v="68"/>
    <s v="APPLE.COM/BILL SYDNEY "/>
    <n v="-2.65"/>
    <x v="7"/>
    <x v="16"/>
    <x v="19"/>
  </r>
  <r>
    <x v="2"/>
    <x v="1"/>
    <x v="16"/>
    <x v="66"/>
    <s v="TOWER INSURANCE - EIS 093692079 "/>
    <n v="-25.51"/>
    <x v="4"/>
    <x v="34"/>
    <x v="50"/>
  </r>
  <r>
    <x v="2"/>
    <x v="1"/>
    <x v="16"/>
    <x v="65"/>
    <s v="PAYMENT THANKYOU . "/>
    <n v="15.54"/>
    <x v="1"/>
    <x v="24"/>
    <x v="1"/>
  </r>
  <r>
    <x v="2"/>
    <x v="1"/>
    <x v="16"/>
    <x v="65"/>
    <s v="PAYMENT THANKYOU . "/>
    <n v="5.27"/>
    <x v="1"/>
    <x v="24"/>
    <x v="1"/>
  </r>
  <r>
    <x v="2"/>
    <x v="1"/>
    <x v="16"/>
    <x v="68"/>
    <s v="THE CONSERVATORY AUCKLAND "/>
    <n v="-11.37"/>
    <x v="3"/>
    <x v="8"/>
    <x v="8"/>
  </r>
  <r>
    <x v="2"/>
    <x v="1"/>
    <x v="16"/>
    <x v="68"/>
    <s v="LE PETITE FOURCHETTE AUCKLAND "/>
    <n v="-0.65"/>
    <x v="0"/>
    <x v="0"/>
    <x v="0"/>
  </r>
  <r>
    <x v="2"/>
    <x v="1"/>
    <x v="16"/>
    <x v="66"/>
    <s v="PAYMENT THANKYOU . "/>
    <n v="2.89"/>
    <x v="1"/>
    <x v="24"/>
    <x v="1"/>
  </r>
  <r>
    <x v="2"/>
    <x v="1"/>
    <x v="16"/>
    <x v="68"/>
    <s v="PAYMENT THANKYOU . "/>
    <n v="235.92"/>
    <x v="1"/>
    <x v="24"/>
    <x v="1"/>
  </r>
  <r>
    <x v="2"/>
    <x v="1"/>
    <x v="16"/>
    <x v="68"/>
    <s v="PAK N SAVE SYLVIA PARK AUCKLAND "/>
    <n v="-31.34"/>
    <x v="0"/>
    <x v="0"/>
    <x v="0"/>
  </r>
  <r>
    <x v="2"/>
    <x v="1"/>
    <x v="16"/>
    <x v="68"/>
    <s v="VICTORY CHRISTIAN CHURCH AUCKLAND "/>
    <n v="-22.63"/>
    <x v="6"/>
    <x v="9"/>
    <x v="21"/>
  </r>
  <r>
    <x v="2"/>
    <x v="1"/>
    <x v="16"/>
    <x v="68"/>
    <s v="MARTHA'S BACKYARD GLEN INNES "/>
    <n v="-10.39"/>
    <x v="0"/>
    <x v="0"/>
    <x v="0"/>
  </r>
  <r>
    <x v="2"/>
    <x v="1"/>
    <x v="16"/>
    <x v="68"/>
    <s v="Postie Sylvia Galleria Mt Wellington "/>
    <n v="-5.57"/>
    <x v="9"/>
    <x v="18"/>
    <x v="30"/>
  </r>
  <r>
    <x v="2"/>
    <x v="1"/>
    <x v="16"/>
    <x v="68"/>
    <s v="AT Parking Auckland "/>
    <n v="-2.71"/>
    <x v="6"/>
    <x v="9"/>
    <x v="21"/>
  </r>
  <r>
    <x v="2"/>
    <x v="1"/>
    <x v="16"/>
    <x v="68"/>
    <s v="TART BAKERY AUCKLAND "/>
    <n v="-10.33"/>
    <x v="0"/>
    <x v="0"/>
    <x v="0"/>
  </r>
  <r>
    <x v="2"/>
    <x v="1"/>
    <x v="16"/>
    <x v="274"/>
    <s v="GULL MARUA ROAD AUCKLAND "/>
    <n v="-143.49"/>
    <x v="6"/>
    <x v="9"/>
    <x v="14"/>
  </r>
  <r>
    <x v="2"/>
    <x v="1"/>
    <x v="16"/>
    <x v="72"/>
    <s v="DBS*Jetts Remuera North Harbour "/>
    <n v="-1.54"/>
    <x v="3"/>
    <x v="14"/>
    <x v="17"/>
  </r>
  <r>
    <x v="2"/>
    <x v="1"/>
    <x v="16"/>
    <x v="70"/>
    <s v="CONTACT ENERGY WELLINGTON "/>
    <n v="-64.099999999999994"/>
    <x v="4"/>
    <x v="5"/>
    <x v="5"/>
  </r>
  <r>
    <x v="2"/>
    <x v="1"/>
    <x v="16"/>
    <x v="70"/>
    <s v="Farro Fresh Mt Wellingt Mt Wellington "/>
    <n v="-10.44"/>
    <x v="0"/>
    <x v="0"/>
    <x v="0"/>
  </r>
  <r>
    <x v="2"/>
    <x v="1"/>
    <x v="16"/>
    <x v="70"/>
    <s v="NEW WORLD STONEFIELDS AUCKLAND NZ "/>
    <n v="-20.46"/>
    <x v="0"/>
    <x v="0"/>
    <x v="0"/>
  </r>
  <r>
    <x v="2"/>
    <x v="1"/>
    <x v="16"/>
    <x v="69"/>
    <s v="PAYMENT THANKYOU . "/>
    <n v="85.48"/>
    <x v="1"/>
    <x v="24"/>
    <x v="1"/>
  </r>
  <r>
    <x v="2"/>
    <x v="1"/>
    <x v="16"/>
    <x v="72"/>
    <s v="Iti Drinks and Bites Auckland "/>
    <n v="-17.88"/>
    <x v="3"/>
    <x v="8"/>
    <x v="8"/>
  </r>
  <r>
    <x v="2"/>
    <x v="1"/>
    <x v="16"/>
    <x v="70"/>
    <s v="PAYMENT THANKYOU . "/>
    <n v="16.09"/>
    <x v="1"/>
    <x v="24"/>
    <x v="1"/>
  </r>
  <r>
    <x v="2"/>
    <x v="1"/>
    <x v="16"/>
    <x v="72"/>
    <s v="PAYMENT THANKYOU . "/>
    <n v="43.13"/>
    <x v="1"/>
    <x v="24"/>
    <x v="1"/>
  </r>
  <r>
    <x v="2"/>
    <x v="1"/>
    <x v="16"/>
    <x v="72"/>
    <s v="CW Wstfield Newmarket Auckland "/>
    <n v="-35.79"/>
    <x v="9"/>
    <x v="18"/>
    <x v="30"/>
  </r>
  <r>
    <x v="2"/>
    <x v="1"/>
    <x v="16"/>
    <x v="72"/>
    <s v="COUNTDOWN NEWMA/277 BROAD NEWMARKET "/>
    <n v="-8.86"/>
    <x v="0"/>
    <x v="0"/>
    <x v="0"/>
  </r>
  <r>
    <x v="2"/>
    <x v="1"/>
    <x v="16"/>
    <x v="72"/>
    <s v="PAYMENT THANKYOU . "/>
    <n v="0.26"/>
    <x v="1"/>
    <x v="24"/>
    <x v="1"/>
  </r>
  <r>
    <x v="2"/>
    <x v="1"/>
    <x v="16"/>
    <x v="72"/>
    <s v="PAYMENT THANKYOU . "/>
    <n v="53.92"/>
    <x v="1"/>
    <x v="24"/>
    <x v="1"/>
  </r>
  <r>
    <x v="2"/>
    <x v="1"/>
    <x v="16"/>
    <x v="72"/>
    <s v="PAYMENT THANKYOU . "/>
    <n v="91.4"/>
    <x v="1"/>
    <x v="24"/>
    <x v="1"/>
  </r>
  <r>
    <x v="2"/>
    <x v="1"/>
    <x v="16"/>
    <x v="72"/>
    <s v="GLENGARRY WINES AUCKLAND "/>
    <n v="-42.23"/>
    <x v="3"/>
    <x v="3"/>
    <x v="34"/>
  </r>
  <r>
    <x v="2"/>
    <x v="1"/>
    <x v="16"/>
    <x v="72"/>
    <s v="NEW WORLD VICTORIA PARK AUCKLAND "/>
    <n v="-1.67"/>
    <x v="0"/>
    <x v="0"/>
    <x v="0"/>
  </r>
  <r>
    <x v="2"/>
    <x v="1"/>
    <x v="16"/>
    <x v="74"/>
    <s v="AIA NEW ZEALAND AUCKLAND "/>
    <n v="-64.33"/>
    <x v="3"/>
    <x v="6"/>
    <x v="6"/>
  </r>
  <r>
    <x v="2"/>
    <x v="1"/>
    <x v="16"/>
    <x v="74"/>
    <s v="PAYMENT THANKYOU . "/>
    <n v="7.88"/>
    <x v="1"/>
    <x v="24"/>
    <x v="1"/>
  </r>
  <r>
    <x v="2"/>
    <x v="1"/>
    <x v="16"/>
    <x v="78"/>
    <s v="SKINNY AUCKLAND "/>
    <n v="-4.74"/>
    <x v="7"/>
    <x v="10"/>
    <x v="10"/>
  </r>
  <r>
    <x v="2"/>
    <x v="1"/>
    <x v="16"/>
    <x v="76"/>
    <s v="PAYMENT THANKYOU . "/>
    <n v="8.2100000000000009"/>
    <x v="1"/>
    <x v="24"/>
    <x v="1"/>
  </r>
  <r>
    <x v="2"/>
    <x v="1"/>
    <x v="16"/>
    <x v="76"/>
    <s v="TOWER INSURANCE - EIS 093692079 "/>
    <n v="-191.85"/>
    <x v="4"/>
    <x v="11"/>
    <x v="11"/>
  </r>
  <r>
    <x v="2"/>
    <x v="1"/>
    <x v="16"/>
    <x v="76"/>
    <s v="TOWER INSURANCE - EIS 093692079 "/>
    <n v="-24.68"/>
    <x v="2"/>
    <x v="33"/>
    <x v="49"/>
  </r>
  <r>
    <x v="2"/>
    <x v="1"/>
    <x v="16"/>
    <x v="76"/>
    <s v="TOWER INSURANCE - EIS 093692079 "/>
    <n v="-88.61"/>
    <x v="12"/>
    <x v="33"/>
    <x v="49"/>
  </r>
  <r>
    <x v="2"/>
    <x v="1"/>
    <x v="16"/>
    <x v="76"/>
    <s v="DBS*Jetts Remuera North Harbour "/>
    <n v="-9.0299999999999994"/>
    <x v="3"/>
    <x v="14"/>
    <x v="17"/>
  </r>
  <r>
    <x v="2"/>
    <x v="1"/>
    <x v="16"/>
    <x v="75"/>
    <s v="PAYMENT THANKYOU . "/>
    <n v="42.65"/>
    <x v="1"/>
    <x v="24"/>
    <x v="1"/>
  </r>
  <r>
    <x v="2"/>
    <x v="1"/>
    <x v="16"/>
    <x v="76"/>
    <s v="PAYMENT THANKYOU . "/>
    <n v="25.03"/>
    <x v="1"/>
    <x v="24"/>
    <x v="1"/>
  </r>
  <r>
    <x v="2"/>
    <x v="1"/>
    <x v="16"/>
    <x v="78"/>
    <s v="PAYMENT THANKYOU . "/>
    <n v="1.96"/>
    <x v="1"/>
    <x v="24"/>
    <x v="1"/>
  </r>
  <r>
    <x v="2"/>
    <x v="1"/>
    <x v="16"/>
    <x v="78"/>
    <s v="PAYMENT THANKYOU . "/>
    <n v="258.25"/>
    <x v="1"/>
    <x v="24"/>
    <x v="1"/>
  </r>
  <r>
    <x v="2"/>
    <x v="1"/>
    <x v="16"/>
    <x v="78"/>
    <s v="PAK N SAVE SYLVIA PARK AUCKLAND "/>
    <n v="-32.33"/>
    <x v="0"/>
    <x v="0"/>
    <x v="0"/>
  </r>
  <r>
    <x v="2"/>
    <x v="1"/>
    <x v="16"/>
    <x v="78"/>
    <s v="SKINNY AUCKLAND "/>
    <n v="-7.32"/>
    <x v="7"/>
    <x v="10"/>
    <x v="10"/>
  </r>
  <r>
    <x v="2"/>
    <x v="1"/>
    <x v="16"/>
    <x v="78"/>
    <s v="HESARISUPERMARKETPANMURE AUCKLAND "/>
    <n v="-3.86"/>
    <x v="0"/>
    <x v="0"/>
    <x v="0"/>
  </r>
  <r>
    <x v="2"/>
    <x v="1"/>
    <x v="16"/>
    <x v="78"/>
    <s v="HESARI BAKERY LIMITED AUCKLAND "/>
    <n v="-17.95"/>
    <x v="0"/>
    <x v="0"/>
    <x v="0"/>
  </r>
  <r>
    <x v="2"/>
    <x v="1"/>
    <x v="16"/>
    <x v="78"/>
    <s v="TAIPING ASIAN SUPERMARKET AUCKLAND "/>
    <n v="-9.4"/>
    <x v="0"/>
    <x v="0"/>
    <x v="0"/>
  </r>
  <r>
    <x v="2"/>
    <x v="1"/>
    <x v="16"/>
    <x v="624"/>
    <s v="VICTORY CHRISTIAN CHURCH AUCKLAND "/>
    <n v="-20.79"/>
    <x v="6"/>
    <x v="9"/>
    <x v="21"/>
  </r>
  <r>
    <x v="2"/>
    <x v="1"/>
    <x v="16"/>
    <x v="79"/>
    <s v="UBER   *TRIP HELP.UBER.COM "/>
    <n v="-15.36"/>
    <x v="6"/>
    <x v="9"/>
    <x v="33"/>
  </r>
  <r>
    <x v="2"/>
    <x v="1"/>
    <x v="16"/>
    <x v="624"/>
    <s v="PAYMENT THANKYOU . "/>
    <n v="25.37"/>
    <x v="1"/>
    <x v="24"/>
    <x v="1"/>
  </r>
  <r>
    <x v="2"/>
    <x v="1"/>
    <x v="16"/>
    <x v="624"/>
    <s v="LE PETITE FOURCHETTE AUCKLAND "/>
    <n v="-5.05"/>
    <x v="0"/>
    <x v="0"/>
    <x v="0"/>
  </r>
  <r>
    <x v="2"/>
    <x v="1"/>
    <x v="16"/>
    <x v="80"/>
    <s v="PAK N SAVE SYLVIA PARK AUCKLAND "/>
    <n v="-45.06"/>
    <x v="0"/>
    <x v="0"/>
    <x v="0"/>
  </r>
  <r>
    <x v="2"/>
    <x v="1"/>
    <x v="16"/>
    <x v="80"/>
    <s v="JAPAN MART SYLVIA PARK AUCKLAND "/>
    <n v="-33.29"/>
    <x v="0"/>
    <x v="0"/>
    <x v="0"/>
  </r>
  <r>
    <x v="2"/>
    <x v="1"/>
    <x v="16"/>
    <x v="80"/>
    <s v="KMART AUCKLAND "/>
    <n v="-13.38"/>
    <x v="4"/>
    <x v="12"/>
    <x v="12"/>
  </r>
  <r>
    <x v="2"/>
    <x v="1"/>
    <x v="16"/>
    <x v="80"/>
    <s v="JACQUI E I51 MT WELLINGTON "/>
    <n v="-22.05"/>
    <x v="9"/>
    <x v="18"/>
    <x v="30"/>
  </r>
  <r>
    <x v="2"/>
    <x v="1"/>
    <x v="16"/>
    <x v="79"/>
    <s v="PAYMENT THANKYOU . "/>
    <n v="52.28"/>
    <x v="1"/>
    <x v="24"/>
    <x v="1"/>
  </r>
  <r>
    <x v="2"/>
    <x v="1"/>
    <x v="16"/>
    <x v="596"/>
    <s v="DBS*Jetts Remuera North Harbour "/>
    <n v="-5.0999999999999996"/>
    <x v="3"/>
    <x v="14"/>
    <x v="17"/>
  </r>
  <r>
    <x v="2"/>
    <x v="1"/>
    <x v="16"/>
    <x v="597"/>
    <s v="FOREIGN CURRENCY TXN FEE  "/>
    <n v="-0.18"/>
    <x v="5"/>
    <x v="7"/>
    <x v="7"/>
  </r>
  <r>
    <x v="2"/>
    <x v="1"/>
    <x v="16"/>
    <x v="597"/>
    <s v="CURRENCY CONV ASSESSMENT  "/>
    <n v="-0.17"/>
    <x v="5"/>
    <x v="7"/>
    <x v="7"/>
  </r>
  <r>
    <x v="2"/>
    <x v="1"/>
    <x v="16"/>
    <x v="597"/>
    <s v="US MOBILE* US MOBILE WWW.USMOBILE. NY;8.57 US DOLLAR  $ at 0.6174"/>
    <n v="-10.1"/>
    <x v="7"/>
    <x v="13"/>
    <x v="15"/>
  </r>
  <r>
    <x v="2"/>
    <x v="1"/>
    <x v="16"/>
    <x v="596"/>
    <s v="PAYMENT THANKYOU . "/>
    <n v="0.26"/>
    <x v="1"/>
    <x v="24"/>
    <x v="1"/>
  </r>
  <r>
    <x v="2"/>
    <x v="1"/>
    <x v="16"/>
    <x v="597"/>
    <s v="PAYMENT THANKYOU . "/>
    <n v="17.850000000000001"/>
    <x v="1"/>
    <x v="24"/>
    <x v="1"/>
  </r>
  <r>
    <x v="2"/>
    <x v="1"/>
    <x v="16"/>
    <x v="597"/>
    <s v="PAYMENT THANKYOU . "/>
    <n v="62.79"/>
    <x v="1"/>
    <x v="24"/>
    <x v="1"/>
  </r>
  <r>
    <x v="2"/>
    <x v="1"/>
    <x v="16"/>
    <x v="597"/>
    <s v="Kings Plant Barn Mount Welling "/>
    <n v="-78.62"/>
    <x v="4"/>
    <x v="12"/>
    <x v="12"/>
  </r>
  <r>
    <x v="2"/>
    <x v="1"/>
    <x v="16"/>
    <x v="597"/>
    <s v="GULL MARUA ROAD AUCKLAND "/>
    <n v="-111.65"/>
    <x v="6"/>
    <x v="9"/>
    <x v="14"/>
  </r>
  <r>
    <x v="2"/>
    <x v="1"/>
    <x v="16"/>
    <x v="597"/>
    <s v="MITRE 10 MEGA MT WTGN MOUNT WELLING "/>
    <n v="-16.96"/>
    <x v="4"/>
    <x v="12"/>
    <x v="12"/>
  </r>
  <r>
    <x v="2"/>
    <x v="1"/>
    <x v="16"/>
    <x v="597"/>
    <s v="PAYMENT THANKYOU . "/>
    <n v="16.03"/>
    <x v="1"/>
    <x v="24"/>
    <x v="1"/>
  </r>
  <r>
    <x v="2"/>
    <x v="1"/>
    <x v="16"/>
    <x v="597"/>
    <s v="PASTRAMI &amp; RYE AUCKLAND "/>
    <n v="-1.06"/>
    <x v="0"/>
    <x v="0"/>
    <x v="0"/>
  </r>
  <r>
    <x v="2"/>
    <x v="1"/>
    <x v="16"/>
    <x v="82"/>
    <s v="PAYMENT THANKYOU . "/>
    <n v="0.39"/>
    <x v="1"/>
    <x v="24"/>
    <x v="1"/>
  </r>
  <r>
    <x v="2"/>
    <x v="1"/>
    <x v="16"/>
    <x v="83"/>
    <s v="PAYMENT THANKYOU . "/>
    <n v="77.650000000000006"/>
    <x v="1"/>
    <x v="24"/>
    <x v="1"/>
  </r>
  <r>
    <x v="2"/>
    <x v="1"/>
    <x v="16"/>
    <x v="83"/>
    <s v="WET &amp; FORGET MT WELLING AUCKLAND "/>
    <n v="-135.36000000000001"/>
    <x v="4"/>
    <x v="12"/>
    <x v="12"/>
  </r>
  <r>
    <x v="2"/>
    <x v="1"/>
    <x v="16"/>
    <x v="83"/>
    <s v="DBS*Jetts Remuera North Harbour "/>
    <n v="-6.82"/>
    <x v="3"/>
    <x v="14"/>
    <x v="17"/>
  </r>
  <r>
    <x v="2"/>
    <x v="1"/>
    <x v="16"/>
    <x v="479"/>
    <s v="Farro Fresh Mt Wellingt Mt Wellington "/>
    <n v="-22.76"/>
    <x v="0"/>
    <x v="0"/>
    <x v="0"/>
  </r>
  <r>
    <x v="2"/>
    <x v="1"/>
    <x v="16"/>
    <x v="625"/>
    <s v="GOODFOR LUNN AVE AUCKLAND "/>
    <n v="-15.51"/>
    <x v="0"/>
    <x v="0"/>
    <x v="0"/>
  </r>
  <r>
    <x v="2"/>
    <x v="1"/>
    <x v="16"/>
    <x v="83"/>
    <s v="PAYMENT THANKYOU . "/>
    <n v="2.57"/>
    <x v="1"/>
    <x v="24"/>
    <x v="1"/>
  </r>
  <r>
    <x v="2"/>
    <x v="1"/>
    <x v="16"/>
    <x v="625"/>
    <s v="APPLE.COM/BILL SYDNEY "/>
    <n v="-0.32"/>
    <x v="7"/>
    <x v="16"/>
    <x v="19"/>
  </r>
  <r>
    <x v="2"/>
    <x v="1"/>
    <x v="16"/>
    <x v="85"/>
    <s v="VICTORY CHRISTIAN CHURCH AUCKLAND "/>
    <n v="-13.63"/>
    <x v="6"/>
    <x v="9"/>
    <x v="21"/>
  </r>
  <r>
    <x v="2"/>
    <x v="1"/>
    <x v="16"/>
    <x v="625"/>
    <s v="PAYMENT THANKYOU . "/>
    <n v="56.24"/>
    <x v="1"/>
    <x v="24"/>
    <x v="1"/>
  </r>
  <r>
    <x v="2"/>
    <x v="1"/>
    <x v="16"/>
    <x v="625"/>
    <s v="PAYMENT THANKYOU . "/>
    <n v="21"/>
    <x v="1"/>
    <x v="24"/>
    <x v="1"/>
  </r>
  <r>
    <x v="2"/>
    <x v="1"/>
    <x v="16"/>
    <x v="625"/>
    <s v="PAYMENT THANKYOU . "/>
    <n v="3.59"/>
    <x v="1"/>
    <x v="24"/>
    <x v="1"/>
  </r>
  <r>
    <x v="2"/>
    <x v="1"/>
    <x v="16"/>
    <x v="625"/>
    <s v="TOWER INSURANCE - EIS 093692079 "/>
    <n v="-57.33"/>
    <x v="4"/>
    <x v="34"/>
    <x v="50"/>
  </r>
  <r>
    <x v="2"/>
    <x v="1"/>
    <x v="16"/>
    <x v="625"/>
    <s v="HESARISUPERMARKETPANMURE AUCKLAND "/>
    <n v="-11.33"/>
    <x v="0"/>
    <x v="0"/>
    <x v="0"/>
  </r>
  <r>
    <x v="2"/>
    <x v="1"/>
    <x v="16"/>
    <x v="625"/>
    <s v="GOODFOR LUNN AVE AUCKLAND "/>
    <n v="-18.28"/>
    <x v="0"/>
    <x v="0"/>
    <x v="0"/>
  </r>
  <r>
    <x v="2"/>
    <x v="1"/>
    <x v="16"/>
    <x v="625"/>
    <s v="TAIPING ASIAN SUPERMARKET AUCKLAND "/>
    <n v="-3.21"/>
    <x v="0"/>
    <x v="0"/>
    <x v="0"/>
  </r>
  <r>
    <x v="2"/>
    <x v="1"/>
    <x v="16"/>
    <x v="626"/>
    <s v="QT AUCKLAND AUCKLAND "/>
    <n v="-27.79"/>
    <x v="3"/>
    <x v="8"/>
    <x v="8"/>
  </r>
  <r>
    <x v="2"/>
    <x v="1"/>
    <x v="16"/>
    <x v="626"/>
    <s v="VICTORY CHRISTIAN CHURCH AUCKLAND "/>
    <n v="-1.4"/>
    <x v="6"/>
    <x v="9"/>
    <x v="21"/>
  </r>
  <r>
    <x v="2"/>
    <x v="1"/>
    <x v="16"/>
    <x v="85"/>
    <s v="Sudima AuckCity Restau Auckland "/>
    <n v="-24.26"/>
    <x v="3"/>
    <x v="8"/>
    <x v="8"/>
  </r>
  <r>
    <x v="2"/>
    <x v="1"/>
    <x v="16"/>
    <x v="85"/>
    <s v="LE PETITE FOURCHETTE AUCKLAND "/>
    <n v="-0.33"/>
    <x v="0"/>
    <x v="0"/>
    <x v="0"/>
  </r>
  <r>
    <x v="2"/>
    <x v="1"/>
    <x v="16"/>
    <x v="85"/>
    <s v="PAYMENT THANKYOU . "/>
    <n v="113.37"/>
    <x v="1"/>
    <x v="24"/>
    <x v="1"/>
  </r>
  <r>
    <x v="2"/>
    <x v="1"/>
    <x v="16"/>
    <x v="87"/>
    <s v="PAK N SAVE SYLVIA PARK AUCKLAND "/>
    <n v="-141.96"/>
    <x v="0"/>
    <x v="0"/>
    <x v="0"/>
  </r>
  <r>
    <x v="2"/>
    <x v="1"/>
    <x v="16"/>
    <x v="87"/>
    <s v="Mecca Sylvia Park Mt Wellington "/>
    <n v="-70.25"/>
    <x v="9"/>
    <x v="29"/>
    <x v="48"/>
  </r>
  <r>
    <x v="2"/>
    <x v="1"/>
    <x v="16"/>
    <x v="87"/>
    <s v="IPPUDO Sylvia Park Mount Welling "/>
    <n v="-57.34"/>
    <x v="3"/>
    <x v="8"/>
    <x v="8"/>
  </r>
  <r>
    <x v="2"/>
    <x v="1"/>
    <x v="16"/>
    <x v="87"/>
    <s v="DBS*Jetts Remuera North Harbour "/>
    <n v="-11.24"/>
    <x v="3"/>
    <x v="14"/>
    <x v="17"/>
  </r>
  <r>
    <x v="2"/>
    <x v="1"/>
    <x v="16"/>
    <x v="86"/>
    <s v="PAYMENT THANKYOU . "/>
    <n v="15.94"/>
    <x v="1"/>
    <x v="24"/>
    <x v="1"/>
  </r>
  <r>
    <x v="2"/>
    <x v="1"/>
    <x v="16"/>
    <x v="87"/>
    <s v="PAYMENT THANKYOU . "/>
    <n v="8.5399999999999991"/>
    <x v="1"/>
    <x v="24"/>
    <x v="1"/>
  </r>
  <r>
    <x v="2"/>
    <x v="1"/>
    <x v="16"/>
    <x v="89"/>
    <s v="PAYMENT THANKYOU . "/>
    <n v="95.21"/>
    <x v="1"/>
    <x v="24"/>
    <x v="1"/>
  </r>
  <r>
    <x v="2"/>
    <x v="1"/>
    <x v="16"/>
    <x v="89"/>
    <s v="SP THEA MATCHA HOWICK "/>
    <n v="-51.43"/>
    <x v="0"/>
    <x v="0"/>
    <x v="0"/>
  </r>
  <r>
    <x v="2"/>
    <x v="1"/>
    <x v="16"/>
    <x v="89"/>
    <s v="PARK HYATT PANTRY AUCKLAND "/>
    <n v="-6.75"/>
    <x v="3"/>
    <x v="8"/>
    <x v="8"/>
  </r>
  <r>
    <x v="2"/>
    <x v="1"/>
    <x v="16"/>
    <x v="89"/>
    <s v="TART BAKERY AUCKLAND "/>
    <n v="-17.8"/>
    <x v="0"/>
    <x v="0"/>
    <x v="0"/>
  </r>
  <r>
    <x v="2"/>
    <x v="1"/>
    <x v="16"/>
    <x v="89"/>
    <s v="AT Parking Auckland "/>
    <n v="-0.03"/>
    <x v="6"/>
    <x v="9"/>
    <x v="21"/>
  </r>
  <r>
    <x v="2"/>
    <x v="1"/>
    <x v="16"/>
    <x v="89"/>
    <s v="PAYMENT THANKYOU . "/>
    <n v="139.57"/>
    <x v="1"/>
    <x v="24"/>
    <x v="1"/>
  </r>
  <r>
    <x v="2"/>
    <x v="1"/>
    <x v="16"/>
    <x v="89"/>
    <s v="KMART ONLINE AUCKLAND "/>
    <n v="-61.38"/>
    <x v="4"/>
    <x v="12"/>
    <x v="12"/>
  </r>
  <r>
    <x v="2"/>
    <x v="1"/>
    <x v="16"/>
    <x v="89"/>
    <s v="TSUJIRI AUCKLAND "/>
    <n v="-66.569999999999993"/>
    <x v="0"/>
    <x v="0"/>
    <x v="0"/>
  </r>
  <r>
    <x v="2"/>
    <x v="1"/>
    <x v="16"/>
    <x v="89"/>
    <s v="COUNTDOWN NEWMA/277 BROAD NEWMARKET "/>
    <n v="-2.78"/>
    <x v="0"/>
    <x v="0"/>
    <x v="0"/>
  </r>
  <r>
    <x v="2"/>
    <x v="1"/>
    <x v="16"/>
    <x v="89"/>
    <s v="CW Wstfield Newmarket Auckland "/>
    <n v="-5.79"/>
    <x v="9"/>
    <x v="18"/>
    <x v="30"/>
  </r>
  <r>
    <x v="2"/>
    <x v="1"/>
    <x v="16"/>
    <x v="91"/>
    <s v="AIA NEW ZEALAND AUCKLAND "/>
    <n v="-91.92"/>
    <x v="3"/>
    <x v="6"/>
    <x v="6"/>
  </r>
  <r>
    <x v="2"/>
    <x v="1"/>
    <x v="16"/>
    <x v="276"/>
    <s v="SP THEA MATCHA HOWICK "/>
    <n v="33.11"/>
    <x v="0"/>
    <x v="0"/>
    <x v="0"/>
  </r>
  <r>
    <x v="2"/>
    <x v="1"/>
    <x v="16"/>
    <x v="89"/>
    <s v="PAYMENT THANKYOU . "/>
    <n v="4.6900000000000004"/>
    <x v="1"/>
    <x v="24"/>
    <x v="1"/>
  </r>
  <r>
    <x v="2"/>
    <x v="1"/>
    <x v="16"/>
    <x v="92"/>
    <s v="AUCKLAND STADIUM AUCKLAND "/>
    <n v="-48.26"/>
    <x v="3"/>
    <x v="8"/>
    <x v="8"/>
  </r>
  <r>
    <x v="2"/>
    <x v="1"/>
    <x v="16"/>
    <x v="92"/>
    <s v="VICTORY CHRISTIAN CHURCH AUCKLAND "/>
    <n v="-14.41"/>
    <x v="6"/>
    <x v="9"/>
    <x v="21"/>
  </r>
  <r>
    <x v="2"/>
    <x v="1"/>
    <x v="16"/>
    <x v="92"/>
    <s v="AUCKLAND STADIUM AUCKLAND "/>
    <n v="-9.1"/>
    <x v="3"/>
    <x v="8"/>
    <x v="8"/>
  </r>
  <r>
    <x v="2"/>
    <x v="1"/>
    <x v="16"/>
    <x v="92"/>
    <s v="PAYMENT THANKYOU . "/>
    <n v="0.06"/>
    <x v="1"/>
    <x v="24"/>
    <x v="1"/>
  </r>
  <r>
    <x v="2"/>
    <x v="1"/>
    <x v="16"/>
    <x v="627"/>
    <s v="PAYMENT THANKYOU . "/>
    <n v="267.37"/>
    <x v="1"/>
    <x v="24"/>
    <x v="1"/>
  </r>
  <r>
    <x v="2"/>
    <x v="1"/>
    <x v="16"/>
    <x v="627"/>
    <s v="Chemist Warehouse NZ Onli Auckland "/>
    <n v="-115.44"/>
    <x v="0"/>
    <x v="0"/>
    <x v="0"/>
  </r>
  <r>
    <x v="2"/>
    <x v="1"/>
    <x v="16"/>
    <x v="627"/>
    <s v="COUNTDOWN GREEN/326 GREAT GREENLANE "/>
    <n v="-62.91"/>
    <x v="0"/>
    <x v="0"/>
    <x v="0"/>
  </r>
  <r>
    <x v="2"/>
    <x v="1"/>
    <x v="16"/>
    <x v="627"/>
    <s v="DBS*Jetts Remuera Auckland "/>
    <n v="-14.54"/>
    <x v="3"/>
    <x v="14"/>
    <x v="17"/>
  </r>
  <r>
    <x v="2"/>
    <x v="1"/>
    <x v="16"/>
    <x v="627"/>
    <s v="PAYMENT THANKYOU . "/>
    <n v="195.85"/>
    <x v="1"/>
    <x v="24"/>
    <x v="1"/>
  </r>
  <r>
    <x v="2"/>
    <x v="1"/>
    <x v="16"/>
    <x v="627"/>
    <s v="PAYMENT THANKYOU . "/>
    <n v="0.34"/>
    <x v="1"/>
    <x v="24"/>
    <x v="1"/>
  </r>
  <r>
    <x v="2"/>
    <x v="1"/>
    <x v="16"/>
    <x v="627"/>
    <s v="PAYMENT THANKYOU . "/>
    <n v="41.12"/>
    <x v="1"/>
    <x v="24"/>
    <x v="1"/>
  </r>
  <r>
    <x v="2"/>
    <x v="1"/>
    <x v="16"/>
    <x v="627"/>
    <s v="TOWER INSURANCE - EIS 093692079 "/>
    <n v="-158.22"/>
    <x v="4"/>
    <x v="11"/>
    <x v="11"/>
  </r>
  <r>
    <x v="2"/>
    <x v="1"/>
    <x v="16"/>
    <x v="627"/>
    <s v="TOWER INSURANCE - EIS 093692079 "/>
    <n v="-49.69"/>
    <x v="2"/>
    <x v="33"/>
    <x v="49"/>
  </r>
  <r>
    <x v="2"/>
    <x v="1"/>
    <x v="16"/>
    <x v="627"/>
    <s v="TOWER INSURANCE - EIS 093692079 "/>
    <n v="-25.11"/>
    <x v="12"/>
    <x v="33"/>
    <x v="49"/>
  </r>
  <r>
    <x v="2"/>
    <x v="1"/>
    <x v="16"/>
    <x v="627"/>
    <s v="COUNTDOWN NEWMA/277 BROAD NEWMARKET "/>
    <n v="-12.38"/>
    <x v="0"/>
    <x v="0"/>
    <x v="0"/>
  </r>
  <r>
    <x v="2"/>
    <x v="1"/>
    <x v="16"/>
    <x v="627"/>
    <s v="PAGANI NEWMARKET "/>
    <n v="-14.36"/>
    <x v="9"/>
    <x v="18"/>
    <x v="30"/>
  </r>
  <r>
    <x v="2"/>
    <x v="1"/>
    <x v="16"/>
    <x v="627"/>
    <s v="VICTORY CHRISTIAN CHURCH AUCKLAND "/>
    <n v="-25.29"/>
    <x v="6"/>
    <x v="9"/>
    <x v="21"/>
  </r>
  <r>
    <x v="2"/>
    <x v="1"/>
    <x v="16"/>
    <x v="627"/>
    <s v="FOREIGN CURRENCY TXN FEE  "/>
    <n v="-0.08"/>
    <x v="5"/>
    <x v="7"/>
    <x v="7"/>
  </r>
  <r>
    <x v="2"/>
    <x v="1"/>
    <x v="16"/>
    <x v="627"/>
    <s v="CURRENCY CONV ASSESSMENT  "/>
    <n v="-0.05"/>
    <x v="5"/>
    <x v="7"/>
    <x v="7"/>
  </r>
  <r>
    <x v="2"/>
    <x v="1"/>
    <x v="16"/>
    <x v="627"/>
    <s v="eBay O*16-10431-30868 Toronto ON;8.69 CANADIAN DOLLAR at 0.7987"/>
    <n v="-1.63"/>
    <x v="9"/>
    <x v="18"/>
    <x v="22"/>
  </r>
  <r>
    <x v="2"/>
    <x v="1"/>
    <x v="16"/>
    <x v="627"/>
    <s v="Tai Ping Newmarket Auckland "/>
    <n v="-2.42"/>
    <x v="0"/>
    <x v="0"/>
    <x v="0"/>
  </r>
  <r>
    <x v="2"/>
    <x v="1"/>
    <x v="16"/>
    <x v="95"/>
    <s v="PAYMENT THANKYOU . "/>
    <n v="0.16"/>
    <x v="1"/>
    <x v="24"/>
    <x v="1"/>
  </r>
  <r>
    <x v="2"/>
    <x v="1"/>
    <x v="16"/>
    <x v="278"/>
    <s v="FOREIGN CURRENCY TXN FEE  "/>
    <n v="-0.06"/>
    <x v="5"/>
    <x v="7"/>
    <x v="7"/>
  </r>
  <r>
    <x v="2"/>
    <x v="1"/>
    <x v="16"/>
    <x v="278"/>
    <s v="CURRENCY CONV ASSESSMENT  "/>
    <n v="-0.14000000000000001"/>
    <x v="5"/>
    <x v="7"/>
    <x v="7"/>
  </r>
  <r>
    <x v="2"/>
    <x v="1"/>
    <x v="16"/>
    <x v="278"/>
    <s v="US MOBILE* US MOBILE WWW.USMOBILE. NY;8.57 US DOLLAR  $ at 0.5882"/>
    <n v="-18.809999999999999"/>
    <x v="7"/>
    <x v="13"/>
    <x v="15"/>
  </r>
  <r>
    <x v="2"/>
    <x v="1"/>
    <x v="16"/>
    <x v="100"/>
    <s v="COUNTDOWN HALSE/100 HALSE HALSEY STREET "/>
    <n v="-3.77"/>
    <x v="0"/>
    <x v="0"/>
    <x v="0"/>
  </r>
  <r>
    <x v="2"/>
    <x v="1"/>
    <x v="16"/>
    <x v="278"/>
    <s v="PAYMENT THANKYOU . "/>
    <n v="0.32"/>
    <x v="1"/>
    <x v="24"/>
    <x v="1"/>
  </r>
  <r>
    <x v="2"/>
    <x v="1"/>
    <x v="16"/>
    <x v="104"/>
    <s v="TRYBOOKING* DP ENTERTA AUCKLAND "/>
    <n v="-207.36"/>
    <x v="3"/>
    <x v="3"/>
    <x v="3"/>
  </r>
  <r>
    <x v="2"/>
    <x v="1"/>
    <x v="16"/>
    <x v="101"/>
    <s v="PAYMENT THANKYOU . "/>
    <n v="0.1"/>
    <x v="1"/>
    <x v="24"/>
    <x v="1"/>
  </r>
  <r>
    <x v="2"/>
    <x v="1"/>
    <x v="16"/>
    <x v="104"/>
    <s v="PAYMENT THANKYOU . "/>
    <n v="372.2"/>
    <x v="1"/>
    <x v="24"/>
    <x v="1"/>
  </r>
  <r>
    <x v="2"/>
    <x v="1"/>
    <x v="16"/>
    <x v="104"/>
    <s v="PAYMENT THANKYOU . "/>
    <n v="7.66"/>
    <x v="1"/>
    <x v="24"/>
    <x v="1"/>
  </r>
  <r>
    <x v="2"/>
    <x v="1"/>
    <x v="16"/>
    <x v="104"/>
    <s v="MAISON DES LYS AUCKLAND "/>
    <n v="-4.09"/>
    <x v="0"/>
    <x v="0"/>
    <x v="0"/>
  </r>
  <r>
    <x v="2"/>
    <x v="1"/>
    <x v="16"/>
    <x v="104"/>
    <s v="PAYMENT THANKYOU . "/>
    <n v="108.67"/>
    <x v="1"/>
    <x v="24"/>
    <x v="1"/>
  </r>
  <r>
    <x v="2"/>
    <x v="1"/>
    <x v="16"/>
    <x v="104"/>
    <s v="BAT (NEW ZEALAND) LIMITED VENDOR_INVOIC "/>
    <n v="-68.900000000000006"/>
    <x v="3"/>
    <x v="3"/>
    <x v="28"/>
  </r>
  <r>
    <x v="2"/>
    <x v="1"/>
    <x v="16"/>
    <x v="279"/>
    <s v="Watercare Online Remuera "/>
    <n v="-1.04"/>
    <x v="4"/>
    <x v="4"/>
    <x v="4"/>
  </r>
  <r>
    <x v="2"/>
    <x v="1"/>
    <x v="16"/>
    <x v="279"/>
    <s v="Watercare Services Ltd Remuera "/>
    <n v="-0.04"/>
    <x v="4"/>
    <x v="4"/>
    <x v="4"/>
  </r>
  <r>
    <x v="2"/>
    <x v="1"/>
    <x v="16"/>
    <x v="106"/>
    <s v="APPLE.COM/BILL SYDNEY "/>
    <n v="-21.71"/>
    <x v="7"/>
    <x v="16"/>
    <x v="19"/>
  </r>
  <r>
    <x v="2"/>
    <x v="1"/>
    <x v="16"/>
    <x v="279"/>
    <s v="PAYMENT THANKYOU . "/>
    <n v="22.3"/>
    <x v="1"/>
    <x v="24"/>
    <x v="1"/>
  </r>
  <r>
    <x v="2"/>
    <x v="1"/>
    <x v="16"/>
    <x v="106"/>
    <s v="TOWER INSURANCE - EIS 093692079 "/>
    <n v="-474.67"/>
    <x v="8"/>
    <x v="15"/>
    <x v="18"/>
  </r>
  <r>
    <x v="2"/>
    <x v="1"/>
    <x v="16"/>
    <x v="106"/>
    <s v="TOWER INSURANCE - EIS 093692079 "/>
    <n v="-1.18"/>
    <x v="4"/>
    <x v="34"/>
    <x v="50"/>
  </r>
  <r>
    <x v="2"/>
    <x v="1"/>
    <x v="16"/>
    <x v="107"/>
    <s v="PAYMENT THANKYOU . "/>
    <n v="1591.66"/>
    <x v="1"/>
    <x v="24"/>
    <x v="1"/>
  </r>
  <r>
    <x v="2"/>
    <x v="1"/>
    <x v="16"/>
    <x v="109"/>
    <s v="VIATOR LONDON "/>
    <n v="-118.55"/>
    <x v="3"/>
    <x v="8"/>
    <x v="8"/>
  </r>
  <r>
    <x v="2"/>
    <x v="1"/>
    <x v="16"/>
    <x v="109"/>
    <s v="RUAPEHU ALPINE LIFTS LTD MT RUAPEHU "/>
    <n v="-213.8"/>
    <x v="3"/>
    <x v="3"/>
    <x v="3"/>
  </r>
  <r>
    <x v="2"/>
    <x v="1"/>
    <x v="16"/>
    <x v="109"/>
    <s v="RUAPEHU ALPINE LIFTS LTD MT RUAPEHU "/>
    <n v="-13.81"/>
    <x v="3"/>
    <x v="3"/>
    <x v="3"/>
  </r>
  <r>
    <x v="2"/>
    <x v="1"/>
    <x v="16"/>
    <x v="109"/>
    <s v="RUAPEHU ALPINE LIFTS LTD MT RUAPEHU "/>
    <n v="-2.31"/>
    <x v="3"/>
    <x v="3"/>
    <x v="3"/>
  </r>
  <r>
    <x v="2"/>
    <x v="1"/>
    <x v="16"/>
    <x v="109"/>
    <s v="RUAPEHU ALPINE LIFTS LTD MT RUAPEHU "/>
    <n v="-16.78"/>
    <x v="3"/>
    <x v="3"/>
    <x v="3"/>
  </r>
  <r>
    <x v="2"/>
    <x v="1"/>
    <x v="16"/>
    <x v="107"/>
    <s v="PAYMENT THANKYOU . "/>
    <n v="278.37"/>
    <x v="1"/>
    <x v="24"/>
    <x v="1"/>
  </r>
  <r>
    <x v="2"/>
    <x v="1"/>
    <x v="16"/>
    <x v="109"/>
    <s v="WAIRAKEI TERRACES TAUPO "/>
    <n v="1.51"/>
    <x v="0"/>
    <x v="0"/>
    <x v="0"/>
  </r>
  <r>
    <x v="2"/>
    <x v="1"/>
    <x v="16"/>
    <x v="109"/>
    <s v="PAYMENT THANKYOU . "/>
    <n v="43.89"/>
    <x v="1"/>
    <x v="24"/>
    <x v="1"/>
  </r>
  <r>
    <x v="2"/>
    <x v="1"/>
    <x v="16"/>
    <x v="109"/>
    <s v="PAYMENT THANKYOU . "/>
    <n v="704.59"/>
    <x v="1"/>
    <x v="24"/>
    <x v="1"/>
  </r>
  <r>
    <x v="2"/>
    <x v="1"/>
    <x v="16"/>
    <x v="109"/>
    <s v="MARRAM COMMUNITY TRUST WELLINGTON "/>
    <n v="-368.71"/>
    <x v="3"/>
    <x v="6"/>
    <x v="6"/>
  </r>
  <r>
    <x v="2"/>
    <x v="1"/>
    <x v="16"/>
    <x v="109"/>
    <s v="MARRAM COMMUNITY TRUST WELLINGTON "/>
    <n v="-60.05"/>
    <x v="3"/>
    <x v="6"/>
    <x v="6"/>
  </r>
  <r>
    <x v="2"/>
    <x v="1"/>
    <x v="16"/>
    <x v="109"/>
    <s v="WAIRAKEI TERRACES TAUPO "/>
    <n v="-82.83"/>
    <x v="3"/>
    <x v="8"/>
    <x v="8"/>
  </r>
  <r>
    <x v="2"/>
    <x v="1"/>
    <x v="16"/>
    <x v="109"/>
    <s v="CRATERS OF THE MOON TR TAUPO "/>
    <n v="-2.2599999999999998"/>
    <x v="3"/>
    <x v="6"/>
    <x v="6"/>
  </r>
  <r>
    <x v="2"/>
    <x v="1"/>
    <x v="16"/>
    <x v="109"/>
    <s v="COUNTDOWN TAUPO/SPA ROAD TAUPO "/>
    <n v="-37.01"/>
    <x v="0"/>
    <x v="0"/>
    <x v="0"/>
  </r>
  <r>
    <x v="2"/>
    <x v="1"/>
    <x v="16"/>
    <x v="109"/>
    <s v="PAYMENT THANKYOU . "/>
    <n v="0.2"/>
    <x v="1"/>
    <x v="24"/>
    <x v="1"/>
  </r>
  <r>
    <x v="2"/>
    <x v="1"/>
    <x v="16"/>
    <x v="109"/>
    <s v="PAYMENT THANKYOU . "/>
    <n v="41.82"/>
    <x v="1"/>
    <x v="24"/>
    <x v="1"/>
  </r>
  <r>
    <x v="2"/>
    <x v="1"/>
    <x v="16"/>
    <x v="109"/>
    <s v="PAYMENT THANKYOU . "/>
    <n v="117.68"/>
    <x v="1"/>
    <x v="24"/>
    <x v="1"/>
  </r>
  <r>
    <x v="2"/>
    <x v="1"/>
    <x v="16"/>
    <x v="109"/>
    <s v="BP CONNECT TIRAU TIRAU "/>
    <n v="-11.57"/>
    <x v="6"/>
    <x v="9"/>
    <x v="14"/>
  </r>
  <r>
    <x v="2"/>
    <x v="1"/>
    <x v="16"/>
    <x v="109"/>
    <s v="MYRENT AUCKLAND "/>
    <n v="-60.15"/>
    <x v="2"/>
    <x v="17"/>
    <x v="51"/>
  </r>
  <r>
    <x v="2"/>
    <x v="1"/>
    <x v="16"/>
    <x v="109"/>
    <s v="Watercare Online Remuera "/>
    <n v="-64.33"/>
    <x v="4"/>
    <x v="4"/>
    <x v="4"/>
  </r>
  <r>
    <x v="2"/>
    <x v="1"/>
    <x v="16"/>
    <x v="109"/>
    <s v="Watercare Services Ltd Remuera "/>
    <n v="-0.11"/>
    <x v="4"/>
    <x v="4"/>
    <x v="4"/>
  </r>
  <r>
    <x v="2"/>
    <x v="1"/>
    <x v="16"/>
    <x v="109"/>
    <s v="Cafe Baku Taupo "/>
    <n v="-7.46"/>
    <x v="3"/>
    <x v="8"/>
    <x v="8"/>
  </r>
  <r>
    <x v="2"/>
    <x v="1"/>
    <x v="16"/>
    <x v="111"/>
    <s v="CONTACT ENERGY WELLINGTON "/>
    <n v="-156.54"/>
    <x v="4"/>
    <x v="5"/>
    <x v="5"/>
  </r>
  <r>
    <x v="2"/>
    <x v="1"/>
    <x v="16"/>
    <x v="111"/>
    <s v="THEA LTD AUCKLAND "/>
    <n v="-44.84"/>
    <x v="0"/>
    <x v="0"/>
    <x v="0"/>
  </r>
  <r>
    <x v="2"/>
    <x v="1"/>
    <x v="16"/>
    <x v="110"/>
    <s v="PAYMENT THANKYOU . "/>
    <n v="8.4700000000000006"/>
    <x v="1"/>
    <x v="24"/>
    <x v="1"/>
  </r>
  <r>
    <x v="2"/>
    <x v="1"/>
    <x v="16"/>
    <x v="112"/>
    <s v="PAYMENT THANKYOU . "/>
    <n v="62.67"/>
    <x v="1"/>
    <x v="24"/>
    <x v="1"/>
  </r>
  <r>
    <x v="2"/>
    <x v="1"/>
    <x v="16"/>
    <x v="112"/>
    <s v="COUNTDOWN GREEN/326 GREAT GREENLANE "/>
    <n v="-60.59"/>
    <x v="0"/>
    <x v="0"/>
    <x v="0"/>
  </r>
  <r>
    <x v="2"/>
    <x v="1"/>
    <x v="16"/>
    <x v="111"/>
    <s v="PAYMENT THANKYOU . "/>
    <n v="209.23"/>
    <x v="1"/>
    <x v="24"/>
    <x v="1"/>
  </r>
  <r>
    <x v="2"/>
    <x v="1"/>
    <x v="16"/>
    <x v="114"/>
    <s v="AIA NEW ZEALAND AUCKLAND "/>
    <n v="-64.17"/>
    <x v="3"/>
    <x v="6"/>
    <x v="6"/>
  </r>
  <r>
    <x v="2"/>
    <x v="1"/>
    <x v="16"/>
    <x v="114"/>
    <s v="PAYMENT THANKYOU . "/>
    <n v="174.78"/>
    <x v="1"/>
    <x v="24"/>
    <x v="1"/>
  </r>
  <r>
    <x v="2"/>
    <x v="1"/>
    <x v="16"/>
    <x v="114"/>
    <s v="CW Sylvia Park Glen Innes "/>
    <n v="-171.27"/>
    <x v="9"/>
    <x v="18"/>
    <x v="30"/>
  </r>
  <r>
    <x v="2"/>
    <x v="1"/>
    <x v="16"/>
    <x v="114"/>
    <s v="YUM CHA RESTAURANT AUCKLAND "/>
    <n v="-16.670000000000002"/>
    <x v="3"/>
    <x v="8"/>
    <x v="8"/>
  </r>
  <r>
    <x v="2"/>
    <x v="1"/>
    <x v="16"/>
    <x v="114"/>
    <s v="PAK N SAVE SYLVIA PARK AUCKLAND "/>
    <n v="-106.3"/>
    <x v="0"/>
    <x v="0"/>
    <x v="0"/>
  </r>
  <r>
    <x v="2"/>
    <x v="1"/>
    <x v="16"/>
    <x v="114"/>
    <s v="SKINNY AUCKLAND "/>
    <n v="-17.97"/>
    <x v="7"/>
    <x v="10"/>
    <x v="10"/>
  </r>
  <r>
    <x v="2"/>
    <x v="1"/>
    <x v="16"/>
    <x v="114"/>
    <s v="Postie Sylvia Galleria Mt Wellington "/>
    <n v="-24.88"/>
    <x v="9"/>
    <x v="18"/>
    <x v="30"/>
  </r>
  <r>
    <x v="2"/>
    <x v="1"/>
    <x v="16"/>
    <x v="113"/>
    <s v="PAYMENT THANKYOU . "/>
    <n v="24.01"/>
    <x v="1"/>
    <x v="24"/>
    <x v="1"/>
  </r>
  <r>
    <x v="2"/>
    <x v="1"/>
    <x v="16"/>
    <x v="114"/>
    <s v="PAYMENT THANKYOU . "/>
    <n v="657.15"/>
    <x v="1"/>
    <x v="24"/>
    <x v="1"/>
  </r>
  <r>
    <x v="2"/>
    <x v="1"/>
    <x v="16"/>
    <x v="114"/>
    <s v="SAMSONITE AUSTRALIA PT 1800331690 "/>
    <n v="-496.9"/>
    <x v="4"/>
    <x v="12"/>
    <x v="12"/>
  </r>
  <r>
    <x v="2"/>
    <x v="1"/>
    <x v="16"/>
    <x v="114"/>
    <s v="SKINNY AUCKLAND "/>
    <n v="-1.76"/>
    <x v="7"/>
    <x v="10"/>
    <x v="10"/>
  </r>
  <r>
    <x v="2"/>
    <x v="1"/>
    <x v="16"/>
    <x v="117"/>
    <s v="TOWER INSURANCE - EIS 093692079 "/>
    <n v="-178.03"/>
    <x v="12"/>
    <x v="33"/>
    <x v="49"/>
  </r>
  <r>
    <x v="2"/>
    <x v="1"/>
    <x v="16"/>
    <x v="117"/>
    <s v="TOWER INSURANCE - EIS 093692079 "/>
    <n v="-122.14"/>
    <x v="4"/>
    <x v="11"/>
    <x v="11"/>
  </r>
  <r>
    <x v="2"/>
    <x v="1"/>
    <x v="16"/>
    <x v="117"/>
    <s v="TOWER INSURANCE - EIS 093692079 "/>
    <n v="-46.39"/>
    <x v="2"/>
    <x v="33"/>
    <x v="49"/>
  </r>
  <r>
    <x v="2"/>
    <x v="1"/>
    <x v="16"/>
    <x v="118"/>
    <s v="PAYMENT THANKYOU . "/>
    <n v="15.5"/>
    <x v="1"/>
    <x v="24"/>
    <x v="1"/>
  </r>
  <r>
    <x v="2"/>
    <x v="1"/>
    <x v="16"/>
    <x v="118"/>
    <s v="PAK N SAVE SYLVIA PARK AUCKLAND "/>
    <n v="-20.27"/>
    <x v="0"/>
    <x v="0"/>
    <x v="0"/>
  </r>
  <r>
    <x v="2"/>
    <x v="1"/>
    <x v="16"/>
    <x v="117"/>
    <s v="PAYMENT THANKYOU . "/>
    <n v="492.41"/>
    <x v="1"/>
    <x v="24"/>
    <x v="1"/>
  </r>
  <r>
    <x v="2"/>
    <x v="1"/>
    <x v="16"/>
    <x v="120"/>
    <s v="PAYMENT THANKYOU . "/>
    <n v="9.6199999999999992"/>
    <x v="1"/>
    <x v="24"/>
    <x v="1"/>
  </r>
  <r>
    <x v="2"/>
    <x v="1"/>
    <x v="16"/>
    <x v="120"/>
    <s v="IHERB IHERB.COM PXs2e iherb.com "/>
    <n v="-114.62"/>
    <x v="9"/>
    <x v="18"/>
    <x v="22"/>
  </r>
  <r>
    <x v="2"/>
    <x v="1"/>
    <x v="16"/>
    <x v="120"/>
    <s v="Nike Auckland Onehunga "/>
    <n v="-63.77"/>
    <x v="9"/>
    <x v="18"/>
    <x v="30"/>
  </r>
  <r>
    <x v="2"/>
    <x v="1"/>
    <x v="16"/>
    <x v="120"/>
    <s v="PAYMENT THANKYOU . "/>
    <n v="19.3"/>
    <x v="1"/>
    <x v="24"/>
    <x v="1"/>
  </r>
  <r>
    <x v="2"/>
    <x v="1"/>
    <x v="16"/>
    <x v="121"/>
    <s v="PAYMENT THANKYOU . "/>
    <n v="2.89"/>
    <x v="1"/>
    <x v="24"/>
    <x v="1"/>
  </r>
  <r>
    <x v="2"/>
    <x v="1"/>
    <x v="16"/>
    <x v="121"/>
    <s v="THEA LTD AUCKLAND "/>
    <n v="-67.09"/>
    <x v="0"/>
    <x v="0"/>
    <x v="0"/>
  </r>
  <r>
    <x v="2"/>
    <x v="1"/>
    <x v="16"/>
    <x v="120"/>
    <s v="Unichem Wynyard Pharmcy Auckland "/>
    <n v="-9.4499999999999993"/>
    <x v="10"/>
    <x v="20"/>
    <x v="27"/>
  </r>
  <r>
    <x v="2"/>
    <x v="1"/>
    <x v="16"/>
    <x v="123"/>
    <s v="FOREIGN CURRENCY TXN FEE  "/>
    <n v="-0.02"/>
    <x v="5"/>
    <x v="7"/>
    <x v="7"/>
  </r>
  <r>
    <x v="2"/>
    <x v="1"/>
    <x v="16"/>
    <x v="123"/>
    <s v="CURRENCY CONV ASSESSMENT  "/>
    <n v="-0.19"/>
    <x v="5"/>
    <x v="7"/>
    <x v="7"/>
  </r>
  <r>
    <x v="2"/>
    <x v="1"/>
    <x v="16"/>
    <x v="123"/>
    <s v="US MOBILE* US MOBILE WWW.USMOBILE. NY;8.57 US DOLLAR  $ at 0.5939"/>
    <n v="-20.22"/>
    <x v="7"/>
    <x v="13"/>
    <x v="15"/>
  </r>
  <r>
    <x v="2"/>
    <x v="1"/>
    <x v="16"/>
    <x v="122"/>
    <s v="NEW WORLD STONEFIELDS AUCKLAND NZ "/>
    <n v="-75.849999999999994"/>
    <x v="0"/>
    <x v="0"/>
    <x v="0"/>
  </r>
  <r>
    <x v="2"/>
    <x v="1"/>
    <x v="16"/>
    <x v="121"/>
    <s v="PAYMENT THANKYOU . "/>
    <n v="34.93"/>
    <x v="1"/>
    <x v="24"/>
    <x v="1"/>
  </r>
  <r>
    <x v="2"/>
    <x v="1"/>
    <x v="16"/>
    <x v="121"/>
    <s v="PAYMENT THANKYOU . "/>
    <n v="70.040000000000006"/>
    <x v="1"/>
    <x v="24"/>
    <x v="1"/>
  </r>
  <r>
    <x v="2"/>
    <x v="1"/>
    <x v="16"/>
    <x v="122"/>
    <s v="PAYMENT THANKYOU . "/>
    <n v="15.84"/>
    <x v="1"/>
    <x v="24"/>
    <x v="1"/>
  </r>
  <r>
    <x v="2"/>
    <x v="1"/>
    <x v="16"/>
    <x v="124"/>
    <s v="PAYMENT THANKYOU . "/>
    <n v="0.1"/>
    <x v="1"/>
    <x v="24"/>
    <x v="1"/>
  </r>
  <r>
    <x v="2"/>
    <x v="1"/>
    <x v="16"/>
    <x v="628"/>
    <s v="PAYMENT THANKYOU . "/>
    <n v="18.86"/>
    <x v="1"/>
    <x v="24"/>
    <x v="1"/>
  </r>
  <r>
    <x v="2"/>
    <x v="1"/>
    <x v="16"/>
    <x v="628"/>
    <s v="NEW WORLD STONEFIELDS AUCKLAND NZ "/>
    <n v="-7.76"/>
    <x v="0"/>
    <x v="0"/>
    <x v="0"/>
  </r>
  <r>
    <x v="2"/>
    <x v="1"/>
    <x v="16"/>
    <x v="629"/>
    <s v="APPLE.COM/BILL SYDNEY "/>
    <n v="-4.66"/>
    <x v="7"/>
    <x v="16"/>
    <x v="19"/>
  </r>
  <r>
    <x v="2"/>
    <x v="1"/>
    <x v="16"/>
    <x v="128"/>
    <s v="BUNNINGS ONLINE 3 AUCKLAND "/>
    <n v="300.66000000000003"/>
    <x v="4"/>
    <x v="12"/>
    <x v="12"/>
  </r>
  <r>
    <x v="2"/>
    <x v="1"/>
    <x v="16"/>
    <x v="128"/>
    <s v="BUNNINGS ONLINE 3 AUCKLAND "/>
    <n v="-141.56"/>
    <x v="4"/>
    <x v="12"/>
    <x v="12"/>
  </r>
  <r>
    <x v="2"/>
    <x v="1"/>
    <x v="16"/>
    <x v="128"/>
    <s v="DAVID JONES AUCKLAND "/>
    <n v="-28.48"/>
    <x v="9"/>
    <x v="18"/>
    <x v="30"/>
  </r>
  <r>
    <x v="2"/>
    <x v="1"/>
    <x v="16"/>
    <x v="128"/>
    <s v="Mecca Newmarket Auckland "/>
    <n v="-68.19"/>
    <x v="9"/>
    <x v="29"/>
    <x v="48"/>
  </r>
  <r>
    <x v="2"/>
    <x v="1"/>
    <x v="16"/>
    <x v="128"/>
    <s v="RUMI RESTAURANT AUCKLAND "/>
    <n v="-28.79"/>
    <x v="3"/>
    <x v="8"/>
    <x v="8"/>
  </r>
  <r>
    <x v="2"/>
    <x v="1"/>
    <x v="16"/>
    <x v="127"/>
    <s v="PAYMENT THANKYOU . "/>
    <n v="286.17"/>
    <x v="1"/>
    <x v="24"/>
    <x v="1"/>
  </r>
  <r>
    <x v="2"/>
    <x v="1"/>
    <x v="16"/>
    <x v="127"/>
    <s v="PAYMENT THANKYOU . "/>
    <n v="5.04"/>
    <x v="1"/>
    <x v="24"/>
    <x v="1"/>
  </r>
  <r>
    <x v="2"/>
    <x v="1"/>
    <x v="16"/>
    <x v="127"/>
    <s v="AT Hop Auckland Henderson "/>
    <n v="-16.71"/>
    <x v="6"/>
    <x v="9"/>
    <x v="33"/>
  </r>
  <r>
    <x v="2"/>
    <x v="1"/>
    <x v="16"/>
    <x v="629"/>
    <s v="TOWER INSURANCE - EIS 093692079 "/>
    <n v="-46.33"/>
    <x v="4"/>
    <x v="34"/>
    <x v="50"/>
  </r>
  <r>
    <x v="2"/>
    <x v="1"/>
    <x v="16"/>
    <x v="128"/>
    <s v="PAYMENT THANKYOU . "/>
    <n v="134.49"/>
    <x v="1"/>
    <x v="24"/>
    <x v="1"/>
  </r>
  <r>
    <x v="2"/>
    <x v="1"/>
    <x v="16"/>
    <x v="629"/>
    <s v="PAYMENT THANKYOU . "/>
    <n v="140.13999999999999"/>
    <x v="1"/>
    <x v="24"/>
    <x v="1"/>
  </r>
  <r>
    <x v="2"/>
    <x v="1"/>
    <x v="16"/>
    <x v="629"/>
    <s v="PAYMENT THANKYOU . "/>
    <n v="98.65"/>
    <x v="1"/>
    <x v="24"/>
    <x v="1"/>
  </r>
  <r>
    <x v="2"/>
    <x v="1"/>
    <x v="16"/>
    <x v="629"/>
    <s v="PAYMENT THANKYOU . "/>
    <n v="24.78"/>
    <x v="1"/>
    <x v="24"/>
    <x v="1"/>
  </r>
  <r>
    <x v="2"/>
    <x v="1"/>
    <x v="16"/>
    <x v="629"/>
    <s v="TD AKL SHOWROOM AUCKLAND "/>
    <n v="-35.340000000000003"/>
    <x v="3"/>
    <x v="3"/>
    <x v="3"/>
  </r>
  <r>
    <x v="2"/>
    <x v="1"/>
    <x v="16"/>
    <x v="629"/>
    <s v="H&amp;M AUCKLAND "/>
    <n v="-58.96"/>
    <x v="9"/>
    <x v="18"/>
    <x v="30"/>
  </r>
  <r>
    <x v="2"/>
    <x v="1"/>
    <x v="16"/>
    <x v="629"/>
    <s v="PAK N SAVE SYLVIA PARK AUCKLAND "/>
    <n v="-2.19"/>
    <x v="0"/>
    <x v="0"/>
    <x v="0"/>
  </r>
  <r>
    <x v="2"/>
    <x v="1"/>
    <x v="16"/>
    <x v="629"/>
    <s v="JAPAN MART SYLVIA PARK AUCKLAND "/>
    <n v="-18.12"/>
    <x v="0"/>
    <x v="0"/>
    <x v="0"/>
  </r>
  <r>
    <x v="2"/>
    <x v="1"/>
    <x v="16"/>
    <x v="281"/>
    <s v="Marketplace WWW.ALIEXPRES "/>
    <n v="-6.64"/>
    <x v="9"/>
    <x v="18"/>
    <x v="22"/>
  </r>
  <r>
    <x v="2"/>
    <x v="1"/>
    <x v="16"/>
    <x v="629"/>
    <s v="GULL MARUA ROAD AUCKLAND "/>
    <n v="-46.16"/>
    <x v="6"/>
    <x v="9"/>
    <x v="14"/>
  </r>
  <r>
    <x v="2"/>
    <x v="1"/>
    <x v="16"/>
    <x v="629"/>
    <s v="MITRE 10 MEGA MT WTGN MOUNT WELLING "/>
    <n v="-0.17"/>
    <x v="4"/>
    <x v="12"/>
    <x v="12"/>
  </r>
  <r>
    <x v="2"/>
    <x v="1"/>
    <x v="16"/>
    <x v="131"/>
    <s v="MYRENT AUCKLAND "/>
    <n v="-11.2"/>
    <x v="2"/>
    <x v="17"/>
    <x v="51"/>
  </r>
  <r>
    <x v="2"/>
    <x v="1"/>
    <x v="16"/>
    <x v="422"/>
    <s v="CONTACT ENERGY WELLINGTON "/>
    <n v="-134.86000000000001"/>
    <x v="4"/>
    <x v="5"/>
    <x v="5"/>
  </r>
  <r>
    <x v="2"/>
    <x v="1"/>
    <x v="16"/>
    <x v="131"/>
    <s v="PAYMENT THANKYOU . "/>
    <n v="286.64"/>
    <x v="1"/>
    <x v="24"/>
    <x v="1"/>
  </r>
  <r>
    <x v="2"/>
    <x v="1"/>
    <x v="16"/>
    <x v="131"/>
    <s v="PAYMENT THANKYOU . "/>
    <n v="202.03"/>
    <x v="1"/>
    <x v="24"/>
    <x v="1"/>
  </r>
  <r>
    <x v="2"/>
    <x v="1"/>
    <x v="16"/>
    <x v="630"/>
    <s v="MINISO AUCKLAND "/>
    <n v="-1.03"/>
    <x v="0"/>
    <x v="0"/>
    <x v="0"/>
  </r>
  <r>
    <x v="2"/>
    <x v="1"/>
    <x v="16"/>
    <x v="132"/>
    <s v="TD AKL SHOWROOM AUCKLAND "/>
    <n v="136.44"/>
    <x v="3"/>
    <x v="3"/>
    <x v="3"/>
  </r>
  <r>
    <x v="2"/>
    <x v="1"/>
    <x v="16"/>
    <x v="132"/>
    <s v="PAK N SAVE SYLVIA PARK AUCKLAND "/>
    <n v="-82.91"/>
    <x v="0"/>
    <x v="0"/>
    <x v="0"/>
  </r>
  <r>
    <x v="2"/>
    <x v="1"/>
    <x v="16"/>
    <x v="132"/>
    <s v="Washpod 06 Mt Wellington "/>
    <n v="-17.190000000000001"/>
    <x v="0"/>
    <x v="0"/>
    <x v="0"/>
  </r>
  <r>
    <x v="2"/>
    <x v="1"/>
    <x v="16"/>
    <x v="630"/>
    <s v="MITRE 10 MEGA MT WTGN MOUNT WELLING "/>
    <n v="-77.319999999999993"/>
    <x v="4"/>
    <x v="12"/>
    <x v="12"/>
  </r>
  <r>
    <x v="2"/>
    <x v="1"/>
    <x v="16"/>
    <x v="630"/>
    <s v="SKINNY AUCKLAND "/>
    <n v="-7.21"/>
    <x v="7"/>
    <x v="10"/>
    <x v="10"/>
  </r>
  <r>
    <x v="2"/>
    <x v="1"/>
    <x v="16"/>
    <x v="630"/>
    <s v="SKINNY AUCKLAND "/>
    <n v="-14.8"/>
    <x v="7"/>
    <x v="10"/>
    <x v="10"/>
  </r>
  <r>
    <x v="2"/>
    <x v="1"/>
    <x v="16"/>
    <x v="135"/>
    <s v="AIA NEW ZEALAND AUCKLAND "/>
    <n v="-40.93"/>
    <x v="3"/>
    <x v="6"/>
    <x v="6"/>
  </r>
  <r>
    <x v="2"/>
    <x v="1"/>
    <x v="16"/>
    <x v="137"/>
    <s v="NEW WORLD STONEFIELDS AUCKLAND NZ "/>
    <n v="-156.80000000000001"/>
    <x v="0"/>
    <x v="0"/>
    <x v="0"/>
  </r>
  <r>
    <x v="2"/>
    <x v="1"/>
    <x v="16"/>
    <x v="136"/>
    <s v="MITRE 10 MEGA MT WTGN MOUNT WELLING "/>
    <n v="-3.85"/>
    <x v="4"/>
    <x v="12"/>
    <x v="12"/>
  </r>
  <r>
    <x v="2"/>
    <x v="1"/>
    <x v="16"/>
    <x v="140"/>
    <s v="TOWER INSURANCE - EIS 093692079 "/>
    <n v="-32.03"/>
    <x v="12"/>
    <x v="33"/>
    <x v="49"/>
  </r>
  <r>
    <x v="2"/>
    <x v="1"/>
    <x v="16"/>
    <x v="140"/>
    <s v="TOWER INSURANCE - EIS 093692079 "/>
    <n v="-101.37"/>
    <x v="2"/>
    <x v="33"/>
    <x v="49"/>
  </r>
  <r>
    <x v="2"/>
    <x v="1"/>
    <x v="16"/>
    <x v="137"/>
    <s v="PAYMENT THANKYOU . "/>
    <n v="131.96"/>
    <x v="1"/>
    <x v="24"/>
    <x v="1"/>
  </r>
  <r>
    <x v="2"/>
    <x v="1"/>
    <x v="16"/>
    <x v="140"/>
    <s v="PAYMENT THANKYOU . "/>
    <n v="186.89"/>
    <x v="1"/>
    <x v="24"/>
    <x v="1"/>
  </r>
  <r>
    <x v="2"/>
    <x v="1"/>
    <x v="16"/>
    <x v="140"/>
    <s v="PAYMENT THANKYOU . "/>
    <n v="7.94"/>
    <x v="1"/>
    <x v="24"/>
    <x v="1"/>
  </r>
  <r>
    <x v="2"/>
    <x v="1"/>
    <x v="16"/>
    <x v="140"/>
    <s v="TOWER INSURANCE - EIS AUCKLAND "/>
    <n v="-40.049999999999997"/>
    <x v="4"/>
    <x v="11"/>
    <x v="11"/>
  </r>
  <r>
    <x v="2"/>
    <x v="1"/>
    <x v="16"/>
    <x v="140"/>
    <s v="MAISON DES LYS AUCKLAND "/>
    <n v="-20.2"/>
    <x v="0"/>
    <x v="0"/>
    <x v="0"/>
  </r>
  <r>
    <x v="2"/>
    <x v="1"/>
    <x v="16"/>
    <x v="140"/>
    <s v="PAYMENT THANKYOU . "/>
    <n v="413.88"/>
    <x v="1"/>
    <x v="24"/>
    <x v="1"/>
  </r>
  <r>
    <x v="2"/>
    <x v="1"/>
    <x v="16"/>
    <x v="140"/>
    <s v="Briscoes Panmure Mt Wellington "/>
    <n v="-355.48"/>
    <x v="4"/>
    <x v="12"/>
    <x v="12"/>
  </r>
  <r>
    <x v="2"/>
    <x v="1"/>
    <x v="16"/>
    <x v="140"/>
    <s v="MARTHA'S BACKYARD GLEN INNES "/>
    <n v="-13.05"/>
    <x v="0"/>
    <x v="0"/>
    <x v="0"/>
  </r>
  <r>
    <x v="2"/>
    <x v="1"/>
    <x v="16"/>
    <x v="140"/>
    <s v="PAYMENT THANKYOU . "/>
    <n v="117.77"/>
    <x v="1"/>
    <x v="24"/>
    <x v="1"/>
  </r>
  <r>
    <x v="2"/>
    <x v="1"/>
    <x v="16"/>
    <x v="140"/>
    <s v="Modere New Zealand Lim 64 09 828 901 "/>
    <n v="-139.59"/>
    <x v="10"/>
    <x v="20"/>
    <x v="27"/>
  </r>
  <r>
    <x v="2"/>
    <x v="1"/>
    <x v="16"/>
    <x v="140"/>
    <s v="Chemist Warehouse NZ Onli Auckland "/>
    <n v="-34.15"/>
    <x v="0"/>
    <x v="0"/>
    <x v="0"/>
  </r>
  <r>
    <x v="2"/>
    <x v="1"/>
    <x v="16"/>
    <x v="141"/>
    <s v="PAYMENT THANKYOU . "/>
    <n v="30.9"/>
    <x v="1"/>
    <x v="24"/>
    <x v="1"/>
  </r>
  <r>
    <x v="2"/>
    <x v="1"/>
    <x v="16"/>
    <x v="141"/>
    <s v="Good George NW North Wharf "/>
    <n v="-2.34"/>
    <x v="3"/>
    <x v="8"/>
    <x v="8"/>
  </r>
  <r>
    <x v="2"/>
    <x v="1"/>
    <x v="16"/>
    <x v="142"/>
    <s v="YUM CHA RESTAURANT AUCKLAND "/>
    <n v="-106.96"/>
    <x v="3"/>
    <x v="8"/>
    <x v="8"/>
  </r>
  <r>
    <x v="2"/>
    <x v="1"/>
    <x v="16"/>
    <x v="142"/>
    <s v="THEA LTD AUCKLAND "/>
    <n v="-31.08"/>
    <x v="0"/>
    <x v="0"/>
    <x v="0"/>
  </r>
  <r>
    <x v="2"/>
    <x v="1"/>
    <x v="16"/>
    <x v="141"/>
    <s v="PAYMENT THANKYOU . "/>
    <n v="79.290000000000006"/>
    <x v="1"/>
    <x v="24"/>
    <x v="1"/>
  </r>
  <r>
    <x v="2"/>
    <x v="1"/>
    <x v="16"/>
    <x v="141"/>
    <s v="PAYMENT THANKYOU . "/>
    <n v="5.76"/>
    <x v="1"/>
    <x v="24"/>
    <x v="1"/>
  </r>
  <r>
    <x v="2"/>
    <x v="1"/>
    <x v="16"/>
    <x v="141"/>
    <s v="PAK N SAVE SYLVIA PARK AUCKLAND "/>
    <n v="-98.22"/>
    <x v="0"/>
    <x v="0"/>
    <x v="0"/>
  </r>
  <r>
    <x v="2"/>
    <x v="1"/>
    <x v="16"/>
    <x v="631"/>
    <s v="FOREIGN CURRENCY TXN FEE  "/>
    <n v="-0.04"/>
    <x v="5"/>
    <x v="7"/>
    <x v="7"/>
  </r>
  <r>
    <x v="2"/>
    <x v="1"/>
    <x v="16"/>
    <x v="631"/>
    <s v="CURRENCY CONV ASSESSMENT  "/>
    <n v="-0.03"/>
    <x v="5"/>
    <x v="7"/>
    <x v="7"/>
  </r>
  <r>
    <x v="2"/>
    <x v="1"/>
    <x v="16"/>
    <x v="631"/>
    <s v="US MOBILE* US MOBILE WWW.USMOBILE. NY;8.57 US DOLLAR  $ at 0.5798"/>
    <n v="-5.25"/>
    <x v="7"/>
    <x v="13"/>
    <x v="15"/>
  </r>
  <r>
    <x v="2"/>
    <x v="1"/>
    <x v="16"/>
    <x v="631"/>
    <s v="COUNTDOWN GREEN/326 GREAT GREENLANE "/>
    <n v="-117.64"/>
    <x v="0"/>
    <x v="0"/>
    <x v="0"/>
  </r>
  <r>
    <x v="2"/>
    <x v="1"/>
    <x v="16"/>
    <x v="143"/>
    <s v="PAYMENT THANKYOU . "/>
    <n v="13.24"/>
    <x v="1"/>
    <x v="24"/>
    <x v="1"/>
  </r>
  <r>
    <x v="2"/>
    <x v="1"/>
    <x v="16"/>
    <x v="143"/>
    <s v="PAYMENT THANKYOU . "/>
    <n v="107.72"/>
    <x v="1"/>
    <x v="24"/>
    <x v="1"/>
  </r>
  <r>
    <x v="2"/>
    <x v="1"/>
    <x v="16"/>
    <x v="631"/>
    <s v="PAYMENT THANKYOU . "/>
    <n v="49.16"/>
    <x v="1"/>
    <x v="24"/>
    <x v="1"/>
  </r>
  <r>
    <x v="2"/>
    <x v="1"/>
    <x v="16"/>
    <x v="631"/>
    <s v="BP CONNECT BOULEVARD AUCKLAND "/>
    <n v="-199.44"/>
    <x v="6"/>
    <x v="9"/>
    <x v="14"/>
  </r>
  <r>
    <x v="2"/>
    <x v="1"/>
    <x v="16"/>
    <x v="631"/>
    <s v="Global Beverages Nz Li Taupo "/>
    <n v="-24.12"/>
    <x v="3"/>
    <x v="3"/>
    <x v="34"/>
  </r>
  <r>
    <x v="2"/>
    <x v="1"/>
    <x v="16"/>
    <x v="631"/>
    <s v="WHOLESALE PRODUCE AUCKLAND "/>
    <n v="-12.58"/>
    <x v="0"/>
    <x v="0"/>
    <x v="0"/>
  </r>
  <r>
    <x v="2"/>
    <x v="1"/>
    <x v="16"/>
    <x v="146"/>
    <s v="ACCOUNT FEE CREDIT  "/>
    <n v="112.45"/>
    <x v="5"/>
    <x v="7"/>
    <x v="7"/>
  </r>
  <r>
    <x v="2"/>
    <x v="1"/>
    <x v="16"/>
    <x v="146"/>
    <s v=" +ACCOUNT FEE  "/>
    <n v="-115.96"/>
    <x v="5"/>
    <x v="7"/>
    <x v="7"/>
  </r>
  <r>
    <x v="2"/>
    <x v="1"/>
    <x v="16"/>
    <x v="146"/>
    <s v="PAYMENT THANKYOU . "/>
    <n v="0.1"/>
    <x v="1"/>
    <x v="24"/>
    <x v="1"/>
  </r>
  <r>
    <x v="2"/>
    <x v="1"/>
    <x v="16"/>
    <x v="147"/>
    <s v="PAK N SAVE SYLVIA PARK AUCKLAND "/>
    <n v="-26.04"/>
    <x v="0"/>
    <x v="0"/>
    <x v="0"/>
  </r>
  <r>
    <x v="2"/>
    <x v="1"/>
    <x v="16"/>
    <x v="147"/>
    <s v="YOYOSO SYLVIA PARK AUCKLAND "/>
    <n v="-2.27"/>
    <x v="0"/>
    <x v="0"/>
    <x v="0"/>
  </r>
  <r>
    <x v="2"/>
    <x v="1"/>
    <x v="16"/>
    <x v="150"/>
    <s v="PAYMENT THANKYOU . "/>
    <n v="26.53"/>
    <x v="1"/>
    <x v="24"/>
    <x v="1"/>
  </r>
  <r>
    <x v="2"/>
    <x v="1"/>
    <x v="16"/>
    <x v="150"/>
    <s v="SYNERGY HAIR NEWMARKET AUCKLAND "/>
    <n v="-68.38"/>
    <x v="9"/>
    <x v="29"/>
    <x v="44"/>
  </r>
  <r>
    <x v="2"/>
    <x v="1"/>
    <x v="16"/>
    <x v="150"/>
    <s v="JAPAN MART NEW MARKET AUCKLAND "/>
    <n v="-5"/>
    <x v="0"/>
    <x v="0"/>
    <x v="0"/>
  </r>
  <r>
    <x v="2"/>
    <x v="1"/>
    <x v="16"/>
    <x v="150"/>
    <s v="TSUJIRI AUCKLAND "/>
    <n v="-7.94"/>
    <x v="0"/>
    <x v="0"/>
    <x v="0"/>
  </r>
  <r>
    <x v="2"/>
    <x v="1"/>
    <x v="16"/>
    <x v="604"/>
    <s v="PAYMENT THANKYOU . "/>
    <n v="51.63"/>
    <x v="1"/>
    <x v="24"/>
    <x v="1"/>
  </r>
  <r>
    <x v="2"/>
    <x v="1"/>
    <x v="16"/>
    <x v="150"/>
    <s v="PAYMENT THANKYOU . "/>
    <n v="127.15"/>
    <x v="1"/>
    <x v="24"/>
    <x v="1"/>
  </r>
  <r>
    <x v="2"/>
    <x v="1"/>
    <x v="16"/>
    <x v="150"/>
    <s v="PAK N SAVE SYLVIA PARK AUCKLAND "/>
    <n v="-16.89"/>
    <x v="0"/>
    <x v="0"/>
    <x v="0"/>
  </r>
  <r>
    <x v="2"/>
    <x v="1"/>
    <x v="16"/>
    <x v="150"/>
    <s v="BUNNINGS - 9493 MT WELLINGTON "/>
    <n v="-101.22"/>
    <x v="4"/>
    <x v="12"/>
    <x v="12"/>
  </r>
  <r>
    <x v="2"/>
    <x v="1"/>
    <x v="16"/>
    <x v="151"/>
    <s v="APPLE.COM/BILL SYDNEY "/>
    <n v="-18.62"/>
    <x v="7"/>
    <x v="16"/>
    <x v="19"/>
  </r>
  <r>
    <x v="2"/>
    <x v="1"/>
    <x v="16"/>
    <x v="150"/>
    <s v="PAYMENT THANKYOU . "/>
    <n v="15.59"/>
    <x v="1"/>
    <x v="24"/>
    <x v="1"/>
  </r>
  <r>
    <x v="2"/>
    <x v="1"/>
    <x v="16"/>
    <x v="152"/>
    <s v="FOREIGN CURRENCY TXN FEE  "/>
    <n v="-1.03"/>
    <x v="5"/>
    <x v="7"/>
    <x v="7"/>
  </r>
  <r>
    <x v="2"/>
    <x v="1"/>
    <x v="16"/>
    <x v="152"/>
    <s v="CURRENCY CONV ASSESSMENT  "/>
    <n v="-3.64"/>
    <x v="5"/>
    <x v="7"/>
    <x v="7"/>
  </r>
  <r>
    <x v="2"/>
    <x v="1"/>
    <x v="16"/>
    <x v="152"/>
    <s v="Bulk Nutrients 61362664725 ;348.78 AUSTRALIAN DOLLAR at 0.9154"/>
    <n v="-450.8"/>
    <x v="3"/>
    <x v="14"/>
    <x v="17"/>
  </r>
  <r>
    <x v="2"/>
    <x v="1"/>
    <x v="16"/>
    <x v="151"/>
    <s v="TOWER INSURANCE - EIS 093692079 "/>
    <n v="-43.89"/>
    <x v="4"/>
    <x v="34"/>
    <x v="50"/>
  </r>
  <r>
    <x v="2"/>
    <x v="1"/>
    <x v="16"/>
    <x v="150"/>
    <s v="PAYMENT THANKYOU . "/>
    <n v="15.81"/>
    <x v="1"/>
    <x v="24"/>
    <x v="1"/>
  </r>
  <r>
    <x v="2"/>
    <x v="1"/>
    <x v="16"/>
    <x v="151"/>
    <s v="PAYMENT THANKYOU . "/>
    <n v="569.75"/>
    <x v="1"/>
    <x v="24"/>
    <x v="1"/>
  </r>
  <r>
    <x v="2"/>
    <x v="1"/>
    <x v="16"/>
    <x v="151"/>
    <s v="Watercare Online Remuera "/>
    <n v="-73.55"/>
    <x v="4"/>
    <x v="4"/>
    <x v="4"/>
  </r>
  <r>
    <x v="2"/>
    <x v="1"/>
    <x v="16"/>
    <x v="151"/>
    <s v="Watercare Services Ltd Remuera "/>
    <n v="-0.36"/>
    <x v="4"/>
    <x v="4"/>
    <x v="4"/>
  </r>
  <r>
    <x v="2"/>
    <x v="1"/>
    <x v="16"/>
    <x v="605"/>
    <s v="FOREIGN CURRENCY TXN FEE  "/>
    <n v="-0.45"/>
    <x v="5"/>
    <x v="7"/>
    <x v="7"/>
  </r>
  <r>
    <x v="2"/>
    <x v="1"/>
    <x v="16"/>
    <x v="605"/>
    <s v="CURRENCY CONV ASSESSMENT  "/>
    <n v="-1.01"/>
    <x v="5"/>
    <x v="7"/>
    <x v="7"/>
  </r>
  <r>
    <x v="2"/>
    <x v="1"/>
    <x v="16"/>
    <x v="605"/>
    <s v="AMAZON RETA* AMAZON AU SYDNEY SOUTH ;64.25 AUSTRALIAN DOLLAR at 0.9167"/>
    <n v="-59"/>
    <x v="9"/>
    <x v="18"/>
    <x v="22"/>
  </r>
  <r>
    <x v="2"/>
    <x v="1"/>
    <x v="16"/>
    <x v="153"/>
    <s v="Onceit Newmarket "/>
    <n v="-60.7"/>
    <x v="9"/>
    <x v="18"/>
    <x v="30"/>
  </r>
  <r>
    <x v="2"/>
    <x v="1"/>
    <x v="16"/>
    <x v="153"/>
    <s v="THEA LTD AUCKLAND "/>
    <n v="-12.95"/>
    <x v="0"/>
    <x v="0"/>
    <x v="0"/>
  </r>
  <r>
    <x v="2"/>
    <x v="1"/>
    <x v="16"/>
    <x v="152"/>
    <s v="PAYMENT THANKYOU . "/>
    <n v="6.99"/>
    <x v="1"/>
    <x v="24"/>
    <x v="1"/>
  </r>
  <r>
    <x v="2"/>
    <x v="1"/>
    <x v="16"/>
    <x v="605"/>
    <s v="CONTACT ENERGY WELLINGTON "/>
    <n v="-287.97000000000003"/>
    <x v="4"/>
    <x v="5"/>
    <x v="5"/>
  </r>
  <r>
    <x v="2"/>
    <x v="1"/>
    <x v="16"/>
    <x v="153"/>
    <s v="PAYMENT THANKYOU . "/>
    <n v="83.26"/>
    <x v="1"/>
    <x v="24"/>
    <x v="1"/>
  </r>
  <r>
    <x v="2"/>
    <x v="1"/>
    <x v="16"/>
    <x v="153"/>
    <s v="PAYMENT THANKYOU . "/>
    <n v="107.94"/>
    <x v="1"/>
    <x v="24"/>
    <x v="1"/>
  </r>
  <r>
    <x v="2"/>
    <x v="1"/>
    <x v="16"/>
    <x v="153"/>
    <s v="PAYMENT THANKYOU . "/>
    <n v="8.1"/>
    <x v="1"/>
    <x v="24"/>
    <x v="1"/>
  </r>
  <r>
    <x v="2"/>
    <x v="1"/>
    <x v="16"/>
    <x v="153"/>
    <s v="PAYMENT THANKYOU . "/>
    <n v="119.99"/>
    <x v="1"/>
    <x v="24"/>
    <x v="1"/>
  </r>
  <r>
    <x v="2"/>
    <x v="1"/>
    <x v="16"/>
    <x v="153"/>
    <s v="PAK N SAVE SYLVIA PARK AUCKLAND "/>
    <n v="-21.53"/>
    <x v="0"/>
    <x v="0"/>
    <x v="0"/>
  </r>
  <r>
    <x v="2"/>
    <x v="1"/>
    <x v="16"/>
    <x v="153"/>
    <s v="CW Sylvia Park Glen Innes "/>
    <n v="-0.35"/>
    <x v="9"/>
    <x v="18"/>
    <x v="30"/>
  </r>
  <r>
    <x v="2"/>
    <x v="1"/>
    <x v="16"/>
    <x v="155"/>
    <s v="MYRENT AUCKLAND "/>
    <n v="-51.46"/>
    <x v="12"/>
    <x v="17"/>
    <x v="51"/>
  </r>
  <r>
    <x v="2"/>
    <x v="1"/>
    <x v="16"/>
    <x v="605"/>
    <s v="PAYMENT THANKYOU . "/>
    <n v="63.19"/>
    <x v="1"/>
    <x v="24"/>
    <x v="1"/>
  </r>
  <r>
    <x v="2"/>
    <x v="1"/>
    <x v="16"/>
    <x v="155"/>
    <s v="PAYMENT THANKYOU . "/>
    <n v="0.39"/>
    <x v="1"/>
    <x v="24"/>
    <x v="1"/>
  </r>
  <r>
    <x v="2"/>
    <x v="1"/>
    <x v="16"/>
    <x v="155"/>
    <s v="PAYMENT THANKYOU . "/>
    <n v="6.52"/>
    <x v="1"/>
    <x v="24"/>
    <x v="1"/>
  </r>
  <r>
    <x v="2"/>
    <x v="1"/>
    <x v="16"/>
    <x v="155"/>
    <s v="SKINNY MOBILE (3) AUCKLAND "/>
    <n v="-10.27"/>
    <x v="7"/>
    <x v="10"/>
    <x v="10"/>
  </r>
  <r>
    <x v="2"/>
    <x v="1"/>
    <x v="16"/>
    <x v="155"/>
    <s v="SKINNY MOBILE (3) AUCKLAND "/>
    <n v="-5.91"/>
    <x v="7"/>
    <x v="10"/>
    <x v="10"/>
  </r>
  <r>
    <x v="2"/>
    <x v="1"/>
    <x v="16"/>
    <x v="155"/>
    <s v="SKINNY MOBILE (1) AUCKLAND "/>
    <n v="-10.74"/>
    <x v="7"/>
    <x v="10"/>
    <x v="10"/>
  </r>
  <r>
    <x v="2"/>
    <x v="1"/>
    <x v="16"/>
    <x v="155"/>
    <s v="NEW WORLD STONEFIELDS AUCKLAND NZ "/>
    <n v="-6.44"/>
    <x v="0"/>
    <x v="0"/>
    <x v="0"/>
  </r>
  <r>
    <x v="2"/>
    <x v="1"/>
    <x v="16"/>
    <x v="155"/>
    <s v="PAYMENT THANKYOU . "/>
    <n v="5.59"/>
    <x v="1"/>
    <x v="24"/>
    <x v="1"/>
  </r>
  <r>
    <x v="2"/>
    <x v="1"/>
    <x v="16"/>
    <x v="155"/>
    <s v="Skycity Entertainmen Auckland "/>
    <n v="-12.9"/>
    <x v="3"/>
    <x v="3"/>
    <x v="34"/>
  </r>
  <r>
    <x v="2"/>
    <x v="1"/>
    <x v="16"/>
    <x v="283"/>
    <s v="MITRE 10 MEGA MT WTGN MOUNT WELLING "/>
    <n v="-31.38"/>
    <x v="4"/>
    <x v="12"/>
    <x v="12"/>
  </r>
  <r>
    <x v="2"/>
    <x v="1"/>
    <x v="16"/>
    <x v="155"/>
    <s v="PAYMENT THANKYOU . "/>
    <n v="12.92"/>
    <x v="1"/>
    <x v="24"/>
    <x v="1"/>
  </r>
  <r>
    <x v="2"/>
    <x v="1"/>
    <x v="16"/>
    <x v="155"/>
    <s v="PAYMENT THANKYOU . "/>
    <n v="56.54"/>
    <x v="1"/>
    <x v="24"/>
    <x v="1"/>
  </r>
  <r>
    <x v="2"/>
    <x v="1"/>
    <x v="16"/>
    <x v="157"/>
    <s v="AIA NEW ZEALAND AUCKLAND "/>
    <n v="-26.99"/>
    <x v="3"/>
    <x v="6"/>
    <x v="6"/>
  </r>
  <r>
    <x v="2"/>
    <x v="1"/>
    <x v="16"/>
    <x v="156"/>
    <s v="PAYMENT THANKYOU . "/>
    <n v="145.96"/>
    <x v="1"/>
    <x v="24"/>
    <x v="1"/>
  </r>
  <r>
    <x v="2"/>
    <x v="1"/>
    <x v="16"/>
    <x v="606"/>
    <s v="HESARISUPERMARKETPANMURE AUCKLAND "/>
    <n v="-98.07"/>
    <x v="0"/>
    <x v="0"/>
    <x v="0"/>
  </r>
  <r>
    <x v="2"/>
    <x v="1"/>
    <x v="16"/>
    <x v="606"/>
    <s v="PAK N SAVE SYLVIA PARK AUCKLAND "/>
    <n v="-64.05"/>
    <x v="0"/>
    <x v="0"/>
    <x v="0"/>
  </r>
  <r>
    <x v="2"/>
    <x v="1"/>
    <x v="16"/>
    <x v="606"/>
    <s v="HESARI BAKERY LIMITED AUCKLAND "/>
    <n v="-9.8699999999999992"/>
    <x v="0"/>
    <x v="0"/>
    <x v="0"/>
  </r>
  <r>
    <x v="2"/>
    <x v="1"/>
    <x v="16"/>
    <x v="157"/>
    <s v="PAYMENT THANKYOU . "/>
    <n v="136.72"/>
    <x v="1"/>
    <x v="24"/>
    <x v="1"/>
  </r>
  <r>
    <x v="2"/>
    <x v="1"/>
    <x v="16"/>
    <x v="157"/>
    <s v="PAYMENT THANKYOU . "/>
    <n v="34.53"/>
    <x v="1"/>
    <x v="24"/>
    <x v="1"/>
  </r>
  <r>
    <x v="2"/>
    <x v="1"/>
    <x v="16"/>
    <x v="157"/>
    <s v="Kings Plant Barn Mount Welling "/>
    <n v="-64.209999999999994"/>
    <x v="4"/>
    <x v="12"/>
    <x v="12"/>
  </r>
  <r>
    <x v="2"/>
    <x v="1"/>
    <x v="16"/>
    <x v="157"/>
    <s v="Dick Smith RH7PKXBL Auckland "/>
    <n v="-56.32"/>
    <x v="4"/>
    <x v="12"/>
    <x v="12"/>
  </r>
  <r>
    <x v="2"/>
    <x v="1"/>
    <x v="16"/>
    <x v="157"/>
    <s v="Kings Plant Barn Mount Welling "/>
    <n v="-9.7899999999999991"/>
    <x v="4"/>
    <x v="12"/>
    <x v="12"/>
  </r>
  <r>
    <x v="2"/>
    <x v="1"/>
    <x v="16"/>
    <x v="160"/>
    <s v="THE COSMETIC CLINIC AUCKLAND "/>
    <n v="-187.44"/>
    <x v="10"/>
    <x v="20"/>
    <x v="27"/>
  </r>
  <r>
    <x v="2"/>
    <x v="1"/>
    <x v="16"/>
    <x v="160"/>
    <s v="COUNTDOWN GREEN/326 GREAT GREENLANE "/>
    <n v="-20.49"/>
    <x v="0"/>
    <x v="0"/>
    <x v="0"/>
  </r>
  <r>
    <x v="2"/>
    <x v="1"/>
    <x v="16"/>
    <x v="160"/>
    <s v="PAYMENT THANKYOU . "/>
    <n v="52.81"/>
    <x v="1"/>
    <x v="24"/>
    <x v="1"/>
  </r>
  <r>
    <x v="2"/>
    <x v="1"/>
    <x v="16"/>
    <x v="160"/>
    <s v="PAYMENT THANKYOU . "/>
    <n v="62.51"/>
    <x v="1"/>
    <x v="24"/>
    <x v="1"/>
  </r>
  <r>
    <x v="2"/>
    <x v="1"/>
    <x v="16"/>
    <x v="160"/>
    <s v="THE HOTEL BRITOMART AUCKLAND "/>
    <n v="-191.41"/>
    <x v="3"/>
    <x v="8"/>
    <x v="8"/>
  </r>
  <r>
    <x v="2"/>
    <x v="1"/>
    <x v="16"/>
    <x v="160"/>
    <s v="H&amp;M COMMERCIAL BAY AUCKLAND "/>
    <n v="-12.56"/>
    <x v="9"/>
    <x v="18"/>
    <x v="30"/>
  </r>
  <r>
    <x v="2"/>
    <x v="1"/>
    <x v="16"/>
    <x v="160"/>
    <s v="Downtown Car Park Auckland "/>
    <n v="-4.13"/>
    <x v="6"/>
    <x v="9"/>
    <x v="21"/>
  </r>
  <r>
    <x v="2"/>
    <x v="1"/>
    <x v="16"/>
    <x v="160"/>
    <s v="TART BAKERY AUCKLAND "/>
    <n v="-8.65"/>
    <x v="0"/>
    <x v="0"/>
    <x v="0"/>
  </r>
  <r>
    <x v="2"/>
    <x v="1"/>
    <x v="16"/>
    <x v="160"/>
    <s v="PAYMENT THANKYOU . "/>
    <n v="59.13"/>
    <x v="1"/>
    <x v="24"/>
    <x v="1"/>
  </r>
  <r>
    <x v="2"/>
    <x v="1"/>
    <x v="16"/>
    <x v="160"/>
    <s v="PAYMENT THANKYOU . "/>
    <n v="538.29999999999995"/>
    <x v="1"/>
    <x v="24"/>
    <x v="1"/>
  </r>
  <r>
    <x v="2"/>
    <x v="1"/>
    <x v="16"/>
    <x v="160"/>
    <s v="PAYMENT THANKYOU . "/>
    <n v="2265.81"/>
    <x v="1"/>
    <x v="24"/>
    <x v="1"/>
  </r>
  <r>
    <x v="2"/>
    <x v="1"/>
    <x v="16"/>
    <x v="160"/>
    <s v="PAYMENT THANKYOU . "/>
    <n v="490.8"/>
    <x v="1"/>
    <x v="24"/>
    <x v="1"/>
  </r>
  <r>
    <x v="2"/>
    <x v="1"/>
    <x v="16"/>
    <x v="160"/>
    <s v="PAYMENT THANKYOU . "/>
    <n v="9.33"/>
    <x v="1"/>
    <x v="24"/>
    <x v="1"/>
  </r>
  <r>
    <x v="2"/>
    <x v="1"/>
    <x v="16"/>
    <x v="160"/>
    <s v="TRADE DEPOT LIMITED AUCKLAND "/>
    <n v="-20.16"/>
    <x v="4"/>
    <x v="12"/>
    <x v="12"/>
  </r>
  <r>
    <x v="2"/>
    <x v="1"/>
    <x v="16"/>
    <x v="160"/>
    <s v="AKL COUNCIL ONLINE AUCKLAND "/>
    <n v="-1901.03"/>
    <x v="2"/>
    <x v="28"/>
    <x v="43"/>
  </r>
  <r>
    <x v="2"/>
    <x v="1"/>
    <x v="16"/>
    <x v="160"/>
    <s v="The Whitening Co Auckland "/>
    <n v="-86.37"/>
    <x v="10"/>
    <x v="20"/>
    <x v="27"/>
  </r>
  <r>
    <x v="2"/>
    <x v="1"/>
    <x v="16"/>
    <x v="160"/>
    <s v="TSUJIRI AUCKLAND "/>
    <n v="-7.44"/>
    <x v="0"/>
    <x v="0"/>
    <x v="0"/>
  </r>
  <r>
    <x v="2"/>
    <x v="1"/>
    <x v="16"/>
    <x v="160"/>
    <s v="Auckland Council Conv Fee AUCKLAND "/>
    <n v="-45.99"/>
    <x v="2"/>
    <x v="28"/>
    <x v="43"/>
  </r>
  <r>
    <x v="2"/>
    <x v="1"/>
    <x v="16"/>
    <x v="160"/>
    <s v="Crispy Eatery Auckland "/>
    <n v="-2.35"/>
    <x v="3"/>
    <x v="8"/>
    <x v="8"/>
  </r>
  <r>
    <x v="2"/>
    <x v="1"/>
    <x v="16"/>
    <x v="161"/>
    <s v="TOWER INSURANCE - EIS 093692079 "/>
    <n v="-97.17"/>
    <x v="2"/>
    <x v="33"/>
    <x v="49"/>
  </r>
  <r>
    <x v="2"/>
    <x v="1"/>
    <x v="16"/>
    <x v="161"/>
    <s v="TOWER INSURANCE - EIS 093692079 "/>
    <n v="-0.59"/>
    <x v="4"/>
    <x v="11"/>
    <x v="11"/>
  </r>
  <r>
    <x v="2"/>
    <x v="1"/>
    <x v="16"/>
    <x v="161"/>
    <s v="TOWER INSURANCE - EIS 093692079 "/>
    <n v="-5.97"/>
    <x v="12"/>
    <x v="33"/>
    <x v="49"/>
  </r>
  <r>
    <x v="2"/>
    <x v="1"/>
    <x v="16"/>
    <x v="161"/>
    <s v="LE PETITE FOURCHETTE AUCKLAND "/>
    <n v="-1.72"/>
    <x v="0"/>
    <x v="0"/>
    <x v="0"/>
  </r>
  <r>
    <x v="2"/>
    <x v="1"/>
    <x v="16"/>
    <x v="160"/>
    <s v="PAYMENT THANKYOU . "/>
    <n v="350.19"/>
    <x v="1"/>
    <x v="24"/>
    <x v="1"/>
  </r>
  <r>
    <x v="2"/>
    <x v="1"/>
    <x v="16"/>
    <x v="160"/>
    <s v="PAYMENT THANKYOU . "/>
    <n v="28.64"/>
    <x v="1"/>
    <x v="24"/>
    <x v="1"/>
  </r>
  <r>
    <x v="2"/>
    <x v="1"/>
    <x v="16"/>
    <x v="163"/>
    <s v="Chemist Warehouse NZ Onli Auckland "/>
    <n v="3.79"/>
    <x v="0"/>
    <x v="0"/>
    <x v="0"/>
  </r>
  <r>
    <x v="2"/>
    <x v="1"/>
    <x v="16"/>
    <x v="162"/>
    <s v="Chemist Warehouse NZ Onli Auckland "/>
    <n v="-113.32"/>
    <x v="0"/>
    <x v="0"/>
    <x v="0"/>
  </r>
  <r>
    <x v="2"/>
    <x v="1"/>
    <x v="16"/>
    <x v="162"/>
    <s v="UBER* TRIP CHRISTCHURCH "/>
    <n v="-13.5"/>
    <x v="6"/>
    <x v="9"/>
    <x v="33"/>
  </r>
  <r>
    <x v="2"/>
    <x v="1"/>
    <x v="16"/>
    <x v="161"/>
    <s v="PAYMENT THANKYOU . "/>
    <n v="190.04"/>
    <x v="1"/>
    <x v="24"/>
    <x v="1"/>
  </r>
  <r>
    <x v="2"/>
    <x v="1"/>
    <x v="16"/>
    <x v="161"/>
    <s v="Mighty APE Limited Millwater "/>
    <n v="-170.81"/>
    <x v="4"/>
    <x v="12"/>
    <x v="12"/>
  </r>
  <r>
    <x v="2"/>
    <x v="1"/>
    <x v="16"/>
    <x v="162"/>
    <s v="PAYMENT THANKYOU . "/>
    <n v="225.44"/>
    <x v="1"/>
    <x v="24"/>
    <x v="1"/>
  </r>
  <r>
    <x v="2"/>
    <x v="1"/>
    <x v="16"/>
    <x v="632"/>
    <s v="SP NIO TEAS ZURICH "/>
    <n v="-143.41"/>
    <x v="3"/>
    <x v="8"/>
    <x v="8"/>
  </r>
  <r>
    <x v="2"/>
    <x v="1"/>
    <x v="16"/>
    <x v="164"/>
    <s v="SP FOXTROT HOME WAIPUKURAU "/>
    <n v="-14.9"/>
    <x v="9"/>
    <x v="18"/>
    <x v="30"/>
  </r>
  <r>
    <x v="2"/>
    <x v="1"/>
    <x v="16"/>
    <x v="164"/>
    <s v="SP LUMOGLOW AUCKLAND "/>
    <n v="-170.2"/>
    <x v="3"/>
    <x v="8"/>
    <x v="8"/>
  </r>
  <r>
    <x v="2"/>
    <x v="1"/>
    <x v="16"/>
    <x v="163"/>
    <s v="PAYMENT THANKYOU . "/>
    <n v="19.329999999999998"/>
    <x v="1"/>
    <x v="24"/>
    <x v="1"/>
  </r>
  <r>
    <x v="2"/>
    <x v="1"/>
    <x v="16"/>
    <x v="163"/>
    <s v="The Whitening Co Auckland "/>
    <n v="-142.87"/>
    <x v="10"/>
    <x v="20"/>
    <x v="27"/>
  </r>
  <r>
    <x v="2"/>
    <x v="1"/>
    <x v="16"/>
    <x v="632"/>
    <s v="MECCA SYLVIA PARK AUCKLAND "/>
    <n v="-99.61"/>
    <x v="9"/>
    <x v="29"/>
    <x v="48"/>
  </r>
  <r>
    <x v="2"/>
    <x v="1"/>
    <x v="16"/>
    <x v="632"/>
    <s v="FARMERS AUCKLAND "/>
    <n v="-128.86000000000001"/>
    <x v="4"/>
    <x v="12"/>
    <x v="12"/>
  </r>
  <r>
    <x v="2"/>
    <x v="1"/>
    <x v="16"/>
    <x v="632"/>
    <s v="PAK N SAVE SYLVIA PARK AUCKLAND "/>
    <n v="-22.36"/>
    <x v="0"/>
    <x v="0"/>
    <x v="0"/>
  </r>
  <r>
    <x v="2"/>
    <x v="1"/>
    <x v="16"/>
    <x v="632"/>
    <s v="KMART AUCKLAND "/>
    <n v="-3.3"/>
    <x v="4"/>
    <x v="12"/>
    <x v="12"/>
  </r>
  <r>
    <x v="2"/>
    <x v="1"/>
    <x v="16"/>
    <x v="164"/>
    <s v="PAYMENT THANKYOU . "/>
    <n v="277.23"/>
    <x v="1"/>
    <x v="24"/>
    <x v="1"/>
  </r>
  <r>
    <x v="2"/>
    <x v="1"/>
    <x v="16"/>
    <x v="632"/>
    <s v="PAYMENT THANKYOU . "/>
    <n v="526.57000000000005"/>
    <x v="1"/>
    <x v="24"/>
    <x v="1"/>
  </r>
  <r>
    <x v="2"/>
    <x v="1"/>
    <x v="16"/>
    <x v="632"/>
    <s v="PAYMENT THANKYOU . "/>
    <n v="671.34"/>
    <x v="1"/>
    <x v="24"/>
    <x v="1"/>
  </r>
  <r>
    <x v="2"/>
    <x v="1"/>
    <x v="16"/>
    <x v="632"/>
    <s v="SHERIDAN ONEHUNGA AUCKLAND "/>
    <n v="-31.79"/>
    <x v="4"/>
    <x v="12"/>
    <x v="12"/>
  </r>
  <r>
    <x v="2"/>
    <x v="1"/>
    <x v="16"/>
    <x v="632"/>
    <s v="R&amp;G DRESSMART AUCKLAND "/>
    <n v="-46.89"/>
    <x v="9"/>
    <x v="18"/>
    <x v="30"/>
  </r>
  <r>
    <x v="2"/>
    <x v="1"/>
    <x v="16"/>
    <x v="632"/>
    <s v="WILD FERNS NEW ZEALAND AUCKLAND "/>
    <n v="-5.04"/>
    <x v="3"/>
    <x v="8"/>
    <x v="8"/>
  </r>
  <r>
    <x v="2"/>
    <x v="1"/>
    <x v="16"/>
    <x v="632"/>
    <s v="GLENGARRY WINES AUCKLAND "/>
    <n v="-96"/>
    <x v="3"/>
    <x v="3"/>
    <x v="34"/>
  </r>
  <r>
    <x v="2"/>
    <x v="1"/>
    <x v="16"/>
    <x v="632"/>
    <s v="CUE ONEHUNGA AUCKLAND "/>
    <n v="-21.09"/>
    <x v="9"/>
    <x v="18"/>
    <x v="30"/>
  </r>
  <r>
    <x v="2"/>
    <x v="1"/>
    <x v="16"/>
    <x v="632"/>
    <s v="FOREIGN CURRENCY TXN FEE  "/>
    <n v="-0.05"/>
    <x v="5"/>
    <x v="7"/>
    <x v="7"/>
  </r>
  <r>
    <x v="2"/>
    <x v="1"/>
    <x v="16"/>
    <x v="632"/>
    <s v="CURRENCY CONV ASSESSMENT  "/>
    <n v="-0.1"/>
    <x v="5"/>
    <x v="7"/>
    <x v="7"/>
  </r>
  <r>
    <x v="2"/>
    <x v="1"/>
    <x v="16"/>
    <x v="632"/>
    <s v="US MOBILE* US MOBILE WWW.USMOBILE. NY;8.57 US DOLLAR  $ at 0.6035"/>
    <n v="-21.05"/>
    <x v="7"/>
    <x v="13"/>
    <x v="15"/>
  </r>
  <r>
    <x v="2"/>
    <x v="1"/>
    <x v="16"/>
    <x v="632"/>
    <s v="Decjuba Onehunga Onehunga "/>
    <n v="-33.729999999999997"/>
    <x v="9"/>
    <x v="18"/>
    <x v="30"/>
  </r>
  <r>
    <x v="2"/>
    <x v="1"/>
    <x v="16"/>
    <x v="632"/>
    <s v="PASTRAMI &amp; RYE AUCKLAND "/>
    <n v="-12.46"/>
    <x v="0"/>
    <x v="0"/>
    <x v="0"/>
  </r>
  <r>
    <x v="2"/>
    <x v="1"/>
    <x v="16"/>
    <x v="632"/>
    <s v="QUIKSILVER OUTLET ONEHNGA ONEHUNGA "/>
    <n v="-2.2200000000000002"/>
    <x v="9"/>
    <x v="18"/>
    <x v="30"/>
  </r>
  <r>
    <x v="2"/>
    <x v="1"/>
    <x v="16"/>
    <x v="632"/>
    <s v="PAYMENT THANKYOU . "/>
    <n v="15.13"/>
    <x v="1"/>
    <x v="24"/>
    <x v="1"/>
  </r>
  <r>
    <x v="2"/>
    <x v="1"/>
    <x v="16"/>
    <x v="632"/>
    <s v="PAYMENT THANKYOU . "/>
    <n v="13.6"/>
    <x v="1"/>
    <x v="24"/>
    <x v="1"/>
  </r>
  <r>
    <x v="2"/>
    <x v="1"/>
    <x v="16"/>
    <x v="168"/>
    <s v="AMZN Mktp US*810AS3MC3 Amzn.com/bill WA"/>
    <n v="-140.13999999999999"/>
    <x v="9"/>
    <x v="18"/>
    <x v="22"/>
  </r>
  <r>
    <x v="2"/>
    <x v="1"/>
    <x v="16"/>
    <x v="167"/>
    <s v="LEXINIC AUCKLAND "/>
    <n v="-51.79"/>
    <x v="10"/>
    <x v="20"/>
    <x v="27"/>
  </r>
  <r>
    <x v="2"/>
    <x v="1"/>
    <x v="16"/>
    <x v="167"/>
    <s v="LEXINIC AUCKLAND "/>
    <n v="-17.600000000000001"/>
    <x v="10"/>
    <x v="20"/>
    <x v="27"/>
  </r>
  <r>
    <x v="2"/>
    <x v="1"/>
    <x v="16"/>
    <x v="168"/>
    <s v="TRADE DEPOT LIMITED AUCKLAND "/>
    <n v="784.87"/>
    <x v="4"/>
    <x v="12"/>
    <x v="12"/>
  </r>
  <r>
    <x v="2"/>
    <x v="1"/>
    <x v="16"/>
    <x v="168"/>
    <s v="PAYMENT THANKYOU . "/>
    <n v="25.46"/>
    <x v="1"/>
    <x v="24"/>
    <x v="1"/>
  </r>
  <r>
    <x v="2"/>
    <x v="1"/>
    <x v="16"/>
    <x v="168"/>
    <s v="PAYMENT THANKYOU . "/>
    <n v="29.28"/>
    <x v="1"/>
    <x v="24"/>
    <x v="1"/>
  </r>
  <r>
    <x v="2"/>
    <x v="1"/>
    <x v="16"/>
    <x v="168"/>
    <s v="FOREIGN CURRENCY TXN FEE  "/>
    <n v="-0.88"/>
    <x v="5"/>
    <x v="7"/>
    <x v="7"/>
  </r>
  <r>
    <x v="2"/>
    <x v="1"/>
    <x v="16"/>
    <x v="168"/>
    <s v="CURRENCY CONV ASSESSMENT  "/>
    <n v="-1.78"/>
    <x v="5"/>
    <x v="7"/>
    <x v="7"/>
  </r>
  <r>
    <x v="2"/>
    <x v="1"/>
    <x v="16"/>
    <x v="168"/>
    <s v="SP MAKEUP CARTEL BUNDALL ;133.88 AUSTRALIAN DOLLAR at 0.9214"/>
    <n v="-177.55"/>
    <x v="9"/>
    <x v="18"/>
    <x v="22"/>
  </r>
  <r>
    <x v="2"/>
    <x v="1"/>
    <x v="16"/>
    <x v="168"/>
    <s v="Caltex Waitangi Paihia "/>
    <n v="-72.540000000000006"/>
    <x v="6"/>
    <x v="9"/>
    <x v="14"/>
  </r>
  <r>
    <x v="2"/>
    <x v="1"/>
    <x v="16"/>
    <x v="168"/>
    <s v="COUNTDOWN PAIHI/9 BLACKBR WAITANGI "/>
    <n v="-29.12"/>
    <x v="0"/>
    <x v="0"/>
    <x v="0"/>
  </r>
  <r>
    <x v="2"/>
    <x v="1"/>
    <x v="16"/>
    <x v="167"/>
    <s v="PAYMENT THANKYOU . "/>
    <n v="46.81"/>
    <x v="1"/>
    <x v="24"/>
    <x v="1"/>
  </r>
  <r>
    <x v="2"/>
    <x v="1"/>
    <x v="16"/>
    <x v="168"/>
    <s v="PAYMENT THANKYOU . "/>
    <n v="99.96"/>
    <x v="1"/>
    <x v="24"/>
    <x v="1"/>
  </r>
  <r>
    <x v="2"/>
    <x v="1"/>
    <x v="16"/>
    <x v="168"/>
    <s v="NEW WORLD KERIKERI KERIKERI "/>
    <n v="-30.26"/>
    <x v="0"/>
    <x v="0"/>
    <x v="0"/>
  </r>
  <r>
    <x v="2"/>
    <x v="1"/>
    <x v="16"/>
    <x v="170"/>
    <s v="ETHOS RUSSELL "/>
    <n v="-168.32"/>
    <x v="3"/>
    <x v="6"/>
    <x v="6"/>
  </r>
  <r>
    <x v="2"/>
    <x v="1"/>
    <x v="16"/>
    <x v="170"/>
    <s v="HONE'S GARDEN RUSSELL "/>
    <n v="-101.65"/>
    <x v="3"/>
    <x v="8"/>
    <x v="8"/>
  </r>
  <r>
    <x v="2"/>
    <x v="1"/>
    <x v="16"/>
    <x v="170"/>
    <s v="COUNTDOWN PAIHI/9 BLACKBR WAITANGI "/>
    <n v="-29.72"/>
    <x v="0"/>
    <x v="0"/>
    <x v="0"/>
  </r>
  <r>
    <x v="2"/>
    <x v="1"/>
    <x v="16"/>
    <x v="170"/>
    <s v="HELL HOLE RUSSELL LTD RUSSELL "/>
    <n v="-13.26"/>
    <x v="0"/>
    <x v="0"/>
    <x v="0"/>
  </r>
  <r>
    <x v="2"/>
    <x v="1"/>
    <x v="16"/>
    <x v="169"/>
    <s v="Bookme.Co.Nz New Zealand "/>
    <n v="-12.15"/>
    <x v="3"/>
    <x v="6"/>
    <x v="6"/>
  </r>
  <r>
    <x v="2"/>
    <x v="1"/>
    <x v="16"/>
    <x v="169"/>
    <s v="Northland Ferries Pahia "/>
    <n v="-22.46"/>
    <x v="3"/>
    <x v="6"/>
    <x v="6"/>
  </r>
  <r>
    <x v="2"/>
    <x v="1"/>
    <x v="16"/>
    <x v="172"/>
    <s v="PAYMENT THANKYOU . "/>
    <n v="7.27"/>
    <x v="1"/>
    <x v="24"/>
    <x v="1"/>
  </r>
  <r>
    <x v="2"/>
    <x v="1"/>
    <x v="16"/>
    <x v="172"/>
    <s v="Makana Confections Kerikeri "/>
    <n v="-111.4"/>
    <x v="0"/>
    <x v="0"/>
    <x v="0"/>
  </r>
  <r>
    <x v="2"/>
    <x v="1"/>
    <x v="16"/>
    <x v="172"/>
    <s v="THEA LTD AUCKLAND "/>
    <n v="-53.29"/>
    <x v="0"/>
    <x v="0"/>
    <x v="0"/>
  </r>
  <r>
    <x v="2"/>
    <x v="1"/>
    <x v="16"/>
    <x v="172"/>
    <s v="The Old Packhouse Kerikeri "/>
    <n v="-1"/>
    <x v="0"/>
    <x v="0"/>
    <x v="0"/>
  </r>
  <r>
    <x v="2"/>
    <x v="1"/>
    <x v="16"/>
    <x v="172"/>
    <s v="PAYMENT THANKYOU . "/>
    <n v="19.82"/>
    <x v="1"/>
    <x v="24"/>
    <x v="1"/>
  </r>
  <r>
    <x v="2"/>
    <x v="1"/>
    <x v="16"/>
    <x v="172"/>
    <s v="COUNTDOWN GREEN/326 GREAT GREENLANE "/>
    <n v="-129.19"/>
    <x v="0"/>
    <x v="0"/>
    <x v="0"/>
  </r>
  <r>
    <x v="2"/>
    <x v="1"/>
    <x v="16"/>
    <x v="175"/>
    <s v="APPLE.COM/BILL SYDNEY "/>
    <n v="-6.89"/>
    <x v="7"/>
    <x v="16"/>
    <x v="19"/>
  </r>
  <r>
    <x v="2"/>
    <x v="1"/>
    <x v="16"/>
    <x v="173"/>
    <s v="PAYMENT THANKYOU . "/>
    <n v="116.3"/>
    <x v="1"/>
    <x v="24"/>
    <x v="1"/>
  </r>
  <r>
    <x v="2"/>
    <x v="1"/>
    <x v="16"/>
    <x v="175"/>
    <s v="PAYMENT THANKYOU . "/>
    <n v="15.79"/>
    <x v="1"/>
    <x v="24"/>
    <x v="1"/>
  </r>
  <r>
    <x v="2"/>
    <x v="1"/>
    <x v="16"/>
    <x v="175"/>
    <s v="UBER* TRIP CHRISTCHURCH "/>
    <n v="-3.09"/>
    <x v="6"/>
    <x v="9"/>
    <x v="33"/>
  </r>
  <r>
    <x v="2"/>
    <x v="1"/>
    <x v="16"/>
    <x v="175"/>
    <s v="TOWER INSURANCE - EIS 093692079 "/>
    <n v="-10.39"/>
    <x v="4"/>
    <x v="34"/>
    <x v="50"/>
  </r>
  <r>
    <x v="2"/>
    <x v="1"/>
    <x v="16"/>
    <x v="174"/>
    <s v="PAYMENT THANKYOU . "/>
    <n v="66.069999999999993"/>
    <x v="1"/>
    <x v="24"/>
    <x v="1"/>
  </r>
  <r>
    <x v="2"/>
    <x v="1"/>
    <x v="16"/>
    <x v="285"/>
    <s v="MARRAM COMMUNITY TRUST WELLINGTON "/>
    <n v="-449.39"/>
    <x v="3"/>
    <x v="6"/>
    <x v="6"/>
  </r>
  <r>
    <x v="2"/>
    <x v="1"/>
    <x v="16"/>
    <x v="285"/>
    <s v="Watercare Online Remuera "/>
    <n v="-84.05"/>
    <x v="4"/>
    <x v="4"/>
    <x v="4"/>
  </r>
  <r>
    <x v="2"/>
    <x v="1"/>
    <x v="16"/>
    <x v="285"/>
    <s v="FARMERS AUCKLAND "/>
    <n v="-36.04"/>
    <x v="4"/>
    <x v="12"/>
    <x v="12"/>
  </r>
  <r>
    <x v="2"/>
    <x v="1"/>
    <x v="16"/>
    <x v="285"/>
    <s v="Cotton On 9932 9932 -S Mt Wellington "/>
    <n v="-9.52"/>
    <x v="9"/>
    <x v="18"/>
    <x v="30"/>
  </r>
  <r>
    <x v="2"/>
    <x v="1"/>
    <x v="16"/>
    <x v="285"/>
    <s v="Cotton On 9932 9932 -S Mt Wellington "/>
    <n v="-0.65"/>
    <x v="9"/>
    <x v="18"/>
    <x v="30"/>
  </r>
  <r>
    <x v="2"/>
    <x v="1"/>
    <x v="16"/>
    <x v="175"/>
    <s v="PAYMENT THANKYOU . "/>
    <n v="47.09"/>
    <x v="1"/>
    <x v="24"/>
    <x v="1"/>
  </r>
  <r>
    <x v="2"/>
    <x v="1"/>
    <x v="16"/>
    <x v="175"/>
    <s v="BBB Stonefields Stonefields "/>
    <n v="-18.850000000000001"/>
    <x v="4"/>
    <x v="12"/>
    <x v="12"/>
  </r>
  <r>
    <x v="2"/>
    <x v="1"/>
    <x v="16"/>
    <x v="178"/>
    <s v="PAK N SAVE SYLVIA PARK AUCKLAND "/>
    <n v="-174.58"/>
    <x v="0"/>
    <x v="0"/>
    <x v="0"/>
  </r>
  <r>
    <x v="2"/>
    <x v="1"/>
    <x v="16"/>
    <x v="178"/>
    <s v="COUNTDOWN MT WE/PENROSE R MT WELLINGTON "/>
    <n v="-74.790000000000006"/>
    <x v="0"/>
    <x v="0"/>
    <x v="0"/>
  </r>
  <r>
    <x v="2"/>
    <x v="1"/>
    <x v="16"/>
    <x v="178"/>
    <s v="Chemist Warehouse Sylvia Park "/>
    <n v="-66.5"/>
    <x v="0"/>
    <x v="0"/>
    <x v="0"/>
  </r>
  <r>
    <x v="2"/>
    <x v="1"/>
    <x v="16"/>
    <x v="178"/>
    <s v="SKINNY MOBILE (3) AUCKLAND "/>
    <n v="-13.98"/>
    <x v="7"/>
    <x v="10"/>
    <x v="10"/>
  </r>
  <r>
    <x v="2"/>
    <x v="1"/>
    <x v="16"/>
    <x v="285"/>
    <s v="PAYMENT THANKYOU . "/>
    <n v="98.79"/>
    <x v="1"/>
    <x v="24"/>
    <x v="1"/>
  </r>
  <r>
    <x v="2"/>
    <x v="1"/>
    <x v="16"/>
    <x v="285"/>
    <s v="PAYMENT THANKYOU . "/>
    <n v="17.489999999999998"/>
    <x v="1"/>
    <x v="24"/>
    <x v="1"/>
  </r>
  <r>
    <x v="2"/>
    <x v="1"/>
    <x v="16"/>
    <x v="178"/>
    <s v="H&amp;M NEWMARKET AUCKLAND "/>
    <n v="35.26"/>
    <x v="4"/>
    <x v="12"/>
    <x v="12"/>
  </r>
  <r>
    <x v="2"/>
    <x v="1"/>
    <x v="16"/>
    <x v="178"/>
    <s v="PAYMENT THANKYOU . "/>
    <n v="85.54"/>
    <x v="1"/>
    <x v="24"/>
    <x v="1"/>
  </r>
  <r>
    <x v="2"/>
    <x v="1"/>
    <x v="16"/>
    <x v="178"/>
    <s v="PAYMENT THANKYOU . "/>
    <n v="9.5399999999999991"/>
    <x v="1"/>
    <x v="24"/>
    <x v="1"/>
  </r>
  <r>
    <x v="2"/>
    <x v="1"/>
    <x v="16"/>
    <x v="178"/>
    <s v="PAYMENT THANKYOU . "/>
    <n v="81.84"/>
    <x v="1"/>
    <x v="24"/>
    <x v="1"/>
  </r>
  <r>
    <x v="2"/>
    <x v="1"/>
    <x v="16"/>
    <x v="178"/>
    <s v="PAYMENT THANKYOU . "/>
    <n v="431.04"/>
    <x v="1"/>
    <x v="24"/>
    <x v="1"/>
  </r>
  <r>
    <x v="2"/>
    <x v="1"/>
    <x v="16"/>
    <x v="178"/>
    <s v="COUNTDOWN NEWMA/277 BROAD NEWMARKET "/>
    <n v="-100.9"/>
    <x v="0"/>
    <x v="0"/>
    <x v="0"/>
  </r>
  <r>
    <x v="2"/>
    <x v="1"/>
    <x v="16"/>
    <x v="178"/>
    <s v="Lexinic Auckland "/>
    <n v="-49.83"/>
    <x v="10"/>
    <x v="20"/>
    <x v="27"/>
  </r>
  <r>
    <x v="2"/>
    <x v="1"/>
    <x v="16"/>
    <x v="178"/>
    <s v="TAI PING PAKURANGA AUCKLAND "/>
    <n v="-14.57"/>
    <x v="0"/>
    <x v="0"/>
    <x v="0"/>
  </r>
  <r>
    <x v="2"/>
    <x v="1"/>
    <x v="16"/>
    <x v="178"/>
    <s v="SKINNY MOBILE (3) AUCKLAND "/>
    <n v="-6.26"/>
    <x v="7"/>
    <x v="10"/>
    <x v="10"/>
  </r>
  <r>
    <x v="2"/>
    <x v="1"/>
    <x v="16"/>
    <x v="178"/>
    <s v="H&amp;M NEWMARKET AUCKLAND "/>
    <n v="-54.88"/>
    <x v="4"/>
    <x v="12"/>
    <x v="12"/>
  </r>
  <r>
    <x v="2"/>
    <x v="1"/>
    <x v="16"/>
    <x v="178"/>
    <s v="H&amp;M NEWMARKET AUCKLAND "/>
    <n v="-27.54"/>
    <x v="4"/>
    <x v="12"/>
    <x v="12"/>
  </r>
  <r>
    <x v="2"/>
    <x v="1"/>
    <x v="16"/>
    <x v="178"/>
    <s v="PITA HOUSE PAKURANGA AUCKLAND "/>
    <n v="-62.07"/>
    <x v="0"/>
    <x v="0"/>
    <x v="0"/>
  </r>
  <r>
    <x v="2"/>
    <x v="1"/>
    <x v="16"/>
    <x v="178"/>
    <s v="HESARISUPERMARKETPANMURE AUCKLAND "/>
    <n v="-6.48"/>
    <x v="0"/>
    <x v="0"/>
    <x v="0"/>
  </r>
  <r>
    <x v="2"/>
    <x v="1"/>
    <x v="16"/>
    <x v="178"/>
    <s v="Luna Bakehouse Auckland "/>
    <n v="-23.62"/>
    <x v="0"/>
    <x v="0"/>
    <x v="0"/>
  </r>
  <r>
    <x v="2"/>
    <x v="1"/>
    <x v="16"/>
    <x v="178"/>
    <s v="HARRIS ROAD SUPERETT AUCKLAND "/>
    <n v="-1.73"/>
    <x v="0"/>
    <x v="0"/>
    <x v="0"/>
  </r>
  <r>
    <x v="2"/>
    <x v="1"/>
    <x v="16"/>
    <x v="178"/>
    <s v="HARRIS ROAD SUPERETT AUCKLAND "/>
    <n v="-4.16"/>
    <x v="0"/>
    <x v="0"/>
    <x v="0"/>
  </r>
  <r>
    <x v="2"/>
    <x v="1"/>
    <x v="16"/>
    <x v="178"/>
    <s v="PAYMENT THANKYOU . "/>
    <n v="28.28"/>
    <x v="1"/>
    <x v="24"/>
    <x v="1"/>
  </r>
  <r>
    <x v="2"/>
    <x v="1"/>
    <x v="16"/>
    <x v="178"/>
    <s v="PAYMENT THANKYOU . "/>
    <n v="97.99"/>
    <x v="1"/>
    <x v="24"/>
    <x v="1"/>
  </r>
  <r>
    <x v="2"/>
    <x v="1"/>
    <x v="16"/>
    <x v="178"/>
    <s v="PAYMENT THANKYOU . "/>
    <n v="52.85"/>
    <x v="1"/>
    <x v="24"/>
    <x v="1"/>
  </r>
  <r>
    <x v="2"/>
    <x v="1"/>
    <x v="16"/>
    <x v="178"/>
    <s v="CONTACT ENERGY WELLINGTON "/>
    <n v="-40.700000000000003"/>
    <x v="4"/>
    <x v="5"/>
    <x v="5"/>
  </r>
  <r>
    <x v="2"/>
    <x v="1"/>
    <x v="16"/>
    <x v="178"/>
    <s v="MYRENT AUCKLAND "/>
    <n v="-34.72"/>
    <x v="12"/>
    <x v="17"/>
    <x v="51"/>
  </r>
  <r>
    <x v="2"/>
    <x v="1"/>
    <x v="16"/>
    <x v="178"/>
    <s v="COUNTDOWN HALSE/100 HALSE HALSEY STREET "/>
    <n v="-3.63"/>
    <x v="0"/>
    <x v="0"/>
    <x v="0"/>
  </r>
  <r>
    <x v="2"/>
    <x v="1"/>
    <x v="16"/>
    <x v="179"/>
    <s v="Lexinic Auckland "/>
    <n v="-595.82000000000005"/>
    <x v="10"/>
    <x v="20"/>
    <x v="27"/>
  </r>
  <r>
    <x v="2"/>
    <x v="1"/>
    <x v="16"/>
    <x v="607"/>
    <s v="PAYMENT THANKYOU . "/>
    <n v="378.63"/>
    <x v="1"/>
    <x v="24"/>
    <x v="1"/>
  </r>
  <r>
    <x v="2"/>
    <x v="1"/>
    <x v="16"/>
    <x v="180"/>
    <s v="PAYMENT THANKYOU . "/>
    <n v="234.9"/>
    <x v="1"/>
    <x v="24"/>
    <x v="1"/>
  </r>
  <r>
    <x v="2"/>
    <x v="1"/>
    <x v="16"/>
    <x v="180"/>
    <s v="PAK N SAVE SYLVIA PARK AUCKLAND "/>
    <n v="-35.47"/>
    <x v="0"/>
    <x v="0"/>
    <x v="0"/>
  </r>
  <r>
    <x v="2"/>
    <x v="1"/>
    <x v="16"/>
    <x v="180"/>
    <s v="YUM CHA RESTAURANT AUCKLAND "/>
    <n v="-2.69"/>
    <x v="3"/>
    <x v="8"/>
    <x v="8"/>
  </r>
  <r>
    <x v="2"/>
    <x v="1"/>
    <x v="16"/>
    <x v="180"/>
    <s v="SARDINE AKL AUCKLAND "/>
    <n v="-27.77"/>
    <x v="3"/>
    <x v="8"/>
    <x v="8"/>
  </r>
  <r>
    <x v="2"/>
    <x v="1"/>
    <x v="16"/>
    <x v="179"/>
    <s v="PAYMENT THANKYOU . "/>
    <n v="11.88"/>
    <x v="1"/>
    <x v="24"/>
    <x v="1"/>
  </r>
  <r>
    <x v="2"/>
    <x v="1"/>
    <x v="16"/>
    <x v="181"/>
    <s v="AIA NEW ZEALAND AUCKLAND "/>
    <n v="-41.55"/>
    <x v="3"/>
    <x v="6"/>
    <x v="6"/>
  </r>
  <r>
    <x v="2"/>
    <x v="1"/>
    <x v="16"/>
    <x v="608"/>
    <s v="Briscoes Panmure Mt Wellington "/>
    <n v="-8.7799999999999994"/>
    <x v="4"/>
    <x v="12"/>
    <x v="12"/>
  </r>
  <r>
    <x v="2"/>
    <x v="1"/>
    <x v="16"/>
    <x v="180"/>
    <s v="PAYMENT THANKYOU . "/>
    <n v="52.18"/>
    <x v="1"/>
    <x v="24"/>
    <x v="1"/>
  </r>
  <r>
    <x v="2"/>
    <x v="1"/>
    <x v="16"/>
    <x v="608"/>
    <s v="PAYMENT THANKYOU . "/>
    <n v="131.13"/>
    <x v="1"/>
    <x v="24"/>
    <x v="1"/>
  </r>
  <r>
    <x v="2"/>
    <x v="1"/>
    <x v="16"/>
    <x v="608"/>
    <s v="PAYMENT THANKYOU . "/>
    <n v="8.89"/>
    <x v="1"/>
    <x v="24"/>
    <x v="1"/>
  </r>
  <r>
    <x v="2"/>
    <x v="1"/>
    <x v="16"/>
    <x v="608"/>
    <s v="Luna Bakehouse Auckland "/>
    <n v="-1.36"/>
    <x v="0"/>
    <x v="0"/>
    <x v="0"/>
  </r>
  <r>
    <x v="2"/>
    <x v="1"/>
    <x v="16"/>
    <x v="181"/>
    <s v="PAYMENT THANKYOU . "/>
    <n v="14.6"/>
    <x v="1"/>
    <x v="24"/>
    <x v="1"/>
  </r>
  <r>
    <x v="2"/>
    <x v="1"/>
    <x v="16"/>
    <x v="181"/>
    <s v="PAYMENT THANKYOU . "/>
    <n v="6.6"/>
    <x v="1"/>
    <x v="24"/>
    <x v="1"/>
  </r>
  <r>
    <x v="2"/>
    <x v="1"/>
    <x v="16"/>
    <x v="181"/>
    <s v="PAYMENT THANKYOU . "/>
    <n v="46.55"/>
    <x v="1"/>
    <x v="24"/>
    <x v="1"/>
  </r>
  <r>
    <x v="2"/>
    <x v="1"/>
    <x v="16"/>
    <x v="181"/>
    <s v="PAYMENT THANKYOU . "/>
    <n v="19.62"/>
    <x v="1"/>
    <x v="24"/>
    <x v="1"/>
  </r>
  <r>
    <x v="2"/>
    <x v="1"/>
    <x v="16"/>
    <x v="181"/>
    <s v="LEBANESE GROCER AUCKLAND "/>
    <n v="-39.04"/>
    <x v="0"/>
    <x v="0"/>
    <x v="0"/>
  </r>
  <r>
    <x v="2"/>
    <x v="1"/>
    <x v="16"/>
    <x v="181"/>
    <s v="FREEDOM FURNITURE 82 AUCKLAND "/>
    <n v="-22.15"/>
    <x v="4"/>
    <x v="12"/>
    <x v="12"/>
  </r>
  <r>
    <x v="2"/>
    <x v="1"/>
    <x v="16"/>
    <x v="181"/>
    <s v="Melba Vulcan Lane Auckland "/>
    <n v="-2.2400000000000002"/>
    <x v="3"/>
    <x v="8"/>
    <x v="8"/>
  </r>
  <r>
    <x v="2"/>
    <x v="1"/>
    <x v="16"/>
    <x v="181"/>
    <s v="AT Parking Auckland "/>
    <n v="-6.66"/>
    <x v="6"/>
    <x v="9"/>
    <x v="21"/>
  </r>
  <r>
    <x v="2"/>
    <x v="1"/>
    <x v="16"/>
    <x v="182"/>
    <s v="LE PETITE FOURCHETTE AUCKLAND "/>
    <n v="-0.78"/>
    <x v="0"/>
    <x v="0"/>
    <x v="0"/>
  </r>
  <r>
    <x v="2"/>
    <x v="1"/>
    <x v="16"/>
    <x v="181"/>
    <s v="PAYMENT THANKYOU . "/>
    <n v="19.36"/>
    <x v="1"/>
    <x v="24"/>
    <x v="1"/>
  </r>
  <r>
    <x v="2"/>
    <x v="1"/>
    <x v="16"/>
    <x v="183"/>
    <s v="FMK EPSOM AUCKLAND "/>
    <n v="-260.64999999999998"/>
    <x v="9"/>
    <x v="29"/>
    <x v="44"/>
  </r>
  <r>
    <x v="2"/>
    <x v="1"/>
    <x v="16"/>
    <x v="183"/>
    <s v="AT Hop Auckland Remuera "/>
    <n v="-4.63"/>
    <x v="6"/>
    <x v="9"/>
    <x v="33"/>
  </r>
  <r>
    <x v="2"/>
    <x v="1"/>
    <x v="16"/>
    <x v="183"/>
    <s v="Chemist Warehouse Newmarket "/>
    <n v="-2.36"/>
    <x v="0"/>
    <x v="0"/>
    <x v="0"/>
  </r>
  <r>
    <x v="2"/>
    <x v="1"/>
    <x v="16"/>
    <x v="182"/>
    <s v="PAYMENT THANKYOU . "/>
    <n v="12.57"/>
    <x v="1"/>
    <x v="24"/>
    <x v="1"/>
  </r>
  <r>
    <x v="2"/>
    <x v="1"/>
    <x v="16"/>
    <x v="185"/>
    <s v="APPLE.COM/BILL SYDNEY "/>
    <n v="-21.13"/>
    <x v="7"/>
    <x v="16"/>
    <x v="19"/>
  </r>
  <r>
    <x v="2"/>
    <x v="1"/>
    <x v="16"/>
    <x v="184"/>
    <s v="PAYMENT THANKYOU . "/>
    <n v="44.29"/>
    <x v="1"/>
    <x v="24"/>
    <x v="1"/>
  </r>
  <r>
    <x v="2"/>
    <x v="1"/>
    <x v="16"/>
    <x v="184"/>
    <s v="TOWER INSURANCE - EIS 093692079 "/>
    <n v="-182.21"/>
    <x v="2"/>
    <x v="33"/>
    <x v="49"/>
  </r>
  <r>
    <x v="2"/>
    <x v="1"/>
    <x v="16"/>
    <x v="184"/>
    <s v="TOWER INSURANCE - EIS 093692079 "/>
    <n v="-122.15"/>
    <x v="4"/>
    <x v="11"/>
    <x v="11"/>
  </r>
  <r>
    <x v="2"/>
    <x v="1"/>
    <x v="16"/>
    <x v="184"/>
    <s v="TOWER INSURANCE - EIS 093692079 "/>
    <n v="-13.15"/>
    <x v="12"/>
    <x v="33"/>
    <x v="49"/>
  </r>
  <r>
    <x v="2"/>
    <x v="1"/>
    <x v="16"/>
    <x v="184"/>
    <s v="FREEDOM FURNITURE 82 AUCKLAND "/>
    <n v="-1.84"/>
    <x v="4"/>
    <x v="12"/>
    <x v="12"/>
  </r>
  <r>
    <x v="2"/>
    <x v="1"/>
    <x v="16"/>
    <x v="184"/>
    <s v="HESARISUPERMARKETPANMURE AUCKLAND "/>
    <n v="-34.020000000000003"/>
    <x v="0"/>
    <x v="0"/>
    <x v="0"/>
  </r>
  <r>
    <x v="2"/>
    <x v="1"/>
    <x v="16"/>
    <x v="184"/>
    <s v="TAIPING ASIAN SUPERMARKET AUCKLAND "/>
    <n v="-47"/>
    <x v="0"/>
    <x v="0"/>
    <x v="0"/>
  </r>
  <r>
    <x v="2"/>
    <x v="1"/>
    <x v="16"/>
    <x v="184"/>
    <s v="Kings Plant Barn Mount Welling "/>
    <n v="-28.03"/>
    <x v="4"/>
    <x v="12"/>
    <x v="12"/>
  </r>
  <r>
    <x v="2"/>
    <x v="1"/>
    <x v="16"/>
    <x v="183"/>
    <s v="PAYMENT THANKYOU . "/>
    <n v="148.31"/>
    <x v="1"/>
    <x v="24"/>
    <x v="1"/>
  </r>
  <r>
    <x v="2"/>
    <x v="1"/>
    <x v="16"/>
    <x v="187"/>
    <s v="AELIA DUTY FREE DEPARTURE AUCKLAND "/>
    <n v="-116.16"/>
    <x v="3"/>
    <x v="6"/>
    <x v="6"/>
  </r>
  <r>
    <x v="2"/>
    <x v="1"/>
    <x v="16"/>
    <x v="187"/>
    <s v="UBER* TRIP CHRISTCHURCH "/>
    <n v="-7.95"/>
    <x v="6"/>
    <x v="9"/>
    <x v="33"/>
  </r>
  <r>
    <x v="2"/>
    <x v="1"/>
    <x v="16"/>
    <x v="187"/>
    <s v="KFC AUCKLAND AIRPORT 636 AUCKLAND "/>
    <n v="-9.14"/>
    <x v="3"/>
    <x v="8"/>
    <x v="8"/>
  </r>
  <r>
    <x v="2"/>
    <x v="1"/>
    <x v="16"/>
    <x v="185"/>
    <s v="PAYMENT THANKYOU . "/>
    <n v="247.51"/>
    <x v="1"/>
    <x v="24"/>
    <x v="1"/>
  </r>
  <r>
    <x v="2"/>
    <x v="1"/>
    <x v="16"/>
    <x v="187"/>
    <s v="PAYMENT THANKYOU . "/>
    <n v="73.78"/>
    <x v="1"/>
    <x v="24"/>
    <x v="1"/>
  </r>
  <r>
    <x v="2"/>
    <x v="1"/>
    <x v="16"/>
    <x v="187"/>
    <s v="FOREIGN CURRENCY TXN FEE  "/>
    <n v="-0.11"/>
    <x v="5"/>
    <x v="7"/>
    <x v="7"/>
  </r>
  <r>
    <x v="2"/>
    <x v="1"/>
    <x v="16"/>
    <x v="187"/>
    <s v="CURRENCY CONV ASSESSMENT  "/>
    <n v="-0.2"/>
    <x v="5"/>
    <x v="7"/>
    <x v="7"/>
  </r>
  <r>
    <x v="2"/>
    <x v="1"/>
    <x v="16"/>
    <x v="187"/>
    <s v="Centrefold Lounge Melbourne ;47.06 AUSTRALIAN DOLLAR at 0.9242"/>
    <n v="-48.49"/>
    <x v="3"/>
    <x v="8"/>
    <x v="8"/>
  </r>
  <r>
    <x v="2"/>
    <x v="1"/>
    <x v="16"/>
    <x v="187"/>
    <s v="FOREIGN CURRENCY TXN FEE  "/>
    <n v="-0.13"/>
    <x v="5"/>
    <x v="7"/>
    <x v="7"/>
  </r>
  <r>
    <x v="2"/>
    <x v="1"/>
    <x v="16"/>
    <x v="187"/>
    <s v="CURRENCY CONV ASSESSMENT  "/>
    <n v="-0.18"/>
    <x v="5"/>
    <x v="7"/>
    <x v="7"/>
  </r>
  <r>
    <x v="2"/>
    <x v="1"/>
    <x v="16"/>
    <x v="187"/>
    <s v="US MOBILE* US MOBILE WWW.USMOBILE. NY;8.57 US DOLLAR  $ at 0.6274"/>
    <n v="-20.100000000000001"/>
    <x v="7"/>
    <x v="13"/>
    <x v="15"/>
  </r>
  <r>
    <x v="2"/>
    <x v="1"/>
    <x v="16"/>
    <x v="187"/>
    <s v="PAYMENT THANKYOU . "/>
    <n v="8.5500000000000007"/>
    <x v="1"/>
    <x v="24"/>
    <x v="1"/>
  </r>
  <r>
    <x v="2"/>
    <x v="1"/>
    <x v="16"/>
    <x v="286"/>
    <s v="PAYMENT THANKYOU . "/>
    <n v="0.49"/>
    <x v="1"/>
    <x v="24"/>
    <x v="1"/>
  </r>
  <r>
    <x v="2"/>
    <x v="1"/>
    <x v="16"/>
    <x v="191"/>
    <s v="FOREIGN CURRENCY TXN FEE  "/>
    <n v="-1.86"/>
    <x v="5"/>
    <x v="7"/>
    <x v="7"/>
  </r>
  <r>
    <x v="2"/>
    <x v="1"/>
    <x v="16"/>
    <x v="191"/>
    <s v="CURRENCY CONV ASSESSMENT  "/>
    <n v="-2.2599999999999998"/>
    <x v="5"/>
    <x v="7"/>
    <x v="7"/>
  </r>
  <r>
    <x v="2"/>
    <x v="1"/>
    <x v="16"/>
    <x v="191"/>
    <s v="SQ *AKANA HANDCRAFTS South Melbour ;250 AUSTRALIAN DOLLAR at 0.926"/>
    <n v="-320.95999999999998"/>
    <x v="9"/>
    <x v="18"/>
    <x v="30"/>
  </r>
  <r>
    <x v="2"/>
    <x v="1"/>
    <x v="16"/>
    <x v="191"/>
    <s v="FOREIGN CURRENCY TXN FEE  "/>
    <n v="-0.01"/>
    <x v="5"/>
    <x v="7"/>
    <x v="7"/>
  </r>
  <r>
    <x v="2"/>
    <x v="1"/>
    <x v="16"/>
    <x v="191"/>
    <s v="CURRENCY CONV ASSESSMENT  "/>
    <n v="-0.12"/>
    <x v="5"/>
    <x v="7"/>
    <x v="7"/>
  </r>
  <r>
    <x v="2"/>
    <x v="1"/>
    <x v="16"/>
    <x v="191"/>
    <s v="ZLR*South Melbourne Sea South Melbour ;11.16 AUSTRALIAN DOLLAR at 0.9261"/>
    <n v="-8.08"/>
    <x v="9"/>
    <x v="18"/>
    <x v="30"/>
  </r>
  <r>
    <x v="2"/>
    <x v="1"/>
    <x v="16"/>
    <x v="191"/>
    <s v="PAYMENT THANKYOU . "/>
    <n v="2.5"/>
    <x v="1"/>
    <x v="24"/>
    <x v="1"/>
  </r>
  <r>
    <x v="2"/>
    <x v="1"/>
    <x v="16"/>
    <x v="191"/>
    <s v="PAYMENT THANKYOU . "/>
    <n v="193.97"/>
    <x v="1"/>
    <x v="24"/>
    <x v="1"/>
  </r>
  <r>
    <x v="2"/>
    <x v="1"/>
    <x v="16"/>
    <x v="191"/>
    <s v="FOREIGN CURRENCY TXN FEE  "/>
    <n v="-0.37"/>
    <x v="5"/>
    <x v="7"/>
    <x v="7"/>
  </r>
  <r>
    <x v="2"/>
    <x v="1"/>
    <x v="16"/>
    <x v="191"/>
    <s v="CURRENCY CONV ASSESSMENT  "/>
    <n v="-0.41"/>
    <x v="5"/>
    <x v="7"/>
    <x v="7"/>
  </r>
  <r>
    <x v="2"/>
    <x v="1"/>
    <x v="16"/>
    <x v="191"/>
    <s v="TRANSIT HOSPITALITY GR MELBOURNE ;32.48 AUSTRALIAN DOLLAR at 0.9261"/>
    <n v="-31.44"/>
    <x v="3"/>
    <x v="8"/>
    <x v="8"/>
  </r>
  <r>
    <x v="2"/>
    <x v="1"/>
    <x v="16"/>
    <x v="191"/>
    <s v="PAYMENT THANKYOU . "/>
    <n v="9"/>
    <x v="1"/>
    <x v="24"/>
    <x v="1"/>
  </r>
  <r>
    <x v="2"/>
    <x v="1"/>
    <x v="16"/>
    <x v="192"/>
    <s v="FOREIGN CURRENCY TXN FEE  "/>
    <n v="-0.53"/>
    <x v="5"/>
    <x v="7"/>
    <x v="7"/>
  </r>
  <r>
    <x v="2"/>
    <x v="1"/>
    <x v="16"/>
    <x v="192"/>
    <s v="CURRENCY CONV ASSESSMENT  "/>
    <n v="-1.46"/>
    <x v="5"/>
    <x v="7"/>
    <x v="7"/>
  </r>
  <r>
    <x v="2"/>
    <x v="1"/>
    <x v="16"/>
    <x v="192"/>
    <s v="UBER   *TRIP SYDNEY ;108.49 AUSTRALIAN DOLLAR at 0.9232"/>
    <n v="-132.63"/>
    <x v="6"/>
    <x v="9"/>
    <x v="33"/>
  </r>
  <r>
    <x v="2"/>
    <x v="1"/>
    <x v="16"/>
    <x v="193"/>
    <s v="FOREIGN CURRENCY TXN FEE  "/>
    <n v="-0.01"/>
    <x v="5"/>
    <x v="7"/>
    <x v="7"/>
  </r>
  <r>
    <x v="2"/>
    <x v="1"/>
    <x v="16"/>
    <x v="193"/>
    <s v="CURRENCY CONV ASSESSMENT  "/>
    <n v="-0.24"/>
    <x v="5"/>
    <x v="7"/>
    <x v="7"/>
  </r>
  <r>
    <x v="2"/>
    <x v="1"/>
    <x v="16"/>
    <x v="193"/>
    <s v="DUMPLING NOODLE CIRC SURFERS PARAD ;22.50 AUSTRALIAN DOLLAR at 0.9233"/>
    <n v="-31.15"/>
    <x v="3"/>
    <x v="8"/>
    <x v="8"/>
  </r>
  <r>
    <x v="2"/>
    <x v="1"/>
    <x v="16"/>
    <x v="191"/>
    <s v="PAYMENT THANKYOU . "/>
    <n v="55.32"/>
    <x v="1"/>
    <x v="24"/>
    <x v="1"/>
  </r>
  <r>
    <x v="2"/>
    <x v="1"/>
    <x v="16"/>
    <x v="196"/>
    <s v="FOREIGN CURRENCY TXN FEE  "/>
    <n v="-0.19"/>
    <x v="5"/>
    <x v="7"/>
    <x v="7"/>
  </r>
  <r>
    <x v="2"/>
    <x v="1"/>
    <x v="16"/>
    <x v="196"/>
    <s v="CURRENCY CONV ASSESSMENT  "/>
    <n v="-0.47"/>
    <x v="5"/>
    <x v="7"/>
    <x v="7"/>
  </r>
  <r>
    <x v="2"/>
    <x v="1"/>
    <x v="16"/>
    <x v="196"/>
    <s v="CIRCLE ON CAVILL CHEMP SURFERS PARAD ;39.98 AUSTRALIAN DOLLAR at 0.9227"/>
    <n v="-1.77"/>
    <x v="3"/>
    <x v="8"/>
    <x v="8"/>
  </r>
  <r>
    <x v="2"/>
    <x v="1"/>
    <x v="16"/>
    <x v="192"/>
    <s v="PAYMENT THANKYOU . "/>
    <n v="2.3199999999999998"/>
    <x v="1"/>
    <x v="24"/>
    <x v="1"/>
  </r>
  <r>
    <x v="2"/>
    <x v="1"/>
    <x v="16"/>
    <x v="196"/>
    <s v="FOREIGN CURRENCY TXN FEE  "/>
    <n v="-0.27"/>
    <x v="5"/>
    <x v="7"/>
    <x v="7"/>
  </r>
  <r>
    <x v="2"/>
    <x v="1"/>
    <x v="16"/>
    <x v="196"/>
    <s v="CURRENCY CONV ASSESSMENT  "/>
    <n v="-0.14000000000000001"/>
    <x v="5"/>
    <x v="7"/>
    <x v="7"/>
  </r>
  <r>
    <x v="2"/>
    <x v="1"/>
    <x v="16"/>
    <x v="196"/>
    <s v="SQ *ELSTON RESTAURANT AND Surfers Parad ;33 AUSTRALIAN DOLLAR at 0.9264"/>
    <n v="-7.09"/>
    <x v="3"/>
    <x v="8"/>
    <x v="8"/>
  </r>
  <r>
    <x v="2"/>
    <x v="1"/>
    <x v="16"/>
    <x v="196"/>
    <s v="FOREIGN CURRENCY TXN FEE  "/>
    <n v="-0.17"/>
    <x v="5"/>
    <x v="7"/>
    <x v="7"/>
  </r>
  <r>
    <x v="2"/>
    <x v="1"/>
    <x v="16"/>
    <x v="196"/>
    <s v="CURRENCY CONV ASSESSMENT  "/>
    <n v="-0.2"/>
    <x v="5"/>
    <x v="7"/>
    <x v="7"/>
  </r>
  <r>
    <x v="2"/>
    <x v="1"/>
    <x v="16"/>
    <x v="196"/>
    <s v="SQ *ELSTON RESTAURANT AND Surfers Parad ;37.05 AUSTRALIAN DOLLAR at 0.9265"/>
    <n v="-3.64"/>
    <x v="3"/>
    <x v="8"/>
    <x v="8"/>
  </r>
  <r>
    <x v="2"/>
    <x v="1"/>
    <x v="16"/>
    <x v="196"/>
    <s v="APPLE.COM/BILL SYDNEY "/>
    <n v="-19.02"/>
    <x v="7"/>
    <x v="16"/>
    <x v="19"/>
  </r>
  <r>
    <x v="2"/>
    <x v="1"/>
    <x v="16"/>
    <x v="196"/>
    <s v="FOREIGN CURRENCY TXN FEE  "/>
    <n v="-0.06"/>
    <x v="5"/>
    <x v="7"/>
    <x v="7"/>
  </r>
  <r>
    <x v="2"/>
    <x v="1"/>
    <x v="16"/>
    <x v="196"/>
    <s v="CURRENCY CONV ASSESSMENT  "/>
    <n v="-0.21"/>
    <x v="5"/>
    <x v="7"/>
    <x v="7"/>
  </r>
  <r>
    <x v="2"/>
    <x v="1"/>
    <x v="16"/>
    <x v="196"/>
    <s v="BURLEIGH PAVILION PTY BURLEIGH HEAD ;12.62 AUSTRALIAN DOLLAR at 0.9266"/>
    <n v="-2.4900000000000002"/>
    <x v="3"/>
    <x v="8"/>
    <x v="8"/>
  </r>
  <r>
    <x v="2"/>
    <x v="1"/>
    <x v="16"/>
    <x v="196"/>
    <s v="FOREIGN CURRENCY TXN FEE  "/>
    <n v="-0.1"/>
    <x v="5"/>
    <x v="7"/>
    <x v="7"/>
  </r>
  <r>
    <x v="2"/>
    <x v="1"/>
    <x v="16"/>
    <x v="196"/>
    <s v="CURRENCY CONV ASSESSMENT  "/>
    <n v="-0.33"/>
    <x v="5"/>
    <x v="7"/>
    <x v="7"/>
  </r>
  <r>
    <x v="2"/>
    <x v="1"/>
    <x v="16"/>
    <x v="196"/>
    <s v="THE MONKEY TREE BAR &amp; Tamborine Mou ;37.61 AUSTRALIAN DOLLAR at 0.9266"/>
    <n v="-39.729999999999997"/>
    <x v="3"/>
    <x v="8"/>
    <x v="8"/>
  </r>
  <r>
    <x v="2"/>
    <x v="1"/>
    <x v="16"/>
    <x v="193"/>
    <s v="PAYMENT THANKYOU . "/>
    <n v="0.26"/>
    <x v="1"/>
    <x v="24"/>
    <x v="1"/>
  </r>
  <r>
    <x v="2"/>
    <x v="1"/>
    <x v="16"/>
    <x v="193"/>
    <s v="PAYMENT THANKYOU . "/>
    <n v="2.11"/>
    <x v="1"/>
    <x v="24"/>
    <x v="1"/>
  </r>
  <r>
    <x v="2"/>
    <x v="1"/>
    <x v="16"/>
    <x v="193"/>
    <s v="PAYMENT THANKYOU . "/>
    <n v="52.73"/>
    <x v="1"/>
    <x v="24"/>
    <x v="1"/>
  </r>
  <r>
    <x v="2"/>
    <x v="1"/>
    <x v="16"/>
    <x v="198"/>
    <s v="FOREIGN CURRENCY TXN FEE  "/>
    <n v="-7.0000000000000007E-2"/>
    <x v="5"/>
    <x v="7"/>
    <x v="7"/>
  </r>
  <r>
    <x v="2"/>
    <x v="1"/>
    <x v="16"/>
    <x v="198"/>
    <s v="CURRENCY CONV ASSESSMENT  "/>
    <n v="-0.71"/>
    <x v="5"/>
    <x v="7"/>
    <x v="7"/>
  </r>
  <r>
    <x v="2"/>
    <x v="1"/>
    <x v="16"/>
    <x v="198"/>
    <s v="OROTON HARBOURTOWN BIGGERA WATER ;74.50 AUSTRALIAN DOLLAR at 0.928"/>
    <n v="-106.47"/>
    <x v="9"/>
    <x v="18"/>
    <x v="30"/>
  </r>
  <r>
    <x v="2"/>
    <x v="1"/>
    <x v="16"/>
    <x v="197"/>
    <s v="FOREIGN CURRENCY TXN FEE  "/>
    <n v="-0.28000000000000003"/>
    <x v="5"/>
    <x v="7"/>
    <x v="7"/>
  </r>
  <r>
    <x v="2"/>
    <x v="1"/>
    <x v="16"/>
    <x v="197"/>
    <s v="CURRENCY CONV ASSESSMENT  "/>
    <n v="-0.23"/>
    <x v="5"/>
    <x v="7"/>
    <x v="7"/>
  </r>
  <r>
    <x v="2"/>
    <x v="1"/>
    <x v="16"/>
    <x v="197"/>
    <s v="ALLY FASHION BIGGERA WATER ;30 AUSTRALIAN DOLLAR at 0.9279"/>
    <n v="-9.32"/>
    <x v="9"/>
    <x v="18"/>
    <x v="30"/>
  </r>
  <r>
    <x v="2"/>
    <x v="1"/>
    <x v="16"/>
    <x v="196"/>
    <s v="PAYMENT THANKYOU . "/>
    <n v="24.14"/>
    <x v="1"/>
    <x v="24"/>
    <x v="1"/>
  </r>
  <r>
    <x v="2"/>
    <x v="1"/>
    <x v="16"/>
    <x v="196"/>
    <s v="PAYMENT THANKYOU . "/>
    <n v="16.489999999999998"/>
    <x v="1"/>
    <x v="24"/>
    <x v="1"/>
  </r>
  <r>
    <x v="2"/>
    <x v="1"/>
    <x v="16"/>
    <x v="196"/>
    <s v="FOREIGN CURRENCY TXN FEE  "/>
    <n v="-0.59"/>
    <x v="5"/>
    <x v="7"/>
    <x v="7"/>
  </r>
  <r>
    <x v="2"/>
    <x v="1"/>
    <x v="16"/>
    <x v="196"/>
    <s v="CURRENCY CONV ASSESSMENT  "/>
    <n v="-0.2"/>
    <x v="5"/>
    <x v="7"/>
    <x v="7"/>
  </r>
  <r>
    <x v="2"/>
    <x v="1"/>
    <x v="16"/>
    <x v="196"/>
    <s v="LS BLOCKOUT BIGGERA WATER ;109.95 AUSTRALIAN DOLLAR at 0.928"/>
    <n v="-148.07"/>
    <x v="9"/>
    <x v="18"/>
    <x v="30"/>
  </r>
  <r>
    <x v="2"/>
    <x v="1"/>
    <x v="16"/>
    <x v="196"/>
    <s v="FOREIGN CURRENCY TXN FEE  "/>
    <n v="-0.25"/>
    <x v="5"/>
    <x v="7"/>
    <x v="7"/>
  </r>
  <r>
    <x v="2"/>
    <x v="1"/>
    <x v="16"/>
    <x v="196"/>
    <s v="CURRENCY CONV ASSESSMENT  "/>
    <n v="-0.26"/>
    <x v="5"/>
    <x v="7"/>
    <x v="7"/>
  </r>
  <r>
    <x v="2"/>
    <x v="1"/>
    <x v="16"/>
    <x v="196"/>
    <s v="SQ *LICENSED PTY LTD Surfers Parad ;20 AUSTRALIAN DOLLAR at 0.9281"/>
    <n v="-27.54"/>
    <x v="3"/>
    <x v="8"/>
    <x v="8"/>
  </r>
  <r>
    <x v="2"/>
    <x v="1"/>
    <x v="16"/>
    <x v="196"/>
    <s v="TOWER INSURANCE - EIS 093692079 "/>
    <n v="-18.43"/>
    <x v="4"/>
    <x v="34"/>
    <x v="50"/>
  </r>
  <r>
    <x v="2"/>
    <x v="1"/>
    <x v="16"/>
    <x v="196"/>
    <s v="SKINNY MOBILE (3) AUCKLAND "/>
    <n v="-2.96"/>
    <x v="7"/>
    <x v="10"/>
    <x v="10"/>
  </r>
  <r>
    <x v="2"/>
    <x v="1"/>
    <x v="16"/>
    <x v="196"/>
    <s v="FOREIGN CURRENCY TXN FEE  "/>
    <n v="-7.0000000000000007E-2"/>
    <x v="5"/>
    <x v="7"/>
    <x v="7"/>
  </r>
  <r>
    <x v="2"/>
    <x v="1"/>
    <x v="16"/>
    <x v="196"/>
    <s v="CURRENCY CONV ASSESSMENT  "/>
    <n v="-0.56999999999999995"/>
    <x v="5"/>
    <x v="7"/>
    <x v="7"/>
  </r>
  <r>
    <x v="2"/>
    <x v="1"/>
    <x v="16"/>
    <x v="196"/>
    <s v="CASTAWAY COFFEE* ME&amp;U BIGGERA WATER ;45.14 AUSTRALIAN DOLLAR at 0.928"/>
    <n v="-66.239999999999995"/>
    <x v="3"/>
    <x v="8"/>
    <x v="8"/>
  </r>
  <r>
    <x v="2"/>
    <x v="1"/>
    <x v="16"/>
    <x v="197"/>
    <s v="FOREIGN CURRENCY TXN FEE  "/>
    <n v="-0.12"/>
    <x v="5"/>
    <x v="7"/>
    <x v="7"/>
  </r>
  <r>
    <x v="2"/>
    <x v="1"/>
    <x v="16"/>
    <x v="197"/>
    <s v="CURRENCY CONV ASSESSMENT  "/>
    <n v="-0.13"/>
    <x v="5"/>
    <x v="7"/>
    <x v="7"/>
  </r>
  <r>
    <x v="2"/>
    <x v="1"/>
    <x v="16"/>
    <x v="197"/>
    <s v="HUDSONS BRISBANE INT BRISBANE AIRP ;15.05 AUSTRALIAN DOLLAR at 0.9279"/>
    <n v="-20.86"/>
    <x v="3"/>
    <x v="8"/>
    <x v="8"/>
  </r>
  <r>
    <x v="2"/>
    <x v="1"/>
    <x v="16"/>
    <x v="196"/>
    <s v="PAYMENT THANKYOU . "/>
    <n v="237.62"/>
    <x v="1"/>
    <x v="24"/>
    <x v="1"/>
  </r>
  <r>
    <x v="2"/>
    <x v="1"/>
    <x v="16"/>
    <x v="196"/>
    <s v="PAYMENT THANKYOU . "/>
    <n v="170.33"/>
    <x v="1"/>
    <x v="24"/>
    <x v="1"/>
  </r>
  <r>
    <x v="2"/>
    <x v="1"/>
    <x v="16"/>
    <x v="196"/>
    <s v="PAYMENT THANKYOU . "/>
    <n v="11.13"/>
    <x v="1"/>
    <x v="24"/>
    <x v="1"/>
  </r>
  <r>
    <x v="2"/>
    <x v="1"/>
    <x v="16"/>
    <x v="196"/>
    <s v="FOREIGN CURRENCY TXN FEE  "/>
    <n v="-2.5"/>
    <x v="5"/>
    <x v="7"/>
    <x v="7"/>
  </r>
  <r>
    <x v="2"/>
    <x v="1"/>
    <x v="16"/>
    <x v="196"/>
    <s v="CURRENCY CONV ASSESSMENT  "/>
    <n v="-2.34"/>
    <x v="5"/>
    <x v="7"/>
    <x v="7"/>
  </r>
  <r>
    <x v="2"/>
    <x v="1"/>
    <x v="16"/>
    <x v="196"/>
    <s v="WWW.FELONSBREWIN* ME&amp;U CORINDA ;204.94 AUSTRALIAN DOLLAR at 0.928"/>
    <n v="-121.92"/>
    <x v="9"/>
    <x v="18"/>
    <x v="30"/>
  </r>
  <r>
    <x v="2"/>
    <x v="1"/>
    <x v="16"/>
    <x v="196"/>
    <s v="UBER* TRIP CHRISTCHURCH "/>
    <n v="-40.4"/>
    <x v="6"/>
    <x v="9"/>
    <x v="33"/>
  </r>
  <r>
    <x v="2"/>
    <x v="1"/>
    <x v="16"/>
    <x v="197"/>
    <s v="PAK N SAVE SYLVIA PARK AUCKLAND "/>
    <n v="-30.49"/>
    <x v="0"/>
    <x v="0"/>
    <x v="0"/>
  </r>
  <r>
    <x v="2"/>
    <x v="1"/>
    <x v="16"/>
    <x v="197"/>
    <s v="SKINNY MOBILE (3) AUCKLAND "/>
    <n v="-16.73"/>
    <x v="7"/>
    <x v="10"/>
    <x v="10"/>
  </r>
  <r>
    <x v="2"/>
    <x v="1"/>
    <x v="16"/>
    <x v="197"/>
    <s v="SKINNY MOBILE (3) AUCKLAND "/>
    <n v="-11.97"/>
    <x v="7"/>
    <x v="10"/>
    <x v="10"/>
  </r>
  <r>
    <x v="2"/>
    <x v="1"/>
    <x v="16"/>
    <x v="197"/>
    <s v="NEW WORLD STONEFIELDS AUCKLAND NZ "/>
    <n v="-14.56"/>
    <x v="0"/>
    <x v="0"/>
    <x v="0"/>
  </r>
  <r>
    <x v="2"/>
    <x v="1"/>
    <x v="16"/>
    <x v="196"/>
    <s v="PAYMENT THANKYOU . "/>
    <n v="7.59"/>
    <x v="1"/>
    <x v="24"/>
    <x v="1"/>
  </r>
  <r>
    <x v="2"/>
    <x v="1"/>
    <x v="16"/>
    <x v="196"/>
    <s v="PAYMENT THANKYOU . "/>
    <n v="67.66"/>
    <x v="1"/>
    <x v="24"/>
    <x v="1"/>
  </r>
  <r>
    <x v="2"/>
    <x v="1"/>
    <x v="16"/>
    <x v="196"/>
    <s v="PAYMENT THANKYOU . "/>
    <n v="19.63"/>
    <x v="1"/>
    <x v="24"/>
    <x v="1"/>
  </r>
  <r>
    <x v="2"/>
    <x v="1"/>
    <x v="16"/>
    <x v="197"/>
    <s v="PAYMENT THANKYOU . "/>
    <n v="349.94"/>
    <x v="1"/>
    <x v="24"/>
    <x v="1"/>
  </r>
  <r>
    <x v="2"/>
    <x v="1"/>
    <x v="16"/>
    <x v="197"/>
    <s v="Watercare Online Remuera "/>
    <n v="-2.4900000000000002"/>
    <x v="4"/>
    <x v="4"/>
    <x v="4"/>
  </r>
  <r>
    <x v="2"/>
    <x v="1"/>
    <x v="16"/>
    <x v="203"/>
    <s v="EMIRATES.CO 2368512037 DUBAI "/>
    <n v="-7933.58"/>
    <x v="3"/>
    <x v="6"/>
    <x v="6"/>
  </r>
  <r>
    <x v="2"/>
    <x v="1"/>
    <x v="16"/>
    <x v="199"/>
    <s v="MARRAM COMMUNITY TRUST WELLINGTON "/>
    <n v="126.14"/>
    <x v="3"/>
    <x v="6"/>
    <x v="6"/>
  </r>
  <r>
    <x v="2"/>
    <x v="1"/>
    <x v="16"/>
    <x v="199"/>
    <s v="MYRENT AUCKLAND "/>
    <n v="-29.49"/>
    <x v="12"/>
    <x v="17"/>
    <x v="51"/>
  </r>
  <r>
    <x v="2"/>
    <x v="1"/>
    <x v="16"/>
    <x v="198"/>
    <s v="PAYMENT THANKYOU . "/>
    <n v="1.23"/>
    <x v="1"/>
    <x v="24"/>
    <x v="1"/>
  </r>
  <r>
    <x v="2"/>
    <x v="1"/>
    <x v="16"/>
    <x v="198"/>
    <s v="PAYMENT THANKYOU . "/>
    <n v="1.29"/>
    <x v="1"/>
    <x v="24"/>
    <x v="1"/>
  </r>
  <r>
    <x v="2"/>
    <x v="1"/>
    <x v="16"/>
    <x v="198"/>
    <s v="PAYMENT THANKYOU . "/>
    <n v="6688.18"/>
    <x v="1"/>
    <x v="24"/>
    <x v="1"/>
  </r>
  <r>
    <x v="2"/>
    <x v="1"/>
    <x v="16"/>
    <x v="200"/>
    <s v="CONTACT ENERGY WELLINGTON "/>
    <n v="-55.18"/>
    <x v="4"/>
    <x v="5"/>
    <x v="5"/>
  </r>
  <r>
    <x v="2"/>
    <x v="1"/>
    <x v="16"/>
    <x v="199"/>
    <s v="PAYMENT THANKYOU . "/>
    <n v="157.33000000000001"/>
    <x v="1"/>
    <x v="24"/>
    <x v="1"/>
  </r>
  <r>
    <x v="2"/>
    <x v="1"/>
    <x v="16"/>
    <x v="199"/>
    <s v="PAYMENT THANKYOU . "/>
    <n v="35.96"/>
    <x v="1"/>
    <x v="24"/>
    <x v="1"/>
  </r>
  <r>
    <x v="2"/>
    <x v="1"/>
    <x v="16"/>
    <x v="199"/>
    <s v="Briscoes Panmure Mt Wellington "/>
    <n v="-42.45"/>
    <x v="4"/>
    <x v="12"/>
    <x v="12"/>
  </r>
  <r>
    <x v="2"/>
    <x v="1"/>
    <x v="16"/>
    <x v="199"/>
    <s v="BBB Sylvia Park Sylvia Park "/>
    <n v="-35.119999999999997"/>
    <x v="4"/>
    <x v="12"/>
    <x v="12"/>
  </r>
  <r>
    <x v="2"/>
    <x v="1"/>
    <x v="16"/>
    <x v="199"/>
    <s v="Rebel Panmure Panmure "/>
    <n v="-3.55"/>
    <x v="9"/>
    <x v="18"/>
    <x v="30"/>
  </r>
  <r>
    <x v="2"/>
    <x v="1"/>
    <x v="16"/>
    <x v="199"/>
    <s v="Chemist Warehouse Newmarket "/>
    <n v="-6.28"/>
    <x v="0"/>
    <x v="0"/>
    <x v="0"/>
  </r>
  <r>
    <x v="2"/>
    <x v="1"/>
    <x v="16"/>
    <x v="203"/>
    <s v="PAK N SAVE SYLVIA PARK AUCKLAND "/>
    <n v="-17.75"/>
    <x v="0"/>
    <x v="0"/>
    <x v="0"/>
  </r>
  <r>
    <x v="2"/>
    <x v="1"/>
    <x v="16"/>
    <x v="203"/>
    <s v="NEW WORLD STONEFIELDS AUCKLAND NZ "/>
    <n v="-37.08"/>
    <x v="0"/>
    <x v="0"/>
    <x v="0"/>
  </r>
  <r>
    <x v="2"/>
    <x v="1"/>
    <x v="16"/>
    <x v="203"/>
    <s v="The Warehouse 190 Lunn AVE "/>
    <n v="-5.63"/>
    <x v="4"/>
    <x v="12"/>
    <x v="12"/>
  </r>
  <r>
    <x v="2"/>
    <x v="1"/>
    <x v="16"/>
    <x v="203"/>
    <s v="GOODSTUFF SYLVIA PARK AUCKLAND "/>
    <n v="-4.6900000000000004"/>
    <x v="0"/>
    <x v="0"/>
    <x v="0"/>
  </r>
  <r>
    <x v="2"/>
    <x v="1"/>
    <x v="16"/>
    <x v="203"/>
    <s v="BUNNINGS - 9493 MT WELLINGTON "/>
    <n v="-2.37"/>
    <x v="4"/>
    <x v="12"/>
    <x v="12"/>
  </r>
  <r>
    <x v="2"/>
    <x v="1"/>
    <x v="16"/>
    <x v="203"/>
    <s v="NEW WORLD STONEFIELDS AUCKLAND NZ "/>
    <n v="-12.33"/>
    <x v="0"/>
    <x v="0"/>
    <x v="0"/>
  </r>
  <r>
    <x v="2"/>
    <x v="1"/>
    <x v="16"/>
    <x v="203"/>
    <s v="AKL AIRPORT CARPARK AUCKLAND "/>
    <n v="-5.88"/>
    <x v="6"/>
    <x v="9"/>
    <x v="21"/>
  </r>
  <r>
    <x v="2"/>
    <x v="1"/>
    <x v="16"/>
    <x v="205"/>
    <s v="AIA NEW ZEALAND AUCKLAND "/>
    <n v="-76.73"/>
    <x v="3"/>
    <x v="6"/>
    <x v="6"/>
  </r>
  <r>
    <x v="2"/>
    <x v="1"/>
    <x v="16"/>
    <x v="204"/>
    <s v="PAK N SAVE SYLVIA PARK AUCKLAND "/>
    <n v="-182.96"/>
    <x v="0"/>
    <x v="0"/>
    <x v="0"/>
  </r>
  <r>
    <x v="2"/>
    <x v="1"/>
    <x v="16"/>
    <x v="204"/>
    <s v="BUNNINGS - 9493 MT WELLINGTON "/>
    <n v="-13.21"/>
    <x v="4"/>
    <x v="12"/>
    <x v="12"/>
  </r>
  <r>
    <x v="2"/>
    <x v="1"/>
    <x v="16"/>
    <x v="203"/>
    <s v="Kings Plant Barn Mount Welling "/>
    <n v="-4.96"/>
    <x v="4"/>
    <x v="12"/>
    <x v="12"/>
  </r>
  <r>
    <x v="2"/>
    <x v="1"/>
    <x v="16"/>
    <x v="204"/>
    <s v="PAYMENT THANKYOU . "/>
    <n v="25.48"/>
    <x v="1"/>
    <x v="24"/>
    <x v="1"/>
  </r>
  <r>
    <x v="2"/>
    <x v="1"/>
    <x v="16"/>
    <x v="206"/>
    <s v="PAYMENT THANKYOU . "/>
    <n v="281.97000000000003"/>
    <x v="1"/>
    <x v="24"/>
    <x v="1"/>
  </r>
  <r>
    <x v="2"/>
    <x v="1"/>
    <x v="16"/>
    <x v="206"/>
    <s v="PAK N SAVE SYLVIA PARK AUCKLAND "/>
    <n v="-34.880000000000003"/>
    <x v="0"/>
    <x v="0"/>
    <x v="0"/>
  </r>
  <r>
    <x v="2"/>
    <x v="1"/>
    <x v="16"/>
    <x v="206"/>
    <s v="SP MATAN FLORIST AUCKLAND "/>
    <n v="-85.24"/>
    <x v="3"/>
    <x v="3"/>
    <x v="26"/>
  </r>
  <r>
    <x v="2"/>
    <x v="1"/>
    <x v="16"/>
    <x v="206"/>
    <s v="HESARISUPERMARKETPANMURE AUCKLAND "/>
    <n v="-5.7"/>
    <x v="0"/>
    <x v="0"/>
    <x v="0"/>
  </r>
  <r>
    <x v="2"/>
    <x v="1"/>
    <x v="16"/>
    <x v="205"/>
    <s v="PAYMENT THANKYOU . "/>
    <n v="6.67"/>
    <x v="1"/>
    <x v="24"/>
    <x v="1"/>
  </r>
  <r>
    <x v="2"/>
    <x v="1"/>
    <x v="16"/>
    <x v="205"/>
    <s v="PAYMENT THANKYOU . "/>
    <n v="27.83"/>
    <x v="1"/>
    <x v="24"/>
    <x v="1"/>
  </r>
  <r>
    <x v="2"/>
    <x v="1"/>
    <x v="16"/>
    <x v="210"/>
    <s v="Downtown Car Park Auckland "/>
    <n v="-5.68"/>
    <x v="6"/>
    <x v="9"/>
    <x v="21"/>
  </r>
  <r>
    <x v="2"/>
    <x v="1"/>
    <x v="16"/>
    <x v="207"/>
    <s v="PAYMENT THANKYOU . "/>
    <n v="27.28"/>
    <x v="1"/>
    <x v="24"/>
    <x v="1"/>
  </r>
  <r>
    <x v="2"/>
    <x v="1"/>
    <x v="16"/>
    <x v="210"/>
    <s v="PAYMENT THANKYOU . "/>
    <n v="265.92"/>
    <x v="1"/>
    <x v="24"/>
    <x v="1"/>
  </r>
  <r>
    <x v="2"/>
    <x v="1"/>
    <x v="16"/>
    <x v="210"/>
    <s v="PAYMENT THANKYOU . "/>
    <n v="13.76"/>
    <x v="1"/>
    <x v="24"/>
    <x v="1"/>
  </r>
  <r>
    <x v="2"/>
    <x v="1"/>
    <x v="16"/>
    <x v="210"/>
    <s v="PAYMENT THANKYOU . "/>
    <n v="0.64"/>
    <x v="1"/>
    <x v="24"/>
    <x v="1"/>
  </r>
  <r>
    <x v="2"/>
    <x v="1"/>
    <x v="16"/>
    <x v="210"/>
    <s v="TOWER INSURANCE - EIS 093692079 "/>
    <n v="-160.1"/>
    <x v="2"/>
    <x v="33"/>
    <x v="49"/>
  </r>
  <r>
    <x v="2"/>
    <x v="1"/>
    <x v="16"/>
    <x v="210"/>
    <s v="TOWER INSURANCE - EIS 093692079 "/>
    <n v="-16.53"/>
    <x v="4"/>
    <x v="11"/>
    <x v="11"/>
  </r>
  <r>
    <x v="2"/>
    <x v="1"/>
    <x v="16"/>
    <x v="210"/>
    <s v="TOWER INSURANCE - EIS 093692079 "/>
    <n v="-135.66"/>
    <x v="12"/>
    <x v="33"/>
    <x v="49"/>
  </r>
  <r>
    <x v="2"/>
    <x v="1"/>
    <x v="16"/>
    <x v="210"/>
    <s v="AMORE GELATO AUCKLAND "/>
    <n v="-2.5099999999999998"/>
    <x v="3"/>
    <x v="8"/>
    <x v="8"/>
  </r>
  <r>
    <x v="2"/>
    <x v="1"/>
    <x v="16"/>
    <x v="210"/>
    <s v="WESTFIELD SHOPPING CENTRE 099789400 "/>
    <n v="-0.98"/>
    <x v="0"/>
    <x v="0"/>
    <x v="0"/>
  </r>
  <r>
    <x v="2"/>
    <x v="1"/>
    <x v="16"/>
    <x v="210"/>
    <s v="AT Parking Auckland "/>
    <n v="0"/>
    <x v="6"/>
    <x v="9"/>
    <x v="21"/>
  </r>
  <r>
    <x v="2"/>
    <x v="1"/>
    <x v="16"/>
    <x v="210"/>
    <s v="AT Parking Auckland "/>
    <n v="-2.4900000000000002"/>
    <x v="6"/>
    <x v="9"/>
    <x v="21"/>
  </r>
  <r>
    <x v="2"/>
    <x v="1"/>
    <x v="16"/>
    <x v="210"/>
    <s v="PAYMENT THANKYOU . "/>
    <n v="127.97"/>
    <x v="1"/>
    <x v="24"/>
    <x v="1"/>
  </r>
  <r>
    <x v="2"/>
    <x v="1"/>
    <x v="16"/>
    <x v="210"/>
    <s v="Z Ellerslie Auckland "/>
    <n v="-111.1"/>
    <x v="6"/>
    <x v="9"/>
    <x v="14"/>
  </r>
  <r>
    <x v="2"/>
    <x v="1"/>
    <x v="16"/>
    <x v="210"/>
    <s v="HESARISUPERMARKETPANMURE AUCKLAND "/>
    <n v="-34.369999999999997"/>
    <x v="0"/>
    <x v="0"/>
    <x v="0"/>
  </r>
  <r>
    <x v="2"/>
    <x v="1"/>
    <x v="16"/>
    <x v="211"/>
    <s v="PAYMENT THANKYOU . "/>
    <n v="322.68"/>
    <x v="1"/>
    <x v="24"/>
    <x v="1"/>
  </r>
  <r>
    <x v="2"/>
    <x v="1"/>
    <x v="16"/>
    <x v="211"/>
    <s v="Chemist Warehouse Sylvia Park "/>
    <n v="-34.200000000000003"/>
    <x v="0"/>
    <x v="0"/>
    <x v="0"/>
  </r>
  <r>
    <x v="2"/>
    <x v="1"/>
    <x v="16"/>
    <x v="211"/>
    <s v="PAK N SAVE SYLVIA PARK AUCKLAND "/>
    <n v="-255.91"/>
    <x v="0"/>
    <x v="0"/>
    <x v="0"/>
  </r>
  <r>
    <x v="2"/>
    <x v="1"/>
    <x v="16"/>
    <x v="210"/>
    <s v="PAYMENT THANKYOU . "/>
    <n v="17.170000000000002"/>
    <x v="1"/>
    <x v="24"/>
    <x v="1"/>
  </r>
  <r>
    <x v="2"/>
    <x v="1"/>
    <x v="16"/>
    <x v="210"/>
    <s v="PAYMENT THANKYOU . "/>
    <n v="8.61"/>
    <x v="1"/>
    <x v="24"/>
    <x v="1"/>
  </r>
  <r>
    <x v="2"/>
    <x v="1"/>
    <x v="16"/>
    <x v="210"/>
    <s v="AT Hop Auckland Henderson "/>
    <n v="-38.369999999999997"/>
    <x v="6"/>
    <x v="9"/>
    <x v="33"/>
  </r>
  <r>
    <x v="2"/>
    <x v="1"/>
    <x v="16"/>
    <x v="210"/>
    <s v="AT Hop Auckland Henderson "/>
    <n v="-31.9"/>
    <x v="6"/>
    <x v="9"/>
    <x v="33"/>
  </r>
  <r>
    <x v="2"/>
    <x v="1"/>
    <x v="16"/>
    <x v="214"/>
    <s v="PAYPAL *GOOGLE GOOGLE 4029357733 "/>
    <n v="-4.99"/>
    <x v="9"/>
    <x v="18"/>
    <x v="22"/>
  </r>
  <r>
    <x v="2"/>
    <x v="1"/>
    <x v="16"/>
    <x v="213"/>
    <s v="CHOICE RETAIL AUCKLAND "/>
    <n v="-1.55"/>
    <x v="0"/>
    <x v="0"/>
    <x v="0"/>
  </r>
  <r>
    <x v="2"/>
    <x v="1"/>
    <x v="16"/>
    <x v="213"/>
    <s v="CHOICE RETAIL AUCKLAND "/>
    <n v="-0.03"/>
    <x v="0"/>
    <x v="0"/>
    <x v="0"/>
  </r>
  <r>
    <x v="2"/>
    <x v="1"/>
    <x v="16"/>
    <x v="212"/>
    <s v="AUCKLAND ZOO AUCKLAND "/>
    <n v="-23.09"/>
    <x v="3"/>
    <x v="3"/>
    <x v="3"/>
  </r>
  <r>
    <x v="2"/>
    <x v="1"/>
    <x v="16"/>
    <x v="212"/>
    <s v="AUCKLAND MUSEUM  ELOCKERS AUCKLAND "/>
    <n v="-1.06"/>
    <x v="3"/>
    <x v="8"/>
    <x v="8"/>
  </r>
  <r>
    <x v="2"/>
    <x v="1"/>
    <x v="16"/>
    <x v="211"/>
    <s v="PAYMENT THANKYOU . "/>
    <n v="2.78"/>
    <x v="1"/>
    <x v="24"/>
    <x v="1"/>
  </r>
  <r>
    <x v="2"/>
    <x v="1"/>
    <x v="16"/>
    <x v="214"/>
    <s v="FOREIGN CURRENCY TXN FEE  "/>
    <n v="-0.03"/>
    <x v="5"/>
    <x v="7"/>
    <x v="7"/>
  </r>
  <r>
    <x v="2"/>
    <x v="1"/>
    <x v="16"/>
    <x v="214"/>
    <s v="CURRENCY CONV ASSESSMENT  "/>
    <n v="-0.16"/>
    <x v="5"/>
    <x v="7"/>
    <x v="7"/>
  </r>
  <r>
    <x v="2"/>
    <x v="1"/>
    <x v="16"/>
    <x v="214"/>
    <s v="US MOBILE* US MOBILE WWW.USMOBILE. NY;8.57 US DOLLAR  $ at 0.6061"/>
    <n v="-2.69"/>
    <x v="7"/>
    <x v="13"/>
    <x v="15"/>
  </r>
  <r>
    <x v="2"/>
    <x v="1"/>
    <x v="16"/>
    <x v="213"/>
    <s v="PAYMENT THANKYOU . "/>
    <n v="60.05"/>
    <x v="1"/>
    <x v="24"/>
    <x v="1"/>
  </r>
  <r>
    <x v="2"/>
    <x v="1"/>
    <x v="16"/>
    <x v="213"/>
    <s v="JACQUI E I51 MT WELLINGTON "/>
    <n v="-171.4"/>
    <x v="9"/>
    <x v="18"/>
    <x v="30"/>
  </r>
  <r>
    <x v="2"/>
    <x v="1"/>
    <x v="16"/>
    <x v="213"/>
    <s v="PAK N SAVE SYLVIA PARK AUCKLAND "/>
    <n v="-30.35"/>
    <x v="0"/>
    <x v="0"/>
    <x v="0"/>
  </r>
  <r>
    <x v="2"/>
    <x v="1"/>
    <x v="16"/>
    <x v="212"/>
    <s v="PAYMENT THANKYOU . "/>
    <n v="11.17"/>
    <x v="1"/>
    <x v="24"/>
    <x v="1"/>
  </r>
  <r>
    <x v="2"/>
    <x v="1"/>
    <x v="16"/>
    <x v="212"/>
    <s v="PAYMENT THANKYOU . "/>
    <n v="27.84"/>
    <x v="1"/>
    <x v="24"/>
    <x v="1"/>
  </r>
  <r>
    <x v="2"/>
    <x v="1"/>
    <x v="16"/>
    <x v="214"/>
    <s v="PAYMENT THANKYOU . "/>
    <n v="8.4600000000000009"/>
    <x v="1"/>
    <x v="24"/>
    <x v="1"/>
  </r>
  <r>
    <x v="2"/>
    <x v="1"/>
    <x v="16"/>
    <x v="214"/>
    <s v="Bookme.Co.Nz New Zealand "/>
    <n v="-32.86"/>
    <x v="3"/>
    <x v="6"/>
    <x v="6"/>
  </r>
  <r>
    <x v="2"/>
    <x v="1"/>
    <x v="16"/>
    <x v="214"/>
    <s v="AT Parking Auckland "/>
    <n v="-3.43"/>
    <x v="6"/>
    <x v="9"/>
    <x v="21"/>
  </r>
  <r>
    <x v="2"/>
    <x v="1"/>
    <x v="16"/>
    <x v="214"/>
    <s v="AT Parking Auckland "/>
    <n v="-0.86"/>
    <x v="6"/>
    <x v="9"/>
    <x v="21"/>
  </r>
  <r>
    <x v="2"/>
    <x v="1"/>
    <x v="16"/>
    <x v="214"/>
    <s v="COUNTDOWN GREEN/326 GREAT GREENLANE "/>
    <n v="-1.17"/>
    <x v="0"/>
    <x v="0"/>
    <x v="0"/>
  </r>
  <r>
    <x v="2"/>
    <x v="1"/>
    <x v="16"/>
    <x v="213"/>
    <s v="PAYMENT THANKYOU . "/>
    <n v="30.37"/>
    <x v="1"/>
    <x v="24"/>
    <x v="1"/>
  </r>
  <r>
    <x v="2"/>
    <x v="1"/>
    <x v="16"/>
    <x v="213"/>
    <s v="Montana Catering Aukl Auckland "/>
    <n v="-2.5099999999999998"/>
    <x v="0"/>
    <x v="0"/>
    <x v="0"/>
  </r>
  <r>
    <x v="2"/>
    <x v="1"/>
    <x v="16"/>
    <x v="613"/>
    <s v="PAK N SAVE SYLVIA PARK AUCKLAND "/>
    <n v="-35.9"/>
    <x v="0"/>
    <x v="0"/>
    <x v="0"/>
  </r>
  <r>
    <x v="2"/>
    <x v="1"/>
    <x v="16"/>
    <x v="613"/>
    <s v="FARMERS AUCKLAND "/>
    <n v="-93.91"/>
    <x v="4"/>
    <x v="12"/>
    <x v="12"/>
  </r>
  <r>
    <x v="2"/>
    <x v="1"/>
    <x v="16"/>
    <x v="613"/>
    <s v="TACOBELL SYLVIAPARK113 AUCKLAND "/>
    <n v="-10.73"/>
    <x v="3"/>
    <x v="8"/>
    <x v="8"/>
  </r>
  <r>
    <x v="2"/>
    <x v="1"/>
    <x v="16"/>
    <x v="613"/>
    <s v="MAHONS AMUSEMENTS LTD WAIKATO "/>
    <n v="-16.39"/>
    <x v="0"/>
    <x v="0"/>
    <x v="0"/>
  </r>
  <r>
    <x v="2"/>
    <x v="1"/>
    <x v="16"/>
    <x v="613"/>
    <s v="HESARISUPERMARKETPANMURE AUCKLAND "/>
    <n v="-4.43"/>
    <x v="0"/>
    <x v="0"/>
    <x v="0"/>
  </r>
  <r>
    <x v="2"/>
    <x v="1"/>
    <x v="16"/>
    <x v="613"/>
    <s v="MAHONS AMUSEMENTS LTD WAIKATO "/>
    <n v="-2.67"/>
    <x v="0"/>
    <x v="0"/>
    <x v="0"/>
  </r>
  <r>
    <x v="2"/>
    <x v="1"/>
    <x v="16"/>
    <x v="613"/>
    <s v="MAHONS AMUSEMENTS LTD WAIKATO "/>
    <n v="-6.45"/>
    <x v="0"/>
    <x v="0"/>
    <x v="0"/>
  </r>
  <r>
    <x v="2"/>
    <x v="1"/>
    <x v="16"/>
    <x v="613"/>
    <s v="MAHONS AMUSEMENTS LTD WAIKATO "/>
    <n v="-5.59"/>
    <x v="0"/>
    <x v="0"/>
    <x v="0"/>
  </r>
  <r>
    <x v="2"/>
    <x v="1"/>
    <x v="16"/>
    <x v="613"/>
    <s v="MAHONS AMUSEMENTS LTD WAIKATO "/>
    <n v="-1.52"/>
    <x v="0"/>
    <x v="0"/>
    <x v="0"/>
  </r>
  <r>
    <x v="2"/>
    <x v="1"/>
    <x v="16"/>
    <x v="214"/>
    <s v="PAYMENT THANKYOU . "/>
    <n v="3.61"/>
    <x v="1"/>
    <x v="24"/>
    <x v="1"/>
  </r>
  <r>
    <x v="2"/>
    <x v="1"/>
    <x v="16"/>
    <x v="214"/>
    <s v="PAYMENT THANKYOU . "/>
    <n v="42.57"/>
    <x v="1"/>
    <x v="24"/>
    <x v="1"/>
  </r>
  <r>
    <x v="2"/>
    <x v="1"/>
    <x v="16"/>
    <x v="214"/>
    <s v="PAYMENT THANKYOU . "/>
    <n v="5.63"/>
    <x v="1"/>
    <x v="24"/>
    <x v="1"/>
  </r>
  <r>
    <x v="2"/>
    <x v="1"/>
    <x v="16"/>
    <x v="214"/>
    <s v="PAYMENT THANKYOU . "/>
    <n v="53.56"/>
    <x v="1"/>
    <x v="24"/>
    <x v="1"/>
  </r>
  <r>
    <x v="2"/>
    <x v="1"/>
    <x v="16"/>
    <x v="613"/>
    <s v="PAYMENT THANKYOU . "/>
    <n v="0.06"/>
    <x v="1"/>
    <x v="24"/>
    <x v="1"/>
  </r>
  <r>
    <x v="2"/>
    <x v="1"/>
    <x v="16"/>
    <x v="613"/>
    <s v="PAYMENT THANKYOU . "/>
    <n v="273.85000000000002"/>
    <x v="1"/>
    <x v="24"/>
    <x v="1"/>
  </r>
  <r>
    <x v="2"/>
    <x v="1"/>
    <x v="16"/>
    <x v="613"/>
    <s v="Z Whitianga Whitianga "/>
    <n v="-168.83"/>
    <x v="6"/>
    <x v="9"/>
    <x v="14"/>
  </r>
  <r>
    <x v="2"/>
    <x v="1"/>
    <x v="16"/>
    <x v="613"/>
    <s v="The Warehouse 189 Whitianga "/>
    <n v="-38.11"/>
    <x v="4"/>
    <x v="12"/>
    <x v="12"/>
  </r>
  <r>
    <x v="2"/>
    <x v="1"/>
    <x v="16"/>
    <x v="613"/>
    <s v="COUNTDOWN WHITI/60 JOAN G WHITIANGA "/>
    <n v="-1.8"/>
    <x v="0"/>
    <x v="0"/>
    <x v="0"/>
  </r>
  <r>
    <x v="2"/>
    <x v="1"/>
    <x v="16"/>
    <x v="613"/>
    <s v="SMOKO THAMES "/>
    <n v="-4.03"/>
    <x v="0"/>
    <x v="0"/>
    <x v="0"/>
  </r>
  <r>
    <x v="2"/>
    <x v="1"/>
    <x v="16"/>
    <x v="613"/>
    <s v="SMOKO THAMES "/>
    <n v="-17.489999999999998"/>
    <x v="0"/>
    <x v="0"/>
    <x v="0"/>
  </r>
  <r>
    <x v="2"/>
    <x v="1"/>
    <x v="16"/>
    <x v="613"/>
    <s v="Mercury Bay Pharmacy Whitianga "/>
    <n v="-8.02"/>
    <x v="10"/>
    <x v="20"/>
    <x v="27"/>
  </r>
  <r>
    <x v="2"/>
    <x v="1"/>
    <x v="16"/>
    <x v="613"/>
    <s v="AKL AIRPORT CARPARK AUCKLAND "/>
    <n v="-3.52"/>
    <x v="6"/>
    <x v="9"/>
    <x v="21"/>
  </r>
  <r>
    <x v="2"/>
    <x v="1"/>
    <x v="16"/>
    <x v="613"/>
    <s v="The Warehouse 189 Whitianga "/>
    <n v="-4.6500000000000004"/>
    <x v="4"/>
    <x v="12"/>
    <x v="12"/>
  </r>
  <r>
    <x v="2"/>
    <x v="1"/>
    <x v="16"/>
    <x v="613"/>
    <s v="SMOKO THAMES "/>
    <n v="-5.31"/>
    <x v="0"/>
    <x v="0"/>
    <x v="0"/>
  </r>
  <r>
    <x v="2"/>
    <x v="1"/>
    <x v="16"/>
    <x v="613"/>
    <s v="Bistro Box Auckland "/>
    <n v="-1.83"/>
    <x v="0"/>
    <x v="0"/>
    <x v="0"/>
  </r>
  <r>
    <x v="2"/>
    <x v="1"/>
    <x v="16"/>
    <x v="613"/>
    <s v="PAYMENT THANKYOU . "/>
    <n v="19.149999999999999"/>
    <x v="1"/>
    <x v="24"/>
    <x v="1"/>
  </r>
  <r>
    <x v="2"/>
    <x v="1"/>
    <x v="16"/>
    <x v="613"/>
    <s v="PAYMENT THANKYOU . "/>
    <n v="98.71"/>
    <x v="1"/>
    <x v="24"/>
    <x v="1"/>
  </r>
  <r>
    <x v="2"/>
    <x v="1"/>
    <x v="16"/>
    <x v="613"/>
    <s v="SUPER LIQUOR WHITIANGA WHITIANGA "/>
    <n v="-71.19"/>
    <x v="3"/>
    <x v="3"/>
    <x v="34"/>
  </r>
  <r>
    <x v="2"/>
    <x v="1"/>
    <x v="16"/>
    <x v="613"/>
    <s v="Bookme.Co.Nz New Zealand "/>
    <n v="-106.98"/>
    <x v="3"/>
    <x v="6"/>
    <x v="6"/>
  </r>
  <r>
    <x v="2"/>
    <x v="1"/>
    <x v="16"/>
    <x v="613"/>
    <s v="Bookme.Co.Nz New Zealand "/>
    <n v="-26.37"/>
    <x v="3"/>
    <x v="6"/>
    <x v="6"/>
  </r>
  <r>
    <x v="2"/>
    <x v="1"/>
    <x v="16"/>
    <x v="613"/>
    <s v="New World Whitianga Whitianga "/>
    <n v="-13.83"/>
    <x v="0"/>
    <x v="0"/>
    <x v="0"/>
  </r>
  <r>
    <x v="2"/>
    <x v="1"/>
    <x v="16"/>
    <x v="216"/>
    <s v="PAYMENT THANKYOU . "/>
    <n v="9.73"/>
    <x v="1"/>
    <x v="24"/>
    <x v="1"/>
  </r>
  <r>
    <x v="2"/>
    <x v="1"/>
    <x v="16"/>
    <x v="216"/>
    <s v="New World Whitianga Whitianga "/>
    <n v="-18.260000000000002"/>
    <x v="0"/>
    <x v="0"/>
    <x v="0"/>
  </r>
  <r>
    <x v="2"/>
    <x v="1"/>
    <x v="16"/>
    <x v="613"/>
    <s v="PAYMENT THANKYOU . "/>
    <n v="72.06"/>
    <x v="1"/>
    <x v="24"/>
    <x v="1"/>
  </r>
  <r>
    <x v="2"/>
    <x v="1"/>
    <x v="16"/>
    <x v="613"/>
    <s v="PAYMENT THANKYOU . "/>
    <n v="36.28"/>
    <x v="1"/>
    <x v="24"/>
    <x v="1"/>
  </r>
  <r>
    <x v="2"/>
    <x v="1"/>
    <x v="16"/>
    <x v="613"/>
    <s v="Tickets*Who killed humanitix.com "/>
    <n v="-410.07"/>
    <x v="3"/>
    <x v="3"/>
    <x v="3"/>
  </r>
  <r>
    <x v="2"/>
    <x v="1"/>
    <x v="16"/>
    <x v="217"/>
    <s v="New World Whitianga Whitianga "/>
    <n v="-52.14"/>
    <x v="0"/>
    <x v="0"/>
    <x v="0"/>
  </r>
  <r>
    <x v="2"/>
    <x v="1"/>
    <x v="16"/>
    <x v="217"/>
    <s v="WELLSTOCKED DELI WHITIANGA "/>
    <n v="-64.37"/>
    <x v="3"/>
    <x v="8"/>
    <x v="8"/>
  </r>
  <r>
    <x v="2"/>
    <x v="1"/>
    <x v="16"/>
    <x v="217"/>
    <s v="COUNTDOWN WHITI/60 JOAN G WHITIANGA "/>
    <n v="-13.21"/>
    <x v="0"/>
    <x v="0"/>
    <x v="0"/>
  </r>
  <r>
    <x v="2"/>
    <x v="1"/>
    <x v="16"/>
    <x v="216"/>
    <s v="PAYMENT THANKYOU . "/>
    <n v="26.17"/>
    <x v="1"/>
    <x v="24"/>
    <x v="1"/>
  </r>
  <r>
    <x v="2"/>
    <x v="1"/>
    <x v="16"/>
    <x v="216"/>
    <s v="PAYMENT THANKYOU . "/>
    <n v="123.52"/>
    <x v="1"/>
    <x v="24"/>
    <x v="1"/>
  </r>
  <r>
    <x v="2"/>
    <x v="1"/>
    <x v="16"/>
    <x v="218"/>
    <s v="Lukes Kitchen Kuaotunu "/>
    <n v="-85.56"/>
    <x v="3"/>
    <x v="8"/>
    <x v="8"/>
  </r>
  <r>
    <x v="2"/>
    <x v="1"/>
    <x v="16"/>
    <x v="218"/>
    <s v="PIPERS CAFE WHITIANGA "/>
    <n v="-5.99"/>
    <x v="3"/>
    <x v="8"/>
    <x v="8"/>
  </r>
  <r>
    <x v="2"/>
    <x v="1"/>
    <x v="16"/>
    <x v="217"/>
    <s v="PAYMENT THANKYOU . "/>
    <n v="9.4499999999999993"/>
    <x v="1"/>
    <x v="24"/>
    <x v="1"/>
  </r>
  <r>
    <x v="2"/>
    <x v="1"/>
    <x v="16"/>
    <x v="217"/>
    <s v="PAYMENT THANKYOU . "/>
    <n v="24.22"/>
    <x v="1"/>
    <x v="24"/>
    <x v="1"/>
  </r>
  <r>
    <x v="2"/>
    <x v="1"/>
    <x v="16"/>
    <x v="219"/>
    <s v="LIQUOR CENTRE ELLERSLIE AUCKLAND "/>
    <n v="-59.89"/>
    <x v="3"/>
    <x v="3"/>
    <x v="34"/>
  </r>
  <r>
    <x v="2"/>
    <x v="1"/>
    <x v="16"/>
    <x v="219"/>
    <s v="All Things Organic Tairua "/>
    <n v="-24.52"/>
    <x v="0"/>
    <x v="0"/>
    <x v="0"/>
  </r>
  <r>
    <x v="2"/>
    <x v="1"/>
    <x v="16"/>
    <x v="287"/>
    <s v="PAK N SAVE SYLVIA PARK AUCKLAND "/>
    <n v="-191.75"/>
    <x v="0"/>
    <x v="0"/>
    <x v="0"/>
  </r>
  <r>
    <x v="2"/>
    <x v="1"/>
    <x v="16"/>
    <x v="287"/>
    <s v="Deadshot Grey Lynn "/>
    <n v="-69.599999999999994"/>
    <x v="3"/>
    <x v="8"/>
    <x v="8"/>
  </r>
  <r>
    <x v="2"/>
    <x v="1"/>
    <x v="16"/>
    <x v="219"/>
    <s v="PAYMENT THANKYOU . "/>
    <n v="97.12"/>
    <x v="1"/>
    <x v="24"/>
    <x v="1"/>
  </r>
  <r>
    <x v="2"/>
    <x v="1"/>
    <x v="16"/>
    <x v="219"/>
    <s v="Washpod 06 Mt Wellington "/>
    <n v="-8.92"/>
    <x v="0"/>
    <x v="0"/>
    <x v="0"/>
  </r>
  <r>
    <x v="2"/>
    <x v="1"/>
    <x v="16"/>
    <x v="287"/>
    <s v="PAYMENT THANKYOU . "/>
    <n v="456.92"/>
    <x v="1"/>
    <x v="24"/>
    <x v="1"/>
  </r>
  <r>
    <x v="2"/>
    <x v="1"/>
    <x v="16"/>
    <x v="287"/>
    <s v="PAYMENT THANKYOU . "/>
    <n v="40.71"/>
    <x v="1"/>
    <x v="24"/>
    <x v="1"/>
  </r>
  <r>
    <x v="2"/>
    <x v="1"/>
    <x v="16"/>
    <x v="287"/>
    <s v="PAYMENT THANKYOU . "/>
    <n v="1.67"/>
    <x v="1"/>
    <x v="24"/>
    <x v="1"/>
  </r>
  <r>
    <x v="2"/>
    <x v="1"/>
    <x v="16"/>
    <x v="287"/>
    <s v="GS CELLAR AUCKLAND "/>
    <n v="-6.15"/>
    <x v="3"/>
    <x v="8"/>
    <x v="8"/>
  </r>
  <r>
    <x v="2"/>
    <x v="1"/>
    <x v="16"/>
    <x v="287"/>
    <s v="SKINNY MOBILE (3) AUCKLAND "/>
    <n v="-1.68"/>
    <x v="7"/>
    <x v="10"/>
    <x v="10"/>
  </r>
  <r>
    <x v="2"/>
    <x v="1"/>
    <x v="16"/>
    <x v="287"/>
    <s v="FARMERS 1140 NEWMARKET "/>
    <n v="-37.76"/>
    <x v="4"/>
    <x v="12"/>
    <x v="12"/>
  </r>
  <r>
    <x v="2"/>
    <x v="1"/>
    <x v="16"/>
    <x v="287"/>
    <s v="AUCKLAND MUSEUM STORE AUCKLAND "/>
    <n v="-4.16"/>
    <x v="9"/>
    <x v="18"/>
    <x v="30"/>
  </r>
  <r>
    <x v="2"/>
    <x v="1"/>
    <x v="16"/>
    <x v="223"/>
    <s v="SKINNY MOBILE (3) AUCKLAND "/>
    <n v="-23.76"/>
    <x v="7"/>
    <x v="10"/>
    <x v="10"/>
  </r>
  <r>
    <x v="2"/>
    <x v="1"/>
    <x v="16"/>
    <x v="287"/>
    <s v="PAYMENT THANKYOU . "/>
    <n v="105.7"/>
    <x v="1"/>
    <x v="24"/>
    <x v="1"/>
  </r>
  <r>
    <x v="2"/>
    <x v="1"/>
    <x v="16"/>
    <x v="287"/>
    <s v="PAYMENT THANKYOU . "/>
    <n v="3.46"/>
    <x v="1"/>
    <x v="24"/>
    <x v="1"/>
  </r>
  <r>
    <x v="2"/>
    <x v="1"/>
    <x v="16"/>
    <x v="287"/>
    <s v="PAYMENT THANKYOU . "/>
    <n v="0.28999999999999998"/>
    <x v="1"/>
    <x v="24"/>
    <x v="1"/>
  </r>
  <r>
    <x v="2"/>
    <x v="1"/>
    <x v="16"/>
    <x v="287"/>
    <s v="PUBLIC DRINKS CO AUCKLAND "/>
    <n v="-5.1100000000000003"/>
    <x v="3"/>
    <x v="8"/>
    <x v="8"/>
  </r>
  <r>
    <x v="2"/>
    <x v="1"/>
    <x v="16"/>
    <x v="287"/>
    <s v="AT Parking Auckland "/>
    <n v="-0.33"/>
    <x v="6"/>
    <x v="9"/>
    <x v="21"/>
  </r>
  <r>
    <x v="2"/>
    <x v="1"/>
    <x v="16"/>
    <x v="223"/>
    <s v="THEA LTD AUCKLAND "/>
    <n v="6.5"/>
    <x v="0"/>
    <x v="0"/>
    <x v="0"/>
  </r>
  <r>
    <x v="2"/>
    <x v="1"/>
    <x v="16"/>
    <x v="223"/>
    <s v="THEA LTD AUCKLAND "/>
    <n v="-47"/>
    <x v="0"/>
    <x v="0"/>
    <x v="0"/>
  </r>
  <r>
    <x v="2"/>
    <x v="1"/>
    <x v="16"/>
    <x v="223"/>
    <s v="APPLE.COM/BILL SYDNEY "/>
    <n v="-12.06"/>
    <x v="7"/>
    <x v="16"/>
    <x v="19"/>
  </r>
  <r>
    <x v="2"/>
    <x v="1"/>
    <x v="16"/>
    <x v="287"/>
    <s v="PAYMENT THANKYOU . "/>
    <n v="14.79"/>
    <x v="1"/>
    <x v="24"/>
    <x v="1"/>
  </r>
  <r>
    <x v="2"/>
    <x v="1"/>
    <x v="16"/>
    <x v="287"/>
    <s v="PAYMENT THANKYOU . "/>
    <n v="58.12"/>
    <x v="1"/>
    <x v="24"/>
    <x v="1"/>
  </r>
  <r>
    <x v="2"/>
    <x v="1"/>
    <x v="16"/>
    <x v="223"/>
    <s v="PAYMENT THANKYOU . "/>
    <n v="14.54"/>
    <x v="1"/>
    <x v="24"/>
    <x v="1"/>
  </r>
  <r>
    <x v="2"/>
    <x v="1"/>
    <x v="16"/>
    <x v="223"/>
    <s v="TOWER INSURANCE - EIS 093692079 "/>
    <n v="-25.43"/>
    <x v="4"/>
    <x v="34"/>
    <x v="50"/>
  </r>
  <r>
    <x v="2"/>
    <x v="1"/>
    <x v="16"/>
    <x v="633"/>
    <s v="PAYPAL *AIRBNB  HMSHCK 35314369001 "/>
    <n v="-101.83"/>
    <x v="3"/>
    <x v="6"/>
    <x v="6"/>
  </r>
  <r>
    <x v="2"/>
    <x v="1"/>
    <x v="16"/>
    <x v="224"/>
    <s v="Bookme.Co.Nz New Zealand "/>
    <n v="-101.02"/>
    <x v="3"/>
    <x v="6"/>
    <x v="6"/>
  </r>
  <r>
    <x v="2"/>
    <x v="1"/>
    <x v="16"/>
    <x v="224"/>
    <s v="PAK N SAVE SYLVIA PARK AUCKLAND "/>
    <n v="-60.22"/>
    <x v="0"/>
    <x v="0"/>
    <x v="0"/>
  </r>
  <r>
    <x v="2"/>
    <x v="1"/>
    <x v="16"/>
    <x v="224"/>
    <s v="MARRAM COMMUNITY TRUST WELLINGTON "/>
    <n v="-394.74"/>
    <x v="3"/>
    <x v="6"/>
    <x v="6"/>
  </r>
  <r>
    <x v="2"/>
    <x v="1"/>
    <x v="16"/>
    <x v="224"/>
    <s v="Chemist Warehouse Sylvia Park "/>
    <n v="-42.8"/>
    <x v="0"/>
    <x v="0"/>
    <x v="0"/>
  </r>
  <r>
    <x v="2"/>
    <x v="1"/>
    <x v="16"/>
    <x v="223"/>
    <s v="PAYMENT THANKYOU . "/>
    <n v="229.94"/>
    <x v="1"/>
    <x v="24"/>
    <x v="1"/>
  </r>
  <r>
    <x v="2"/>
    <x v="1"/>
    <x v="16"/>
    <x v="223"/>
    <s v="PAYMENT THANKYOU . "/>
    <n v="2.59"/>
    <x v="1"/>
    <x v="24"/>
    <x v="1"/>
  </r>
  <r>
    <x v="2"/>
    <x v="1"/>
    <x v="16"/>
    <x v="223"/>
    <s v="PAYMENT THANKYOU . "/>
    <n v="87.24"/>
    <x v="1"/>
    <x v="24"/>
    <x v="1"/>
  </r>
  <r>
    <x v="2"/>
    <x v="1"/>
    <x v="16"/>
    <x v="225"/>
    <s v="MARRAM COMMUNITY TRUST WELLINGTON "/>
    <n v="-27.11"/>
    <x v="3"/>
    <x v="6"/>
    <x v="6"/>
  </r>
  <r>
    <x v="2"/>
    <x v="1"/>
    <x v="16"/>
    <x v="224"/>
    <s v="PAYMENT THANKYOU . "/>
    <n v="91.62"/>
    <x v="1"/>
    <x v="24"/>
    <x v="1"/>
  </r>
  <r>
    <x v="2"/>
    <x v="1"/>
    <x v="16"/>
    <x v="224"/>
    <s v="PAYMENT THANKYOU . "/>
    <n v="8.9600000000000009"/>
    <x v="1"/>
    <x v="24"/>
    <x v="1"/>
  </r>
  <r>
    <x v="2"/>
    <x v="1"/>
    <x v="16"/>
    <x v="633"/>
    <s v="Watercare Online Remuera "/>
    <n v="-8.67"/>
    <x v="4"/>
    <x v="4"/>
    <x v="4"/>
  </r>
  <r>
    <x v="2"/>
    <x v="1"/>
    <x v="16"/>
    <x v="633"/>
    <s v="IMMIGRATION NZ AUCKLAND "/>
    <n v="-4405.87"/>
    <x v="5"/>
    <x v="7"/>
    <x v="52"/>
  </r>
  <r>
    <x v="2"/>
    <x v="1"/>
    <x v="16"/>
    <x v="633"/>
    <s v="CONTACT ENERGY WELLINGTON "/>
    <n v="-137.11000000000001"/>
    <x v="4"/>
    <x v="5"/>
    <x v="5"/>
  </r>
  <r>
    <x v="2"/>
    <x v="1"/>
    <x v="16"/>
    <x v="225"/>
    <s v="PAYMENT THANKYOU . "/>
    <n v="583.98"/>
    <x v="1"/>
    <x v="24"/>
    <x v="1"/>
  </r>
  <r>
    <x v="2"/>
    <x v="1"/>
    <x v="16"/>
    <x v="225"/>
    <s v="PAYMENT THANKYOU . "/>
    <n v="935.74"/>
    <x v="1"/>
    <x v="24"/>
    <x v="1"/>
  </r>
  <r>
    <x v="2"/>
    <x v="1"/>
    <x v="16"/>
    <x v="633"/>
    <s v="PAYMENT THANKYOU . "/>
    <n v="30.03"/>
    <x v="1"/>
    <x v="24"/>
    <x v="1"/>
  </r>
  <r>
    <x v="2"/>
    <x v="1"/>
    <x v="16"/>
    <x v="633"/>
    <s v="MYRENT AUCKLAND "/>
    <n v="-37.47"/>
    <x v="2"/>
    <x v="17"/>
    <x v="51"/>
  </r>
  <r>
    <x v="2"/>
    <x v="1"/>
    <x v="16"/>
    <x v="228"/>
    <s v="PAYPAL *AIRBNB  HMSWHY 35314369001 "/>
    <n v="-57.94"/>
    <x v="3"/>
    <x v="6"/>
    <x v="6"/>
  </r>
  <r>
    <x v="2"/>
    <x v="1"/>
    <x v="16"/>
    <x v="227"/>
    <s v="LUFTHANSA   RAN7T9 PAYPAL COM "/>
    <n v="-203.91"/>
    <x v="3"/>
    <x v="6"/>
    <x v="6"/>
  </r>
  <r>
    <x v="2"/>
    <x v="1"/>
    <x v="16"/>
    <x v="227"/>
    <s v="LUFTHANSA   RE2BIK PAYPAL COM "/>
    <n v="-136.69999999999999"/>
    <x v="3"/>
    <x v="6"/>
    <x v="6"/>
  </r>
  <r>
    <x v="2"/>
    <x v="1"/>
    <x v="16"/>
    <x v="227"/>
    <s v="FOREIGN CURRENCY TXN FEE  "/>
    <n v="-5.32"/>
    <x v="5"/>
    <x v="7"/>
    <x v="7"/>
  </r>
  <r>
    <x v="2"/>
    <x v="1"/>
    <x v="16"/>
    <x v="227"/>
    <s v="CURRENCY CONV ASSESSMENT  "/>
    <n v="-0.7"/>
    <x v="5"/>
    <x v="7"/>
    <x v="7"/>
  </r>
  <r>
    <x v="2"/>
    <x v="1"/>
    <x v="16"/>
    <x v="227"/>
    <s v="Hotel at Booking.com Sydney ;384.75 EURO NATL CURR UNIT (NCU) at 0.5638"/>
    <n v="-522"/>
    <x v="3"/>
    <x v="6"/>
    <x v="6"/>
  </r>
  <r>
    <x v="2"/>
    <x v="1"/>
    <x v="16"/>
    <x v="227"/>
    <s v="FOREIGN CURRENCY TXN FEE  "/>
    <n v="-6.45"/>
    <x v="5"/>
    <x v="7"/>
    <x v="7"/>
  </r>
  <r>
    <x v="2"/>
    <x v="1"/>
    <x v="16"/>
    <x v="227"/>
    <s v="CURRENCY CONV ASSESSMENT  "/>
    <n v="-1.58"/>
    <x v="5"/>
    <x v="7"/>
    <x v="7"/>
  </r>
  <r>
    <x v="2"/>
    <x v="1"/>
    <x v="16"/>
    <x v="227"/>
    <s v="Hotel at Booking.com Sydney ;597.89 EURO NATL CURR UNIT (NCU) at 0.5638"/>
    <n v="-932.43"/>
    <x v="3"/>
    <x v="6"/>
    <x v="6"/>
  </r>
  <r>
    <x v="2"/>
    <x v="1"/>
    <x v="16"/>
    <x v="633"/>
    <s v="PAYMENT THANKYOU . "/>
    <n v="4.9400000000000004"/>
    <x v="1"/>
    <x v="24"/>
    <x v="1"/>
  </r>
  <r>
    <x v="2"/>
    <x v="1"/>
    <x v="16"/>
    <x v="633"/>
    <s v="PAYMENT THANKYOU . "/>
    <n v="202.57"/>
    <x v="1"/>
    <x v="24"/>
    <x v="1"/>
  </r>
  <r>
    <x v="2"/>
    <x v="1"/>
    <x v="16"/>
    <x v="633"/>
    <s v="PAYMENT THANKYOU . "/>
    <n v="4129.54"/>
    <x v="1"/>
    <x v="24"/>
    <x v="1"/>
  </r>
  <r>
    <x v="2"/>
    <x v="1"/>
    <x v="16"/>
    <x v="633"/>
    <s v="Washpod 06 Mt Wellington "/>
    <n v="-13.82"/>
    <x v="0"/>
    <x v="0"/>
    <x v="0"/>
  </r>
  <r>
    <x v="2"/>
    <x v="1"/>
    <x v="16"/>
    <x v="226"/>
    <s v="FOREIGN CURRENCY TXN FEE  "/>
    <n v="-2.96"/>
    <x v="5"/>
    <x v="7"/>
    <x v="7"/>
  </r>
  <r>
    <x v="2"/>
    <x v="1"/>
    <x v="16"/>
    <x v="226"/>
    <s v="CURRENCY CONV ASSESSMENT  "/>
    <n v="-4.84"/>
    <x v="5"/>
    <x v="7"/>
    <x v="7"/>
  </r>
  <r>
    <x v="2"/>
    <x v="1"/>
    <x v="16"/>
    <x v="226"/>
    <s v="EUROWINGS GMDDRWGS_281054 KASTRUP ;1387.02 DANISH KRONE at 4.2026"/>
    <n v="-113.01"/>
    <x v="3"/>
    <x v="6"/>
    <x v="6"/>
  </r>
  <r>
    <x v="2"/>
    <x v="1"/>
    <x v="16"/>
    <x v="633"/>
    <s v="TM *TICKETMASTERNZ 038632151 "/>
    <n v="-90.58"/>
    <x v="3"/>
    <x v="3"/>
    <x v="3"/>
  </r>
  <r>
    <x v="2"/>
    <x v="1"/>
    <x v="16"/>
    <x v="227"/>
    <s v="PAK N SAVE SYLVIA PARK AUCKLAND "/>
    <n v="-113.82"/>
    <x v="0"/>
    <x v="0"/>
    <x v="0"/>
  </r>
  <r>
    <x v="2"/>
    <x v="1"/>
    <x v="16"/>
    <x v="231"/>
    <s v="PAYPAL *AIRBNB  HMQHF5 35314369001 "/>
    <n v="-488.52"/>
    <x v="3"/>
    <x v="6"/>
    <x v="6"/>
  </r>
  <r>
    <x v="2"/>
    <x v="1"/>
    <x v="16"/>
    <x v="229"/>
    <s v="AIA NEW ZEALAND AUCKLAND "/>
    <n v="-27.92"/>
    <x v="3"/>
    <x v="6"/>
    <x v="6"/>
  </r>
  <r>
    <x v="2"/>
    <x v="1"/>
    <x v="16"/>
    <x v="229"/>
    <s v="SAILS RESTAURANT AUCKLAND "/>
    <n v="-73.48"/>
    <x v="3"/>
    <x v="8"/>
    <x v="8"/>
  </r>
  <r>
    <x v="2"/>
    <x v="1"/>
    <x v="16"/>
    <x v="229"/>
    <s v="FOREIGN CURRENCY TXN FEE  "/>
    <n v="-0.14000000000000001"/>
    <x v="5"/>
    <x v="7"/>
    <x v="7"/>
  </r>
  <r>
    <x v="2"/>
    <x v="1"/>
    <x v="16"/>
    <x v="229"/>
    <s v="CURRENCY CONV ASSESSMENT  "/>
    <n v="-3.38"/>
    <x v="5"/>
    <x v="7"/>
    <x v="7"/>
  </r>
  <r>
    <x v="2"/>
    <x v="1"/>
    <x v="16"/>
    <x v="229"/>
    <s v="HOTEL CANAL&amp;WALTER VENEZIA ;196 EURO NATL CURR UNIT (NCU) at 0.5601"/>
    <n v="-34.71"/>
    <x v="3"/>
    <x v="6"/>
    <x v="6"/>
  </r>
  <r>
    <x v="2"/>
    <x v="1"/>
    <x v="16"/>
    <x v="227"/>
    <s v="PAYMENT THANKYOU . "/>
    <n v="4.22"/>
    <x v="1"/>
    <x v="24"/>
    <x v="1"/>
  </r>
  <r>
    <x v="2"/>
    <x v="1"/>
    <x v="16"/>
    <x v="227"/>
    <s v="PAYMENT THANKYOU . "/>
    <n v="126.76"/>
    <x v="1"/>
    <x v="24"/>
    <x v="1"/>
  </r>
  <r>
    <x v="2"/>
    <x v="1"/>
    <x v="16"/>
    <x v="229"/>
    <s v="PAYMENT THANKYOU . "/>
    <n v="819.81"/>
    <x v="1"/>
    <x v="24"/>
    <x v="1"/>
  </r>
  <r>
    <x v="2"/>
    <x v="1"/>
    <x v="16"/>
    <x v="228"/>
    <s v="PAYMENT THANKYOU . "/>
    <n v="76.81"/>
    <x v="1"/>
    <x v="24"/>
    <x v="1"/>
  </r>
  <r>
    <x v="2"/>
    <x v="1"/>
    <x v="16"/>
    <x v="231"/>
    <s v="SP MATAN FLORIST AUCKLAND "/>
    <n v="78.17"/>
    <x v="3"/>
    <x v="3"/>
    <x v="26"/>
  </r>
  <r>
    <x v="2"/>
    <x v="1"/>
    <x v="16"/>
    <x v="231"/>
    <s v="PAYMENT THANKYOU . "/>
    <n v="44.9"/>
    <x v="1"/>
    <x v="24"/>
    <x v="1"/>
  </r>
  <r>
    <x v="2"/>
    <x v="1"/>
    <x v="16"/>
    <x v="231"/>
    <s v="Chemist Warehouse Newmarket "/>
    <n v="-6.76"/>
    <x v="0"/>
    <x v="0"/>
    <x v="0"/>
  </r>
  <r>
    <x v="2"/>
    <x v="1"/>
    <x v="16"/>
    <x v="231"/>
    <s v="Chemist Warehouse NZ Onli Auckland "/>
    <n v="-79.12"/>
    <x v="0"/>
    <x v="0"/>
    <x v="0"/>
  </r>
  <r>
    <x v="2"/>
    <x v="1"/>
    <x v="16"/>
    <x v="231"/>
    <s v="ST PIERRE'S NEWMARKE AUCKLAND "/>
    <n v="-3.07"/>
    <x v="3"/>
    <x v="8"/>
    <x v="8"/>
  </r>
  <r>
    <x v="2"/>
    <x v="1"/>
    <x v="16"/>
    <x v="231"/>
    <s v="ISLAND GELATO NEWMARKET AUCKLAND "/>
    <n v="-1.17"/>
    <x v="3"/>
    <x v="8"/>
    <x v="8"/>
  </r>
  <r>
    <x v="2"/>
    <x v="1"/>
    <x v="16"/>
    <x v="231"/>
    <s v="PASTRAMI &amp; RYE AUCKLAND "/>
    <n v="-19.12"/>
    <x v="0"/>
    <x v="0"/>
    <x v="0"/>
  </r>
  <r>
    <x v="2"/>
    <x v="1"/>
    <x v="16"/>
    <x v="231"/>
    <s v="GOODFOR LUNN AVE AUCKLAND "/>
    <n v="-48"/>
    <x v="0"/>
    <x v="0"/>
    <x v="0"/>
  </r>
  <r>
    <x v="2"/>
    <x v="1"/>
    <x v="16"/>
    <x v="231"/>
    <s v="PAYMENT THANKYOU . "/>
    <n v="3.47"/>
    <x v="1"/>
    <x v="24"/>
    <x v="1"/>
  </r>
  <r>
    <x v="2"/>
    <x v="1"/>
    <x v="16"/>
    <x v="231"/>
    <s v="PAYMENT THANKYOU . "/>
    <n v="7.2"/>
    <x v="1"/>
    <x v="24"/>
    <x v="1"/>
  </r>
  <r>
    <x v="2"/>
    <x v="1"/>
    <x v="16"/>
    <x v="231"/>
    <s v="PAYMENT THANKYOU . "/>
    <n v="25.36"/>
    <x v="1"/>
    <x v="24"/>
    <x v="1"/>
  </r>
  <r>
    <x v="2"/>
    <x v="1"/>
    <x v="16"/>
    <x v="231"/>
    <s v="MITRE 10 MEGA MT WTGN MOUNT WELLING "/>
    <n v="-7.94"/>
    <x v="4"/>
    <x v="12"/>
    <x v="12"/>
  </r>
  <r>
    <x v="2"/>
    <x v="1"/>
    <x v="16"/>
    <x v="231"/>
    <s v="KOHKOZ  REAL LEBANESE CUI MANUREWA "/>
    <n v="-12.73"/>
    <x v="0"/>
    <x v="0"/>
    <x v="0"/>
  </r>
  <r>
    <x v="2"/>
    <x v="1"/>
    <x v="16"/>
    <x v="231"/>
    <s v="Pakihi Marine Farms Papakura "/>
    <n v="-18.46"/>
    <x v="0"/>
    <x v="0"/>
    <x v="0"/>
  </r>
  <r>
    <x v="2"/>
    <x v="1"/>
    <x v="16"/>
    <x v="233"/>
    <s v="TOWER INSURANCE - EIS 093692079 "/>
    <n v="-175.37"/>
    <x v="12"/>
    <x v="33"/>
    <x v="49"/>
  </r>
  <r>
    <x v="2"/>
    <x v="1"/>
    <x v="16"/>
    <x v="233"/>
    <s v="TOWER INSURANCE - EIS 093692079 "/>
    <n v="-120.85"/>
    <x v="2"/>
    <x v="33"/>
    <x v="49"/>
  </r>
  <r>
    <x v="2"/>
    <x v="1"/>
    <x v="16"/>
    <x v="233"/>
    <s v="TOWER INSURANCE - EIS 093692079 "/>
    <n v="-75.349999999999994"/>
    <x v="4"/>
    <x v="11"/>
    <x v="11"/>
  </r>
  <r>
    <x v="2"/>
    <x v="1"/>
    <x v="16"/>
    <x v="233"/>
    <s v="THEA LTD AUCKLAND "/>
    <n v="-16.579999999999998"/>
    <x v="0"/>
    <x v="0"/>
    <x v="0"/>
  </r>
  <r>
    <x v="2"/>
    <x v="1"/>
    <x v="16"/>
    <x v="232"/>
    <s v="PAYMENT THANKYOU . "/>
    <n v="356.36"/>
    <x v="1"/>
    <x v="24"/>
    <x v="1"/>
  </r>
  <r>
    <x v="2"/>
    <x v="1"/>
    <x v="16"/>
    <x v="234"/>
    <s v="FOUR SQUARE ELLERSLIE AAUCKLAND "/>
    <n v="-6.67"/>
    <x v="0"/>
    <x v="0"/>
    <x v="0"/>
  </r>
  <r>
    <x v="2"/>
    <x v="1"/>
    <x v="16"/>
    <x v="233"/>
    <s v="PAYMENT THANKYOU . "/>
    <n v="8.99"/>
    <x v="1"/>
    <x v="24"/>
    <x v="1"/>
  </r>
  <r>
    <x v="2"/>
    <x v="1"/>
    <x v="16"/>
    <x v="235"/>
    <s v="GOODFOR LUNN AVE AUCKLAND "/>
    <n v="-5.24"/>
    <x v="0"/>
    <x v="0"/>
    <x v="0"/>
  </r>
  <r>
    <x v="2"/>
    <x v="1"/>
    <x v="16"/>
    <x v="234"/>
    <s v="PAYMENT THANKYOU . "/>
    <n v="0.26"/>
    <x v="1"/>
    <x v="24"/>
    <x v="1"/>
  </r>
  <r>
    <x v="2"/>
    <x v="1"/>
    <x v="16"/>
    <x v="234"/>
    <s v="PAYMENT THANKYOU . "/>
    <n v="46.25"/>
    <x v="1"/>
    <x v="24"/>
    <x v="1"/>
  </r>
  <r>
    <x v="2"/>
    <x v="1"/>
    <x v="16"/>
    <x v="234"/>
    <s v="CACI CLINIC ON LUNN AUCKLAND "/>
    <n v="-43.53"/>
    <x v="10"/>
    <x v="20"/>
    <x v="27"/>
  </r>
  <r>
    <x v="2"/>
    <x v="1"/>
    <x v="16"/>
    <x v="616"/>
    <s v="FOREIGN CURRENCY TXN FEE  "/>
    <n v="-0.02"/>
    <x v="5"/>
    <x v="7"/>
    <x v="7"/>
  </r>
  <r>
    <x v="2"/>
    <x v="1"/>
    <x v="16"/>
    <x v="616"/>
    <s v="CURRENCY CONV ASSESSMENT  "/>
    <n v="-0.09"/>
    <x v="5"/>
    <x v="7"/>
    <x v="7"/>
  </r>
  <r>
    <x v="2"/>
    <x v="1"/>
    <x v="16"/>
    <x v="616"/>
    <s v="US MOBILE* US MOBILE WWW.USMOBILE. NY;8.57 US DOLLAR  $ at 0.617"/>
    <n v="-9.2899999999999991"/>
    <x v="7"/>
    <x v="13"/>
    <x v="15"/>
  </r>
  <r>
    <x v="2"/>
    <x v="1"/>
    <x v="16"/>
    <x v="616"/>
    <s v="PAYMENT THANKYOU . "/>
    <n v="14.77"/>
    <x v="1"/>
    <x v="24"/>
    <x v="1"/>
  </r>
  <r>
    <x v="2"/>
    <x v="1"/>
    <x v="16"/>
    <x v="616"/>
    <s v="PAYMENT THANKYOU . "/>
    <n v="48.03"/>
    <x v="1"/>
    <x v="24"/>
    <x v="1"/>
  </r>
  <r>
    <x v="2"/>
    <x v="1"/>
    <x v="16"/>
    <x v="616"/>
    <s v="PAK N SAVE SYLVIA PARK AUCKLAND "/>
    <n v="-202.51"/>
    <x v="0"/>
    <x v="0"/>
    <x v="0"/>
  </r>
  <r>
    <x v="2"/>
    <x v="1"/>
    <x v="16"/>
    <x v="616"/>
    <s v="Chemist Warehouse Sylvia Park "/>
    <n v="-24.99"/>
    <x v="0"/>
    <x v="0"/>
    <x v="0"/>
  </r>
  <r>
    <x v="2"/>
    <x v="1"/>
    <x v="16"/>
    <x v="616"/>
    <s v="Life Pharmacy Sylvia PK Sylvia Park "/>
    <n v="-9.6999999999999993"/>
    <x v="10"/>
    <x v="20"/>
    <x v="27"/>
  </r>
  <r>
    <x v="2"/>
    <x v="1"/>
    <x v="16"/>
    <x v="616"/>
    <s v="Cotton On 9932 9932 -S Mt Wellington "/>
    <n v="-2.44"/>
    <x v="9"/>
    <x v="18"/>
    <x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6BF72-DF07-43A6-B7B4-97EFAF9FAAAF}" name="PivotTable2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34" firstHeaderRow="1" firstDataRow="1" firstDataCol="1" rowPageCount="4" colPageCount="1"/>
  <pivotFields count="12">
    <pivotField showAll="0"/>
    <pivotField showAll="0"/>
    <pivotField showAll="0"/>
    <pivotField axis="axisPage" numFmtId="14" showAll="0">
      <items count="6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t="default"/>
      </items>
    </pivotField>
    <pivotField showAll="0"/>
    <pivotField dataField="1" showAll="0"/>
    <pivotField axis="axisRow" showAll="0">
      <items count="17">
        <item x="2"/>
        <item x="12"/>
        <item x="4"/>
        <item x="0"/>
        <item x="11"/>
        <item x="8"/>
        <item x="1"/>
        <item x="10"/>
        <item x="5"/>
        <item x="9"/>
        <item x="3"/>
        <item x="13"/>
        <item x="7"/>
        <item x="6"/>
        <item x="14"/>
        <item x="15"/>
        <item t="default"/>
      </items>
    </pivotField>
    <pivotField axis="axisRow" showAll="0">
      <items count="36">
        <item x="34"/>
        <item x="11"/>
        <item x="21"/>
        <item x="16"/>
        <item x="1"/>
        <item x="18"/>
        <item x="28"/>
        <item x="8"/>
        <item x="5"/>
        <item x="3"/>
        <item x="0"/>
        <item x="14"/>
        <item x="25"/>
        <item x="12"/>
        <item x="33"/>
        <item x="2"/>
        <item x="24"/>
        <item x="19"/>
        <item x="20"/>
        <item x="10"/>
        <item x="30"/>
        <item x="23"/>
        <item x="17"/>
        <item x="7"/>
        <item x="29"/>
        <item x="9"/>
        <item x="27"/>
        <item x="22"/>
        <item x="6"/>
        <item x="13"/>
        <item x="15"/>
        <item x="4"/>
        <item x="26"/>
        <item x="31"/>
        <item x="32"/>
        <item t="default"/>
      </items>
    </pivotField>
    <pivotField axis="axisRow" showAll="0">
      <items count="54">
        <item x="50"/>
        <item x="11"/>
        <item x="19"/>
        <item x="43"/>
        <item x="8"/>
        <item x="5"/>
        <item x="3"/>
        <item x="26"/>
        <item x="0"/>
        <item x="17"/>
        <item x="44"/>
        <item x="39"/>
        <item x="12"/>
        <item x="49"/>
        <item x="52"/>
        <item x="37"/>
        <item x="1"/>
        <item x="13"/>
        <item x="23"/>
        <item x="34"/>
        <item x="48"/>
        <item x="27"/>
        <item x="35"/>
        <item x="10"/>
        <item x="51"/>
        <item x="31"/>
        <item x="7"/>
        <item x="32"/>
        <item x="25"/>
        <item x="41"/>
        <item x="2"/>
        <item x="36"/>
        <item x="38"/>
        <item x="30"/>
        <item x="9"/>
        <item x="14"/>
        <item x="21"/>
        <item x="24"/>
        <item x="33"/>
        <item x="6"/>
        <item x="15"/>
        <item x="28"/>
        <item x="18"/>
        <item x="4"/>
        <item x="16"/>
        <item x="20"/>
        <item x="22"/>
        <item x="29"/>
        <item x="40"/>
        <item x="42"/>
        <item x="45"/>
        <item x="46"/>
        <item x="47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1"/>
        <item x="2"/>
        <item x="3"/>
        <item sd="0" x="4"/>
        <item x="0"/>
        <item x="5"/>
        <item t="default"/>
      </items>
    </pivotField>
    <pivotField axis="axisPage" showAll="0">
      <items count="5">
        <item x="2"/>
        <item x="0"/>
        <item x="1"/>
        <item x="3"/>
        <item t="default"/>
      </items>
    </pivotField>
  </pivotFields>
  <rowFields count="3">
    <field x="6"/>
    <field x="7"/>
    <field x="8"/>
  </rowFields>
  <rowItems count="128">
    <i>
      <x/>
    </i>
    <i r="1">
      <x v="6"/>
    </i>
    <i r="2">
      <x v="3"/>
    </i>
    <i r="1">
      <x v="14"/>
    </i>
    <i r="2">
      <x v="13"/>
    </i>
    <i r="1">
      <x v="15"/>
    </i>
    <i r="2">
      <x v="30"/>
    </i>
    <i r="1">
      <x v="21"/>
    </i>
    <i r="2">
      <x v="15"/>
    </i>
    <i r="2">
      <x v="31"/>
    </i>
    <i r="1">
      <x v="22"/>
    </i>
    <i r="2">
      <x v="24"/>
    </i>
    <i>
      <x v="1"/>
    </i>
    <i r="1">
      <x v="6"/>
    </i>
    <i r="2">
      <x v="3"/>
    </i>
    <i r="1">
      <x v="14"/>
    </i>
    <i r="2">
      <x v="13"/>
    </i>
    <i r="1">
      <x v="15"/>
    </i>
    <i r="2">
      <x v="30"/>
    </i>
    <i r="1">
      <x v="20"/>
    </i>
    <i r="2">
      <x v="15"/>
    </i>
    <i r="2">
      <x v="31"/>
    </i>
    <i r="2">
      <x v="50"/>
    </i>
    <i r="1">
      <x v="22"/>
    </i>
    <i r="2">
      <x v="24"/>
    </i>
    <i r="1">
      <x v="26"/>
    </i>
    <i r="2">
      <x v="29"/>
    </i>
    <i>
      <x v="2"/>
    </i>
    <i r="1">
      <x/>
    </i>
    <i r="2">
      <x/>
    </i>
    <i r="1">
      <x v="1"/>
    </i>
    <i r="2">
      <x v="1"/>
    </i>
    <i r="1">
      <x v="6"/>
    </i>
    <i r="2">
      <x v="3"/>
    </i>
    <i r="1">
      <x v="8"/>
    </i>
    <i r="2">
      <x v="5"/>
    </i>
    <i r="1">
      <x v="13"/>
    </i>
    <i r="2">
      <x v="12"/>
    </i>
    <i r="1">
      <x v="20"/>
    </i>
    <i r="2">
      <x v="15"/>
    </i>
    <i r="2">
      <x v="31"/>
    </i>
    <i r="1">
      <x v="22"/>
    </i>
    <i r="2">
      <x v="45"/>
    </i>
    <i r="1">
      <x v="31"/>
    </i>
    <i r="2">
      <x v="43"/>
    </i>
    <i>
      <x v="3"/>
    </i>
    <i r="1">
      <x v="10"/>
    </i>
    <i r="2">
      <x v="8"/>
    </i>
    <i>
      <x v="4"/>
    </i>
    <i r="1">
      <x v="27"/>
    </i>
    <i r="2">
      <x v="22"/>
    </i>
    <i r="2">
      <x v="32"/>
    </i>
    <i r="2">
      <x v="49"/>
    </i>
    <i>
      <x v="5"/>
    </i>
    <i r="1">
      <x v="12"/>
    </i>
    <i r="2">
      <x v="11"/>
    </i>
    <i r="2">
      <x v="49"/>
    </i>
    <i r="1">
      <x v="17"/>
    </i>
    <i r="2">
      <x v="18"/>
    </i>
    <i r="1">
      <x v="30"/>
    </i>
    <i r="2">
      <x v="42"/>
    </i>
    <i>
      <x v="6"/>
    </i>
    <i r="1">
      <x v="2"/>
    </i>
    <i r="2">
      <x v="16"/>
    </i>
    <i r="1">
      <x v="4"/>
    </i>
    <i r="2">
      <x v="16"/>
    </i>
    <i r="2">
      <x v="44"/>
    </i>
    <i r="1">
      <x v="16"/>
    </i>
    <i r="2">
      <x v="16"/>
    </i>
    <i r="2">
      <x v="49"/>
    </i>
    <i>
      <x v="7"/>
    </i>
    <i r="1">
      <x v="18"/>
    </i>
    <i r="2">
      <x v="21"/>
    </i>
    <i>
      <x v="8"/>
    </i>
    <i r="1">
      <x v="23"/>
    </i>
    <i r="2">
      <x v="14"/>
    </i>
    <i r="2">
      <x v="17"/>
    </i>
    <i r="2">
      <x v="25"/>
    </i>
    <i r="2">
      <x v="26"/>
    </i>
    <i r="2">
      <x v="27"/>
    </i>
    <i r="2">
      <x v="28"/>
    </i>
    <i>
      <x v="9"/>
    </i>
    <i r="1">
      <x v="5"/>
    </i>
    <i r="2">
      <x v="33"/>
    </i>
    <i r="2">
      <x v="46"/>
    </i>
    <i r="1">
      <x v="24"/>
    </i>
    <i r="2">
      <x v="10"/>
    </i>
    <i r="2">
      <x v="20"/>
    </i>
    <i>
      <x v="10"/>
    </i>
    <i r="1">
      <x v="7"/>
    </i>
    <i r="2">
      <x v="4"/>
    </i>
    <i r="1">
      <x v="9"/>
    </i>
    <i r="2">
      <x v="6"/>
    </i>
    <i r="2">
      <x v="7"/>
    </i>
    <i r="2">
      <x v="19"/>
    </i>
    <i r="2">
      <x v="41"/>
    </i>
    <i r="2">
      <x v="47"/>
    </i>
    <i r="1">
      <x v="11"/>
    </i>
    <i r="2">
      <x v="9"/>
    </i>
    <i r="1">
      <x v="28"/>
    </i>
    <i r="2">
      <x v="39"/>
    </i>
    <i>
      <x v="11"/>
    </i>
    <i r="1">
      <x v="16"/>
    </i>
    <i r="2">
      <x v="49"/>
    </i>
    <i>
      <x v="12"/>
    </i>
    <i r="1">
      <x v="3"/>
    </i>
    <i r="2">
      <x v="2"/>
    </i>
    <i r="1">
      <x v="19"/>
    </i>
    <i r="2">
      <x v="23"/>
    </i>
    <i r="1">
      <x v="29"/>
    </i>
    <i r="2">
      <x v="40"/>
    </i>
    <i r="1">
      <x v="32"/>
    </i>
    <i r="2">
      <x v="48"/>
    </i>
    <i r="2">
      <x v="49"/>
    </i>
    <i>
      <x v="13"/>
    </i>
    <i r="1">
      <x v="25"/>
    </i>
    <i r="2">
      <x v="34"/>
    </i>
    <i r="2">
      <x v="35"/>
    </i>
    <i r="2">
      <x v="36"/>
    </i>
    <i r="2">
      <x v="37"/>
    </i>
    <i r="2">
      <x v="38"/>
    </i>
    <i>
      <x v="14"/>
    </i>
    <i r="1">
      <x v="33"/>
    </i>
    <i r="2">
      <x v="51"/>
    </i>
    <i>
      <x v="15"/>
    </i>
    <i r="1">
      <x v="34"/>
    </i>
    <i r="2">
      <x v="52"/>
    </i>
    <i t="grand">
      <x/>
    </i>
  </rowItems>
  <colItems count="1">
    <i/>
  </colItems>
  <pageFields count="4">
    <pageField fld="11" hier="-1"/>
    <pageField fld="10" hier="-1"/>
    <pageField fld="9" hier="-1"/>
    <pageField fld="3" hier="-1"/>
  </pageFields>
  <dataFields count="1">
    <dataField name="Sum of Amount" fld="5" baseField="0" baseItem="0" numFmtId="8"/>
  </dataFields>
  <formats count="83">
    <format dxfId="2169">
      <pivotArea grandRow="1" outline="0" collapsedLevelsAreSubtotals="1" fieldPosition="0"/>
    </format>
    <format dxfId="2168">
      <pivotArea outline="0" collapsedLevelsAreSubtotals="1" fieldPosition="0"/>
    </format>
    <format dxfId="2167">
      <pivotArea type="all" dataOnly="0" outline="0" fieldPosition="0"/>
    </format>
    <format dxfId="2166">
      <pivotArea outline="0" collapsedLevelsAreSubtotals="1" fieldPosition="0"/>
    </format>
    <format dxfId="2165">
      <pivotArea field="6" type="button" dataOnly="0" labelOnly="1" outline="0" axis="axisRow" fieldPosition="0"/>
    </format>
    <format dxfId="2164">
      <pivotArea dataOnly="0" labelOnly="1" fieldPosition="0">
        <references count="1">
          <reference field="6" count="0"/>
        </references>
      </pivotArea>
    </format>
    <format dxfId="2163">
      <pivotArea dataOnly="0" labelOnly="1" grandRow="1" outline="0" fieldPosition="0"/>
    </format>
    <format dxfId="2162">
      <pivotArea dataOnly="0" labelOnly="1" fieldPosition="0">
        <references count="2">
          <reference field="6" count="1" selected="0">
            <x v="0"/>
          </reference>
          <reference field="7" count="5">
            <x v="6"/>
            <x v="14"/>
            <x v="15"/>
            <x v="21"/>
            <x v="22"/>
          </reference>
        </references>
      </pivotArea>
    </format>
    <format dxfId="2161">
      <pivotArea dataOnly="0" labelOnly="1" fieldPosition="0">
        <references count="2">
          <reference field="6" count="1" selected="0">
            <x v="1"/>
          </reference>
          <reference field="7" count="6">
            <x v="6"/>
            <x v="14"/>
            <x v="15"/>
            <x v="20"/>
            <x v="22"/>
            <x v="26"/>
          </reference>
        </references>
      </pivotArea>
    </format>
    <format dxfId="2160">
      <pivotArea dataOnly="0" labelOnly="1" fieldPosition="0">
        <references count="2">
          <reference field="6" count="1" selected="0">
            <x v="2"/>
          </reference>
          <reference field="7" count="7">
            <x v="0"/>
            <x v="1"/>
            <x v="6"/>
            <x v="8"/>
            <x v="13"/>
            <x v="20"/>
            <x v="31"/>
          </reference>
        </references>
      </pivotArea>
    </format>
    <format dxfId="2159">
      <pivotArea dataOnly="0" labelOnly="1" fieldPosition="0">
        <references count="2">
          <reference field="6" count="1" selected="0">
            <x v="3"/>
          </reference>
          <reference field="7" count="1">
            <x v="10"/>
          </reference>
        </references>
      </pivotArea>
    </format>
    <format dxfId="2158">
      <pivotArea dataOnly="0" labelOnly="1" fieldPosition="0">
        <references count="2">
          <reference field="6" count="1" selected="0">
            <x v="4"/>
          </reference>
          <reference field="7" count="1">
            <x v="27"/>
          </reference>
        </references>
      </pivotArea>
    </format>
    <format dxfId="2157">
      <pivotArea dataOnly="0" labelOnly="1" fieldPosition="0">
        <references count="2">
          <reference field="6" count="1" selected="0">
            <x v="5"/>
          </reference>
          <reference field="7" count="3">
            <x v="12"/>
            <x v="17"/>
            <x v="30"/>
          </reference>
        </references>
      </pivotArea>
    </format>
    <format dxfId="2156">
      <pivotArea dataOnly="0" labelOnly="1" fieldPosition="0">
        <references count="2">
          <reference field="6" count="1" selected="0">
            <x v="6"/>
          </reference>
          <reference field="7" count="3">
            <x v="2"/>
            <x v="4"/>
            <x v="16"/>
          </reference>
        </references>
      </pivotArea>
    </format>
    <format dxfId="2155">
      <pivotArea dataOnly="0" labelOnly="1" fieldPosition="0">
        <references count="2">
          <reference field="6" count="1" selected="0">
            <x v="7"/>
          </reference>
          <reference field="7" count="1">
            <x v="18"/>
          </reference>
        </references>
      </pivotArea>
    </format>
    <format dxfId="2154">
      <pivotArea dataOnly="0" labelOnly="1" fieldPosition="0">
        <references count="2">
          <reference field="6" count="1" selected="0">
            <x v="8"/>
          </reference>
          <reference field="7" count="1">
            <x v="23"/>
          </reference>
        </references>
      </pivotArea>
    </format>
    <format dxfId="2153">
      <pivotArea dataOnly="0" labelOnly="1" fieldPosition="0">
        <references count="2">
          <reference field="6" count="1" selected="0">
            <x v="9"/>
          </reference>
          <reference field="7" count="2">
            <x v="5"/>
            <x v="24"/>
          </reference>
        </references>
      </pivotArea>
    </format>
    <format dxfId="2152">
      <pivotArea dataOnly="0" labelOnly="1" fieldPosition="0">
        <references count="2">
          <reference field="6" count="1" selected="0">
            <x v="10"/>
          </reference>
          <reference field="7" count="4">
            <x v="7"/>
            <x v="9"/>
            <x v="11"/>
            <x v="28"/>
          </reference>
        </references>
      </pivotArea>
    </format>
    <format dxfId="2151">
      <pivotArea dataOnly="0" labelOnly="1" fieldPosition="0">
        <references count="2">
          <reference field="6" count="1" selected="0">
            <x v="11"/>
          </reference>
          <reference field="7" count="1">
            <x v="16"/>
          </reference>
        </references>
      </pivotArea>
    </format>
    <format dxfId="2150">
      <pivotArea dataOnly="0" labelOnly="1" fieldPosition="0">
        <references count="2">
          <reference field="6" count="1" selected="0">
            <x v="12"/>
          </reference>
          <reference field="7" count="3">
            <x v="3"/>
            <x v="19"/>
            <x v="29"/>
          </reference>
        </references>
      </pivotArea>
    </format>
    <format dxfId="2149">
      <pivotArea dataOnly="0" labelOnly="1" fieldPosition="0">
        <references count="2">
          <reference field="6" count="1" selected="0">
            <x v="13"/>
          </reference>
          <reference field="7" count="1">
            <x v="25"/>
          </reference>
        </references>
      </pivotArea>
    </format>
    <format dxfId="2148">
      <pivotArea dataOnly="0" labelOnly="1" fieldPosition="0">
        <references count="3">
          <reference field="6" count="1" selected="0">
            <x v="0"/>
          </reference>
          <reference field="7" count="1" selected="0">
            <x v="6"/>
          </reference>
          <reference field="8" count="1">
            <x v="3"/>
          </reference>
        </references>
      </pivotArea>
    </format>
    <format dxfId="2147">
      <pivotArea dataOnly="0" labelOnly="1" fieldPosition="0">
        <references count="3">
          <reference field="6" count="1" selected="0">
            <x v="0"/>
          </reference>
          <reference field="7" count="1" selected="0">
            <x v="14"/>
          </reference>
          <reference field="8" count="1">
            <x v="13"/>
          </reference>
        </references>
      </pivotArea>
    </format>
    <format dxfId="2146">
      <pivotArea dataOnly="0" labelOnly="1" fieldPosition="0">
        <references count="3">
          <reference field="6" count="1" selected="0">
            <x v="0"/>
          </reference>
          <reference field="7" count="1" selected="0">
            <x v="15"/>
          </reference>
          <reference field="8" count="1">
            <x v="30"/>
          </reference>
        </references>
      </pivotArea>
    </format>
    <format dxfId="2145">
      <pivotArea dataOnly="0" labelOnly="1" fieldPosition="0">
        <references count="3">
          <reference field="6" count="1" selected="0">
            <x v="0"/>
          </reference>
          <reference field="7" count="1" selected="0">
            <x v="21"/>
          </reference>
          <reference field="8" count="2">
            <x v="15"/>
            <x v="31"/>
          </reference>
        </references>
      </pivotArea>
    </format>
    <format dxfId="2144">
      <pivotArea dataOnly="0" labelOnly="1" fieldPosition="0">
        <references count="3">
          <reference field="6" count="1" selected="0">
            <x v="0"/>
          </reference>
          <reference field="7" count="1" selected="0">
            <x v="22"/>
          </reference>
          <reference field="8" count="1">
            <x v="24"/>
          </reference>
        </references>
      </pivotArea>
    </format>
    <format dxfId="2143">
      <pivotArea dataOnly="0" labelOnly="1" fieldPosition="0">
        <references count="3">
          <reference field="6" count="1" selected="0">
            <x v="1"/>
          </reference>
          <reference field="7" count="1" selected="0">
            <x v="6"/>
          </reference>
          <reference field="8" count="1">
            <x v="3"/>
          </reference>
        </references>
      </pivotArea>
    </format>
    <format dxfId="2142">
      <pivotArea dataOnly="0" labelOnly="1" fieldPosition="0">
        <references count="3">
          <reference field="6" count="1" selected="0">
            <x v="1"/>
          </reference>
          <reference field="7" count="1" selected="0">
            <x v="14"/>
          </reference>
          <reference field="8" count="1">
            <x v="13"/>
          </reference>
        </references>
      </pivotArea>
    </format>
    <format dxfId="2141">
      <pivotArea dataOnly="0" labelOnly="1" fieldPosition="0">
        <references count="3">
          <reference field="6" count="1" selected="0">
            <x v="1"/>
          </reference>
          <reference field="7" count="1" selected="0">
            <x v="15"/>
          </reference>
          <reference field="8" count="1">
            <x v="30"/>
          </reference>
        </references>
      </pivotArea>
    </format>
    <format dxfId="2140">
      <pivotArea dataOnly="0" labelOnly="1" fieldPosition="0">
        <references count="3">
          <reference field="6" count="1" selected="0">
            <x v="1"/>
          </reference>
          <reference field="7" count="1" selected="0">
            <x v="20"/>
          </reference>
          <reference field="8" count="2">
            <x v="15"/>
            <x v="31"/>
          </reference>
        </references>
      </pivotArea>
    </format>
    <format dxfId="2139">
      <pivotArea dataOnly="0" labelOnly="1" fieldPosition="0">
        <references count="3">
          <reference field="6" count="1" selected="0">
            <x v="1"/>
          </reference>
          <reference field="7" count="1" selected="0">
            <x v="22"/>
          </reference>
          <reference field="8" count="1">
            <x v="24"/>
          </reference>
        </references>
      </pivotArea>
    </format>
    <format dxfId="2138">
      <pivotArea dataOnly="0" labelOnly="1" fieldPosition="0">
        <references count="3">
          <reference field="6" count="1" selected="0">
            <x v="1"/>
          </reference>
          <reference field="7" count="1" selected="0">
            <x v="26"/>
          </reference>
          <reference field="8" count="1">
            <x v="29"/>
          </reference>
        </references>
      </pivotArea>
    </format>
    <format dxfId="2137">
      <pivotArea dataOnly="0" labelOnly="1" fieldPosition="0">
        <references count="3">
          <reference field="6" count="1" selected="0">
            <x v="2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2136">
      <pivotArea dataOnly="0" labelOnly="1" fieldPosition="0">
        <references count="3">
          <reference field="6" count="1" selected="0">
            <x v="2"/>
          </reference>
          <reference field="7" count="1" selected="0">
            <x v="1"/>
          </reference>
          <reference field="8" count="1">
            <x v="1"/>
          </reference>
        </references>
      </pivotArea>
    </format>
    <format dxfId="2135">
      <pivotArea dataOnly="0" labelOnly="1" fieldPosition="0">
        <references count="3">
          <reference field="6" count="1" selected="0">
            <x v="2"/>
          </reference>
          <reference field="7" count="1" selected="0">
            <x v="6"/>
          </reference>
          <reference field="8" count="1">
            <x v="3"/>
          </reference>
        </references>
      </pivotArea>
    </format>
    <format dxfId="2134">
      <pivotArea dataOnly="0" labelOnly="1" fieldPosition="0">
        <references count="3">
          <reference field="6" count="1" selected="0">
            <x v="2"/>
          </reference>
          <reference field="7" count="1" selected="0">
            <x v="8"/>
          </reference>
          <reference field="8" count="1">
            <x v="5"/>
          </reference>
        </references>
      </pivotArea>
    </format>
    <format dxfId="2133">
      <pivotArea dataOnly="0" labelOnly="1" fieldPosition="0">
        <references count="3">
          <reference field="6" count="1" selected="0">
            <x v="2"/>
          </reference>
          <reference field="7" count="1" selected="0">
            <x v="13"/>
          </reference>
          <reference field="8" count="1">
            <x v="12"/>
          </reference>
        </references>
      </pivotArea>
    </format>
    <format dxfId="2132">
      <pivotArea dataOnly="0" labelOnly="1" fieldPosition="0">
        <references count="3">
          <reference field="6" count="1" selected="0">
            <x v="2"/>
          </reference>
          <reference field="7" count="1" selected="0">
            <x v="20"/>
          </reference>
          <reference field="8" count="2">
            <x v="15"/>
            <x v="31"/>
          </reference>
        </references>
      </pivotArea>
    </format>
    <format dxfId="2131">
      <pivotArea dataOnly="0" labelOnly="1" fieldPosition="0">
        <references count="3">
          <reference field="6" count="1" selected="0">
            <x v="2"/>
          </reference>
          <reference field="7" count="1" selected="0">
            <x v="31"/>
          </reference>
          <reference field="8" count="1">
            <x v="43"/>
          </reference>
        </references>
      </pivotArea>
    </format>
    <format dxfId="2130">
      <pivotArea dataOnly="0" labelOnly="1" fieldPosition="0">
        <references count="3">
          <reference field="6" count="1" selected="0">
            <x v="3"/>
          </reference>
          <reference field="7" count="1" selected="0">
            <x v="10"/>
          </reference>
          <reference field="8" count="1">
            <x v="8"/>
          </reference>
        </references>
      </pivotArea>
    </format>
    <format dxfId="2129">
      <pivotArea dataOnly="0" labelOnly="1" fieldPosition="0">
        <references count="3">
          <reference field="6" count="1" selected="0">
            <x v="4"/>
          </reference>
          <reference field="7" count="1" selected="0">
            <x v="27"/>
          </reference>
          <reference field="8" count="2">
            <x v="22"/>
            <x v="32"/>
          </reference>
        </references>
      </pivotArea>
    </format>
    <format dxfId="2128">
      <pivotArea dataOnly="0" labelOnly="1" fieldPosition="0">
        <references count="3">
          <reference field="6" count="1" selected="0">
            <x v="5"/>
          </reference>
          <reference field="7" count="1" selected="0">
            <x v="12"/>
          </reference>
          <reference field="8" count="1">
            <x v="11"/>
          </reference>
        </references>
      </pivotArea>
    </format>
    <format dxfId="2127">
      <pivotArea dataOnly="0" labelOnly="1" fieldPosition="0">
        <references count="3">
          <reference field="6" count="1" selected="0">
            <x v="5"/>
          </reference>
          <reference field="7" count="1" selected="0">
            <x v="17"/>
          </reference>
          <reference field="8" count="1">
            <x v="18"/>
          </reference>
        </references>
      </pivotArea>
    </format>
    <format dxfId="2126">
      <pivotArea dataOnly="0" labelOnly="1" fieldPosition="0">
        <references count="3">
          <reference field="6" count="1" selected="0">
            <x v="5"/>
          </reference>
          <reference field="7" count="1" selected="0">
            <x v="30"/>
          </reference>
          <reference field="8" count="1">
            <x v="42"/>
          </reference>
        </references>
      </pivotArea>
    </format>
    <format dxfId="2125">
      <pivotArea dataOnly="0" labelOnly="1" fieldPosition="0">
        <references count="3">
          <reference field="6" count="1" selected="0">
            <x v="6"/>
          </reference>
          <reference field="7" count="1" selected="0">
            <x v="2"/>
          </reference>
          <reference field="8" count="1">
            <x v="16"/>
          </reference>
        </references>
      </pivotArea>
    </format>
    <format dxfId="2124">
      <pivotArea dataOnly="0" labelOnly="1" fieldPosition="0">
        <references count="3">
          <reference field="6" count="1" selected="0">
            <x v="6"/>
          </reference>
          <reference field="7" count="1" selected="0">
            <x v="4"/>
          </reference>
          <reference field="8" count="1">
            <x v="16"/>
          </reference>
        </references>
      </pivotArea>
    </format>
    <format dxfId="2123">
      <pivotArea dataOnly="0" labelOnly="1" fieldPosition="0">
        <references count="3">
          <reference field="6" count="1" selected="0">
            <x v="6"/>
          </reference>
          <reference field="7" count="1" selected="0">
            <x v="16"/>
          </reference>
          <reference field="8" count="1">
            <x v="16"/>
          </reference>
        </references>
      </pivotArea>
    </format>
    <format dxfId="2122">
      <pivotArea dataOnly="0" labelOnly="1" fieldPosition="0">
        <references count="3">
          <reference field="6" count="1" selected="0">
            <x v="7"/>
          </reference>
          <reference field="7" count="1" selected="0">
            <x v="18"/>
          </reference>
          <reference field="8" count="1">
            <x v="21"/>
          </reference>
        </references>
      </pivotArea>
    </format>
    <format dxfId="2121">
      <pivotArea dataOnly="0" labelOnly="1" fieldPosition="0">
        <references count="3">
          <reference field="6" count="1" selected="0">
            <x v="8"/>
          </reference>
          <reference field="7" count="1" selected="0">
            <x v="23"/>
          </reference>
          <reference field="8" count="6">
            <x v="14"/>
            <x v="17"/>
            <x v="25"/>
            <x v="26"/>
            <x v="27"/>
            <x v="28"/>
          </reference>
        </references>
      </pivotArea>
    </format>
    <format dxfId="2120">
      <pivotArea dataOnly="0" labelOnly="1" fieldPosition="0">
        <references count="3">
          <reference field="6" count="1" selected="0">
            <x v="9"/>
          </reference>
          <reference field="7" count="1" selected="0">
            <x v="5"/>
          </reference>
          <reference field="8" count="1">
            <x v="33"/>
          </reference>
        </references>
      </pivotArea>
    </format>
    <format dxfId="2119">
      <pivotArea dataOnly="0" labelOnly="1" fieldPosition="0">
        <references count="3">
          <reference field="6" count="1" selected="0">
            <x v="9"/>
          </reference>
          <reference field="7" count="1" selected="0">
            <x v="24"/>
          </reference>
          <reference field="8" count="2">
            <x v="10"/>
            <x v="20"/>
          </reference>
        </references>
      </pivotArea>
    </format>
    <format dxfId="2118">
      <pivotArea dataOnly="0" labelOnly="1" fieldPosition="0">
        <references count="3">
          <reference field="6" count="1" selected="0">
            <x v="10"/>
          </reference>
          <reference field="7" count="1" selected="0">
            <x v="7"/>
          </reference>
          <reference field="8" count="1">
            <x v="4"/>
          </reference>
        </references>
      </pivotArea>
    </format>
    <format dxfId="2117">
      <pivotArea dataOnly="0" labelOnly="1" fieldPosition="0">
        <references count="3">
          <reference field="6" count="1" selected="0">
            <x v="10"/>
          </reference>
          <reference field="7" count="1" selected="0">
            <x v="9"/>
          </reference>
          <reference field="8" count="4">
            <x v="6"/>
            <x v="7"/>
            <x v="19"/>
            <x v="41"/>
          </reference>
        </references>
      </pivotArea>
    </format>
    <format dxfId="2116">
      <pivotArea dataOnly="0" labelOnly="1" fieldPosition="0">
        <references count="3">
          <reference field="6" count="1" selected="0">
            <x v="10"/>
          </reference>
          <reference field="7" count="1" selected="0">
            <x v="11"/>
          </reference>
          <reference field="8" count="1">
            <x v="9"/>
          </reference>
        </references>
      </pivotArea>
    </format>
    <format dxfId="2115">
      <pivotArea dataOnly="0" labelOnly="1" fieldPosition="0">
        <references count="3">
          <reference field="6" count="1" selected="0">
            <x v="10"/>
          </reference>
          <reference field="7" count="1" selected="0">
            <x v="28"/>
          </reference>
          <reference field="8" count="1">
            <x v="39"/>
          </reference>
        </references>
      </pivotArea>
    </format>
    <format dxfId="2114">
      <pivotArea dataOnly="0" labelOnly="1" fieldPosition="0">
        <references count="3">
          <reference field="6" count="1" selected="0">
            <x v="12"/>
          </reference>
          <reference field="7" count="1" selected="0">
            <x v="3"/>
          </reference>
          <reference field="8" count="1">
            <x v="2"/>
          </reference>
        </references>
      </pivotArea>
    </format>
    <format dxfId="2113">
      <pivotArea dataOnly="0" labelOnly="1" fieldPosition="0">
        <references count="3">
          <reference field="6" count="1" selected="0">
            <x v="12"/>
          </reference>
          <reference field="7" count="1" selected="0">
            <x v="19"/>
          </reference>
          <reference field="8" count="1">
            <x v="23"/>
          </reference>
        </references>
      </pivotArea>
    </format>
    <format dxfId="2112">
      <pivotArea dataOnly="0" labelOnly="1" fieldPosition="0">
        <references count="3">
          <reference field="6" count="1" selected="0">
            <x v="12"/>
          </reference>
          <reference field="7" count="1" selected="0">
            <x v="29"/>
          </reference>
          <reference field="8" count="1">
            <x v="40"/>
          </reference>
        </references>
      </pivotArea>
    </format>
    <format dxfId="2111">
      <pivotArea dataOnly="0" labelOnly="1" fieldPosition="0">
        <references count="3">
          <reference field="6" count="1" selected="0">
            <x v="13"/>
          </reference>
          <reference field="7" count="1" selected="0">
            <x v="25"/>
          </reference>
          <reference field="8" count="5">
            <x v="34"/>
            <x v="35"/>
            <x v="36"/>
            <x v="37"/>
            <x v="38"/>
          </reference>
        </references>
      </pivotArea>
    </format>
    <format dxfId="2110">
      <pivotArea dataOnly="0" labelOnly="1" outline="0" axis="axisValues" fieldPosition="0"/>
    </format>
    <format dxfId="2109">
      <pivotArea dataOnly="0" labelOnly="1" fieldPosition="0">
        <references count="1">
          <reference field="6" count="1">
            <x v="7"/>
          </reference>
        </references>
      </pivotArea>
    </format>
    <format dxfId="2108">
      <pivotArea dataOnly="0" labelOnly="1" fieldPosition="0">
        <references count="3">
          <reference field="6" count="1" selected="0">
            <x v="7"/>
          </reference>
          <reference field="7" count="1" selected="0">
            <x v="18"/>
          </reference>
          <reference field="8" count="1">
            <x v="21"/>
          </reference>
        </references>
      </pivotArea>
    </format>
    <format dxfId="2107">
      <pivotArea dataOnly="0" labelOnly="1" fieldPosition="0">
        <references count="1">
          <reference field="6" count="1">
            <x v="3"/>
          </reference>
        </references>
      </pivotArea>
    </format>
    <format dxfId="2106">
      <pivotArea dataOnly="0" labelOnly="1" fieldPosition="0">
        <references count="3">
          <reference field="6" count="1" selected="0">
            <x v="3"/>
          </reference>
          <reference field="7" count="1" selected="0">
            <x v="10"/>
          </reference>
          <reference field="8" count="1">
            <x v="8"/>
          </reference>
        </references>
      </pivotArea>
    </format>
    <format dxfId="2105">
      <pivotArea dataOnly="0" labelOnly="1" fieldPosition="0">
        <references count="2">
          <reference field="6" count="1" selected="0">
            <x v="10"/>
          </reference>
          <reference field="7" count="1">
            <x v="11"/>
          </reference>
        </references>
      </pivotArea>
    </format>
    <format dxfId="2104">
      <pivotArea dataOnly="0" labelOnly="1" fieldPosition="0">
        <references count="2">
          <reference field="6" count="1" selected="0">
            <x v="10"/>
          </reference>
          <reference field="7" count="1">
            <x v="9"/>
          </reference>
        </references>
      </pivotArea>
    </format>
    <format dxfId="2103">
      <pivotArea dataOnly="0" labelOnly="1" fieldPosition="0">
        <references count="2">
          <reference field="6" count="1" selected="0">
            <x v="10"/>
          </reference>
          <reference field="7" count="1">
            <x v="7"/>
          </reference>
        </references>
      </pivotArea>
    </format>
    <format dxfId="2102">
      <pivotArea dataOnly="0" labelOnly="1" fieldPosition="0">
        <references count="2">
          <reference field="6" count="1" selected="0">
            <x v="10"/>
          </reference>
          <reference field="7" count="1">
            <x v="7"/>
          </reference>
        </references>
      </pivotArea>
    </format>
    <format dxfId="2101">
      <pivotArea dataOnly="0" labelOnly="1" fieldPosition="0">
        <references count="2">
          <reference field="6" count="1" selected="0">
            <x v="9"/>
          </reference>
          <reference field="7" count="1">
            <x v="5"/>
          </reference>
        </references>
      </pivotArea>
    </format>
    <format dxfId="2100">
      <pivotArea dataOnly="0" labelOnly="1" fieldPosition="0">
        <references count="2">
          <reference field="6" count="1" selected="0">
            <x v="9"/>
          </reference>
          <reference field="7" count="1">
            <x v="5"/>
          </reference>
        </references>
      </pivotArea>
    </format>
    <format dxfId="2099">
      <pivotArea dataOnly="0" labelOnly="1" fieldPosition="0">
        <references count="2">
          <reference field="6" count="1" selected="0">
            <x v="10"/>
          </reference>
          <reference field="7" count="1">
            <x v="28"/>
          </reference>
        </references>
      </pivotArea>
    </format>
    <format dxfId="2098">
      <pivotArea dataOnly="0" labelOnly="1" fieldPosition="0">
        <references count="2">
          <reference field="6" count="1" selected="0">
            <x v="2"/>
          </reference>
          <reference field="7" count="1">
            <x v="13"/>
          </reference>
        </references>
      </pivotArea>
    </format>
    <format dxfId="2097">
      <pivotArea dataOnly="0" labelOnly="1" fieldPosition="0">
        <references count="1">
          <reference field="6" count="1">
            <x v="13"/>
          </reference>
        </references>
      </pivotArea>
    </format>
    <format dxfId="2096">
      <pivotArea dataOnly="0" labelOnly="1" fieldPosition="0">
        <references count="1">
          <reference field="6" count="1">
            <x v="8"/>
          </reference>
        </references>
      </pivotArea>
    </format>
    <format dxfId="2095">
      <pivotArea dataOnly="0" labelOnly="1" fieldPosition="0">
        <references count="2">
          <reference field="6" count="1" selected="0">
            <x v="9"/>
          </reference>
          <reference field="7" count="1">
            <x v="24"/>
          </reference>
        </references>
      </pivotArea>
    </format>
    <format dxfId="2094">
      <pivotArea dataOnly="0" labelOnly="1" fieldPosition="0">
        <references count="1">
          <reference field="6" count="1">
            <x v="9"/>
          </reference>
        </references>
      </pivotArea>
    </format>
    <format dxfId="2093">
      <pivotArea dataOnly="0" labelOnly="1" fieldPosition="0">
        <references count="2">
          <reference field="6" count="1" selected="0">
            <x v="2"/>
          </reference>
          <reference field="7" count="1">
            <x v="31"/>
          </reference>
        </references>
      </pivotArea>
    </format>
    <format dxfId="2092">
      <pivotArea dataOnly="0" labelOnly="1" fieldPosition="0">
        <references count="2">
          <reference field="6" count="1" selected="0">
            <x v="2"/>
          </reference>
          <reference field="7" count="1">
            <x v="8"/>
          </reference>
        </references>
      </pivotArea>
    </format>
    <format dxfId="2091">
      <pivotArea dataOnly="0" labelOnly="1" fieldPosition="0">
        <references count="2">
          <reference field="6" count="1" selected="0">
            <x v="12"/>
          </reference>
          <reference field="7" count="1">
            <x v="29"/>
          </reference>
        </references>
      </pivotArea>
    </format>
    <format dxfId="2090">
      <pivotArea dataOnly="0" labelOnly="1" fieldPosition="0">
        <references count="2">
          <reference field="6" count="1" selected="0">
            <x v="12"/>
          </reference>
          <reference field="7" count="1">
            <x v="3"/>
          </reference>
        </references>
      </pivotArea>
    </format>
    <format dxfId="2089">
      <pivotArea dataOnly="0" labelOnly="1" fieldPosition="0">
        <references count="2">
          <reference field="6" count="1" selected="0">
            <x v="12"/>
          </reference>
          <reference field="7" count="1">
            <x v="19"/>
          </reference>
        </references>
      </pivotArea>
    </format>
    <format dxfId="2088">
      <pivotArea dataOnly="0" labelOnly="1" fieldPosition="0">
        <references count="2">
          <reference field="6" count="1" selected="0">
            <x v="0"/>
          </reference>
          <reference field="7" count="1">
            <x v="22"/>
          </reference>
        </references>
      </pivotArea>
    </format>
    <format dxfId="2087">
      <pivotArea dataOnly="0" labelOnly="1" fieldPosition="0">
        <references count="2">
          <reference field="6" count="1" selected="0">
            <x v="1"/>
          </reference>
          <reference field="7" count="1">
            <x v="2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3B8B-B57C-4C4C-AB78-E7DA6E10124F}">
  <sheetPr codeName="Sheet1"/>
  <dimension ref="A1:AB94"/>
  <sheetViews>
    <sheetView tabSelected="1" topLeftCell="B27" zoomScale="85" zoomScaleNormal="85" workbookViewId="0">
      <selection activeCell="I28" sqref="I28"/>
    </sheetView>
  </sheetViews>
  <sheetFormatPr defaultRowHeight="15" x14ac:dyDescent="0.25"/>
  <cols>
    <col min="2" max="3" width="37.28515625" bestFit="1" customWidth="1"/>
    <col min="4" max="4" width="24.28515625" bestFit="1" customWidth="1"/>
    <col min="5" max="5" width="25.42578125" bestFit="1" customWidth="1"/>
    <col min="6" max="6" width="25.85546875" bestFit="1" customWidth="1"/>
    <col min="7" max="7" width="23" bestFit="1" customWidth="1"/>
    <col min="8" max="8" width="41.140625" bestFit="1" customWidth="1"/>
    <col min="9" max="9" width="20.140625" bestFit="1" customWidth="1"/>
    <col min="10" max="10" width="31.7109375" bestFit="1" customWidth="1"/>
    <col min="11" max="11" width="37.85546875" bestFit="1" customWidth="1"/>
    <col min="12" max="12" width="31.7109375" bestFit="1" customWidth="1"/>
    <col min="13" max="13" width="37.85546875" bestFit="1" customWidth="1"/>
    <col min="14" max="14" width="27.42578125" bestFit="1" customWidth="1"/>
    <col min="15" max="15" width="9.28515625" bestFit="1" customWidth="1"/>
    <col min="16" max="16" width="11" bestFit="1" customWidth="1"/>
    <col min="17" max="18" width="11.140625" bestFit="1" customWidth="1"/>
    <col min="19" max="19" width="8.85546875" bestFit="1" customWidth="1"/>
    <col min="20" max="20" width="11" bestFit="1" customWidth="1"/>
    <col min="21" max="21" width="10.7109375" bestFit="1" customWidth="1"/>
    <col min="22" max="22" width="11.140625" bestFit="1" customWidth="1"/>
    <col min="23" max="23" width="7.85546875" bestFit="1" customWidth="1"/>
    <col min="24" max="24" width="21.85546875" customWidth="1"/>
    <col min="25" max="26" width="11.140625" bestFit="1" customWidth="1"/>
    <col min="27" max="27" width="10.140625" bestFit="1" customWidth="1"/>
    <col min="28" max="28" width="10.28515625" bestFit="1" customWidth="1"/>
  </cols>
  <sheetData>
    <row r="1" spans="2:28" ht="15.75" thickBot="1" x14ac:dyDescent="0.3">
      <c r="B1" s="10">
        <v>45760</v>
      </c>
    </row>
    <row r="2" spans="2:28" ht="15" customHeight="1" x14ac:dyDescent="0.25">
      <c r="B2" s="292"/>
      <c r="C2" s="289" t="s">
        <v>0</v>
      </c>
      <c r="D2" s="289" t="s">
        <v>2</v>
      </c>
      <c r="E2" s="289" t="s">
        <v>4</v>
      </c>
      <c r="F2" s="289" t="s">
        <v>1</v>
      </c>
      <c r="G2" s="289" t="s">
        <v>3</v>
      </c>
      <c r="H2" s="295" t="s">
        <v>5</v>
      </c>
      <c r="I2" s="298" t="s">
        <v>8</v>
      </c>
      <c r="J2" s="283"/>
      <c r="K2" s="282" t="s">
        <v>21</v>
      </c>
      <c r="L2" s="283"/>
      <c r="M2" s="278" t="s">
        <v>156</v>
      </c>
      <c r="N2" s="279"/>
      <c r="O2" s="282" t="s">
        <v>157</v>
      </c>
      <c r="P2" s="283"/>
      <c r="Q2" s="278" t="s">
        <v>155</v>
      </c>
      <c r="R2" s="279"/>
      <c r="S2" s="282" t="s">
        <v>158</v>
      </c>
      <c r="T2" s="283"/>
      <c r="U2" s="278" t="s">
        <v>159</v>
      </c>
      <c r="V2" s="279"/>
      <c r="W2" s="282" t="s">
        <v>160</v>
      </c>
      <c r="X2" s="283"/>
      <c r="Y2" s="278" t="s">
        <v>161</v>
      </c>
      <c r="Z2" s="279"/>
      <c r="AA2" s="274" t="s">
        <v>174</v>
      </c>
      <c r="AB2" s="275"/>
    </row>
    <row r="3" spans="2:28" ht="15.75" thickBot="1" x14ac:dyDescent="0.3">
      <c r="B3" s="293"/>
      <c r="C3" s="290"/>
      <c r="D3" s="290"/>
      <c r="E3" s="290"/>
      <c r="F3" s="290"/>
      <c r="G3" s="290"/>
      <c r="H3" s="296"/>
      <c r="I3" s="299"/>
      <c r="J3" s="285"/>
      <c r="K3" s="284"/>
      <c r="L3" s="285"/>
      <c r="M3" s="280"/>
      <c r="N3" s="281"/>
      <c r="O3" s="284"/>
      <c r="P3" s="285"/>
      <c r="Q3" s="280"/>
      <c r="R3" s="281"/>
      <c r="S3" s="284"/>
      <c r="T3" s="285"/>
      <c r="U3" s="280"/>
      <c r="V3" s="281"/>
      <c r="W3" s="284"/>
      <c r="X3" s="285"/>
      <c r="Y3" s="280"/>
      <c r="Z3" s="281"/>
      <c r="AA3" s="276"/>
      <c r="AB3" s="277"/>
    </row>
    <row r="4" spans="2:28" ht="15.75" thickBot="1" x14ac:dyDescent="0.3">
      <c r="B4" s="294"/>
      <c r="C4" s="291"/>
      <c r="D4" s="291"/>
      <c r="E4" s="291"/>
      <c r="F4" s="291"/>
      <c r="G4" s="291"/>
      <c r="H4" s="297"/>
      <c r="I4" s="215" t="s">
        <v>6</v>
      </c>
      <c r="J4" s="216" t="s">
        <v>7</v>
      </c>
      <c r="K4" s="215" t="s">
        <v>6</v>
      </c>
      <c r="L4" s="216" t="s">
        <v>7</v>
      </c>
      <c r="M4" s="215" t="s">
        <v>6</v>
      </c>
      <c r="N4" s="216" t="s">
        <v>7</v>
      </c>
      <c r="O4" s="215" t="s">
        <v>6</v>
      </c>
      <c r="P4" s="216" t="s">
        <v>7</v>
      </c>
      <c r="Q4" s="215" t="s">
        <v>6</v>
      </c>
      <c r="R4" s="216" t="s">
        <v>7</v>
      </c>
      <c r="S4" s="217" t="s">
        <v>6</v>
      </c>
      <c r="T4" s="216" t="s">
        <v>7</v>
      </c>
      <c r="U4" s="215" t="s">
        <v>6</v>
      </c>
      <c r="V4" s="216" t="s">
        <v>7</v>
      </c>
      <c r="W4" s="217" t="s">
        <v>6</v>
      </c>
      <c r="X4" s="216" t="s">
        <v>7</v>
      </c>
      <c r="Y4" s="215" t="s">
        <v>6</v>
      </c>
      <c r="Z4" s="216" t="s">
        <v>7</v>
      </c>
      <c r="AA4" s="218" t="s">
        <v>6</v>
      </c>
      <c r="AB4" s="219" t="s">
        <v>7</v>
      </c>
    </row>
    <row r="5" spans="2:28" x14ac:dyDescent="0.25">
      <c r="B5" s="203" t="s">
        <v>256</v>
      </c>
      <c r="C5" s="214">
        <v>100000</v>
      </c>
      <c r="D5" s="214">
        <f>D56+D57</f>
        <v>60000</v>
      </c>
      <c r="E5" s="214">
        <v>0</v>
      </c>
      <c r="F5" s="214">
        <v>0</v>
      </c>
      <c r="G5" s="214">
        <f>D56+D57</f>
        <v>60000</v>
      </c>
      <c r="H5" s="221">
        <f>(C5*0.7)-D5</f>
        <v>10000</v>
      </c>
      <c r="I5" s="31">
        <v>100</v>
      </c>
      <c r="J5" s="27">
        <f>I5*2</f>
        <v>200</v>
      </c>
      <c r="K5" s="28">
        <f>F56+F57</f>
        <v>100</v>
      </c>
      <c r="L5" s="27">
        <f>G56+G57</f>
        <v>200</v>
      </c>
      <c r="M5" s="224">
        <f>I5-K5</f>
        <v>0</v>
      </c>
      <c r="N5" s="225">
        <f>J5-L5</f>
        <v>0</v>
      </c>
      <c r="O5" s="226">
        <f>E85/52</f>
        <v>0</v>
      </c>
      <c r="P5" s="227">
        <f>E85/26</f>
        <v>0</v>
      </c>
      <c r="Q5" s="224">
        <f t="shared" ref="Q5" si="0">I5-K5-O5</f>
        <v>0</v>
      </c>
      <c r="R5" s="225">
        <f t="shared" ref="R5" si="1">J5-L5-P5</f>
        <v>0</v>
      </c>
      <c r="S5" s="226">
        <f>E76/52</f>
        <v>38.46153846153846</v>
      </c>
      <c r="T5" s="227">
        <f>E76/26</f>
        <v>76.92307692307692</v>
      </c>
      <c r="U5" s="224">
        <f>I5-K5-O5-S5</f>
        <v>-38.46153846153846</v>
      </c>
      <c r="V5" s="225">
        <f>J5-L5-P5-T5</f>
        <v>-76.92307692307692</v>
      </c>
      <c r="W5" s="226">
        <f>E67/52</f>
        <v>13.846153846153847</v>
      </c>
      <c r="X5" s="227">
        <f>E67/26</f>
        <v>27.692307692307693</v>
      </c>
      <c r="Y5" s="224">
        <f>I5-K5-O5-S5-W5</f>
        <v>-52.307692307692307</v>
      </c>
      <c r="Z5" s="225">
        <f>J5-L5-P5-T5-X5</f>
        <v>-104.61538461538461</v>
      </c>
      <c r="AA5" s="228">
        <f>W5+S5+O5+K5-I5</f>
        <v>52.307692307692321</v>
      </c>
      <c r="AB5" s="229">
        <f>X5+T5+P5+L5-J5</f>
        <v>104.61538461538464</v>
      </c>
    </row>
    <row r="6" spans="2:28" x14ac:dyDescent="0.25">
      <c r="B6" s="3" t="s">
        <v>257</v>
      </c>
      <c r="C6" s="25">
        <v>150000</v>
      </c>
      <c r="D6" s="25">
        <f>D52</f>
        <v>90000</v>
      </c>
      <c r="E6" s="25">
        <v>0</v>
      </c>
      <c r="F6" s="25">
        <v>0</v>
      </c>
      <c r="G6" s="25">
        <f>D52</f>
        <v>90000</v>
      </c>
      <c r="H6" s="222">
        <f>(C6*0.7)-D6</f>
        <v>15000</v>
      </c>
      <c r="I6" s="31">
        <v>500</v>
      </c>
      <c r="J6" s="27">
        <f>I6*2</f>
        <v>1000</v>
      </c>
      <c r="K6" s="28">
        <f>F52</f>
        <v>40</v>
      </c>
      <c r="L6" s="27">
        <f>G52</f>
        <v>80</v>
      </c>
      <c r="M6" s="224">
        <f>I6-K6</f>
        <v>460</v>
      </c>
      <c r="N6" s="225">
        <f>J6-L6</f>
        <v>920</v>
      </c>
      <c r="O6" s="226">
        <f>E87/52</f>
        <v>31.191153846153846</v>
      </c>
      <c r="P6" s="227">
        <f>E87/26</f>
        <v>62.382307692307691</v>
      </c>
      <c r="Q6" s="224">
        <f t="shared" ref="Q6:R8" si="2">I6-K6-O6</f>
        <v>428.80884615384616</v>
      </c>
      <c r="R6" s="225">
        <f t="shared" si="2"/>
        <v>857.61769230769232</v>
      </c>
      <c r="S6" s="226">
        <f>E75/52</f>
        <v>38.46153846153846</v>
      </c>
      <c r="T6" s="227">
        <f>E75/26</f>
        <v>76.92307692307692</v>
      </c>
      <c r="U6" s="224">
        <f>I6-K6-O6-S6</f>
        <v>390.34730769230771</v>
      </c>
      <c r="V6" s="225">
        <f>J6-L6-P6-T6</f>
        <v>780.69461538461542</v>
      </c>
      <c r="W6" s="226">
        <f>E66/52</f>
        <v>11.538461538461538</v>
      </c>
      <c r="X6" s="227">
        <f>E66/26</f>
        <v>23.076923076923077</v>
      </c>
      <c r="Y6" s="224">
        <f>I6-K6-O6-S6-W6</f>
        <v>378.80884615384616</v>
      </c>
      <c r="Z6" s="225">
        <f>J6-L6-P6-T6-X6</f>
        <v>757.61769230769232</v>
      </c>
      <c r="AA6" s="228">
        <f>W6+S6+O6+K6-I6</f>
        <v>-378.80884615384616</v>
      </c>
      <c r="AB6" s="229">
        <f>X6+T6+P6+L6-J6</f>
        <v>-757.61769230769232</v>
      </c>
    </row>
    <row r="7" spans="2:28" x14ac:dyDescent="0.25">
      <c r="B7" s="3" t="s">
        <v>258</v>
      </c>
      <c r="C7" s="25">
        <v>170000</v>
      </c>
      <c r="D7" s="25">
        <f>D49+D50+D51</f>
        <v>200000</v>
      </c>
      <c r="E7" s="25">
        <v>0</v>
      </c>
      <c r="F7" s="25">
        <v>0</v>
      </c>
      <c r="G7" s="25">
        <f>D49+D50+D51</f>
        <v>200000</v>
      </c>
      <c r="H7" s="222">
        <f>(C7*0.7)-D7</f>
        <v>-81000.000000000015</v>
      </c>
      <c r="I7" s="32">
        <v>600</v>
      </c>
      <c r="J7" s="26">
        <f>I7*2</f>
        <v>1200</v>
      </c>
      <c r="K7" s="29">
        <f>F49+F50+F51</f>
        <v>60</v>
      </c>
      <c r="L7" s="26">
        <f>G49+G50+G51</f>
        <v>120</v>
      </c>
      <c r="M7" s="224">
        <f t="shared" ref="M7:M8" si="3">I7-K7</f>
        <v>540</v>
      </c>
      <c r="N7" s="225">
        <f t="shared" ref="N7:N8" si="4">J7-L7</f>
        <v>1080</v>
      </c>
      <c r="O7" s="226">
        <f>E86/52</f>
        <v>26.022923076923078</v>
      </c>
      <c r="P7" s="230">
        <f>E86/26</f>
        <v>52.045846153846156</v>
      </c>
      <c r="Q7" s="224">
        <f t="shared" si="2"/>
        <v>513.97707692307688</v>
      </c>
      <c r="R7" s="225">
        <f t="shared" si="2"/>
        <v>1027.9541538461538</v>
      </c>
      <c r="S7" s="226">
        <f>E74/52</f>
        <v>67.307692307692307</v>
      </c>
      <c r="T7" s="230">
        <f>E74/26</f>
        <v>134.61538461538461</v>
      </c>
      <c r="U7" s="224">
        <f t="shared" ref="U7:U8" si="5">I7-K7-O7-S7</f>
        <v>446.66938461538456</v>
      </c>
      <c r="V7" s="225">
        <f t="shared" ref="V7:V8" si="6">J7-L7-P7-T7</f>
        <v>893.33876923076912</v>
      </c>
      <c r="W7" s="226">
        <f>E65/52</f>
        <v>9.2307692307692299</v>
      </c>
      <c r="X7" s="230">
        <f>E65/26</f>
        <v>18.46153846153846</v>
      </c>
      <c r="Y7" s="224">
        <f t="shared" ref="Y7:Y8" si="7">I7-K7-O7-S7-W7</f>
        <v>437.43861538461533</v>
      </c>
      <c r="Z7" s="225">
        <f t="shared" ref="Z7:Z8" si="8">J7-L7-P7-T7-X7</f>
        <v>874.87723076923066</v>
      </c>
      <c r="AA7" s="228">
        <f t="shared" ref="AA7" si="9">W7+S7+O7+K7-I7</f>
        <v>-437.43861538461539</v>
      </c>
      <c r="AB7" s="229">
        <f t="shared" ref="AB7:AB8" si="10">X7+T7+P7+L7-J7</f>
        <v>-874.87723076923078</v>
      </c>
    </row>
    <row r="8" spans="2:28" x14ac:dyDescent="0.25">
      <c r="B8" s="3" t="s">
        <v>255</v>
      </c>
      <c r="C8" s="25">
        <v>180000</v>
      </c>
      <c r="D8" s="25">
        <f>D53+D54+D55</f>
        <v>200000</v>
      </c>
      <c r="E8" s="25">
        <v>0</v>
      </c>
      <c r="F8" s="25">
        <v>0</v>
      </c>
      <c r="G8" s="25">
        <f>D53+D54+D55</f>
        <v>200000</v>
      </c>
      <c r="H8" s="222">
        <f>(C8*0.8)-D8</f>
        <v>-56000</v>
      </c>
      <c r="I8" s="32">
        <v>0</v>
      </c>
      <c r="J8" s="26">
        <v>0</v>
      </c>
      <c r="K8" s="29">
        <f>F53+F54+F55</f>
        <v>135</v>
      </c>
      <c r="L8" s="26">
        <f>G53+G54+G55</f>
        <v>270</v>
      </c>
      <c r="M8" s="224">
        <f t="shared" si="3"/>
        <v>-135</v>
      </c>
      <c r="N8" s="225">
        <f t="shared" si="4"/>
        <v>-270</v>
      </c>
      <c r="O8" s="231">
        <v>0</v>
      </c>
      <c r="P8" s="230">
        <v>0</v>
      </c>
      <c r="Q8" s="224">
        <f t="shared" si="2"/>
        <v>-135</v>
      </c>
      <c r="R8" s="225">
        <f t="shared" si="2"/>
        <v>-270</v>
      </c>
      <c r="S8" s="231">
        <f>E73/52</f>
        <v>57.692307692307693</v>
      </c>
      <c r="T8" s="230">
        <f>E73/26</f>
        <v>115.38461538461539</v>
      </c>
      <c r="U8" s="224">
        <f t="shared" si="5"/>
        <v>-192.69230769230768</v>
      </c>
      <c r="V8" s="225">
        <f t="shared" si="6"/>
        <v>-385.38461538461536</v>
      </c>
      <c r="W8" s="231">
        <f>SUM(E63:E64)/52</f>
        <v>11.538461538461538</v>
      </c>
      <c r="X8" s="230">
        <f>SUM(E63:E64)/26</f>
        <v>23.076923076923077</v>
      </c>
      <c r="Y8" s="224">
        <f t="shared" si="7"/>
        <v>-204.23076923076923</v>
      </c>
      <c r="Z8" s="225">
        <f t="shared" si="8"/>
        <v>-408.46153846153845</v>
      </c>
      <c r="AA8" s="228">
        <f>W8+S8+O8+K8-I8</f>
        <v>204.23076923076923</v>
      </c>
      <c r="AB8" s="229">
        <f t="shared" si="10"/>
        <v>408.46153846153845</v>
      </c>
    </row>
    <row r="9" spans="2:28" x14ac:dyDescent="0.25">
      <c r="B9" s="3" t="s">
        <v>15</v>
      </c>
      <c r="C9" s="25"/>
      <c r="D9" s="25"/>
      <c r="E9" s="25"/>
      <c r="F9" s="25"/>
      <c r="G9" s="25"/>
      <c r="H9" s="222">
        <f>D34</f>
        <v>26500</v>
      </c>
      <c r="I9" s="32"/>
      <c r="J9" s="26"/>
      <c r="K9" s="29"/>
      <c r="L9" s="26"/>
      <c r="M9" s="232"/>
      <c r="N9" s="230"/>
      <c r="O9" s="231"/>
      <c r="P9" s="230"/>
      <c r="Q9" s="232"/>
      <c r="R9" s="230"/>
      <c r="S9" s="231"/>
      <c r="T9" s="230"/>
      <c r="U9" s="224"/>
      <c r="V9" s="225"/>
      <c r="W9" s="231"/>
      <c r="X9" s="230"/>
      <c r="Y9" s="224"/>
      <c r="Z9" s="225"/>
      <c r="AA9" s="228"/>
      <c r="AB9" s="229"/>
    </row>
    <row r="10" spans="2:28" x14ac:dyDescent="0.25">
      <c r="B10" s="3" t="s">
        <v>14</v>
      </c>
      <c r="C10" s="220">
        <f>F10/0.3</f>
        <v>0</v>
      </c>
      <c r="D10" s="25"/>
      <c r="E10" s="25">
        <v>0</v>
      </c>
      <c r="F10" s="220">
        <f>IF(SUM(H5:H9)&lt;=0,0,SUM(H5:H9))</f>
        <v>0</v>
      </c>
      <c r="G10" s="25">
        <f>C10*0.7</f>
        <v>0</v>
      </c>
      <c r="H10" s="222">
        <v>0</v>
      </c>
      <c r="I10" s="32">
        <v>0</v>
      </c>
      <c r="J10" s="26">
        <f>I10*2</f>
        <v>0</v>
      </c>
      <c r="K10" s="29">
        <v>0</v>
      </c>
      <c r="L10" s="26">
        <v>0</v>
      </c>
      <c r="M10" s="224">
        <f>I10-K10</f>
        <v>0</v>
      </c>
      <c r="N10" s="225">
        <f>J10-L10</f>
        <v>0</v>
      </c>
      <c r="O10" s="231"/>
      <c r="P10" s="230"/>
      <c r="Q10" s="224"/>
      <c r="R10" s="224"/>
      <c r="S10" s="231"/>
      <c r="T10" s="230"/>
      <c r="U10" s="224"/>
      <c r="V10" s="225"/>
      <c r="W10" s="231"/>
      <c r="X10" s="230"/>
      <c r="Y10" s="224"/>
      <c r="Z10" s="225"/>
      <c r="AA10" s="228"/>
      <c r="AB10" s="229"/>
    </row>
    <row r="11" spans="2:28" x14ac:dyDescent="0.25">
      <c r="B11" s="3" t="s">
        <v>19</v>
      </c>
      <c r="C11" s="25"/>
      <c r="D11" s="25"/>
      <c r="E11" s="25"/>
      <c r="F11" s="25"/>
      <c r="G11" s="25"/>
      <c r="H11" s="222"/>
      <c r="I11" s="32"/>
      <c r="J11" s="26"/>
      <c r="K11" s="30"/>
      <c r="L11" s="4"/>
      <c r="M11" s="233"/>
      <c r="N11" s="124"/>
      <c r="O11" s="234"/>
      <c r="P11" s="124"/>
      <c r="Q11" s="233"/>
      <c r="R11" s="124"/>
      <c r="S11" s="234"/>
      <c r="T11" s="124"/>
      <c r="U11" s="224"/>
      <c r="V11" s="225"/>
      <c r="W11" s="234"/>
      <c r="X11" s="124"/>
      <c r="Y11" s="224"/>
      <c r="Z11" s="225"/>
      <c r="AA11" s="228"/>
      <c r="AB11" s="229"/>
    </row>
    <row r="12" spans="2:28" ht="15.75" thickBot="1" x14ac:dyDescent="0.3">
      <c r="B12" s="37" t="s">
        <v>20</v>
      </c>
      <c r="C12" s="38">
        <f>SUM(C5:C11)</f>
        <v>600000</v>
      </c>
      <c r="D12" s="38">
        <f>SUM(D5:D11)</f>
        <v>550000</v>
      </c>
      <c r="E12" s="38">
        <f>SUM(E5:E11)</f>
        <v>0</v>
      </c>
      <c r="F12" s="38">
        <f>SUM(F5:F11)</f>
        <v>0</v>
      </c>
      <c r="G12" s="38">
        <f>SUM(G5:G11)</f>
        <v>550000</v>
      </c>
      <c r="H12" s="223">
        <f>SUM(H5:H9)</f>
        <v>-85500.000000000015</v>
      </c>
      <c r="I12" s="39">
        <f t="shared" ref="I12:AB12" si="11">SUM(I5:I10)</f>
        <v>1200</v>
      </c>
      <c r="J12" s="40">
        <f t="shared" si="11"/>
        <v>2400</v>
      </c>
      <c r="K12" s="41">
        <f t="shared" si="11"/>
        <v>335</v>
      </c>
      <c r="L12" s="40">
        <f t="shared" si="11"/>
        <v>670</v>
      </c>
      <c r="M12" s="235">
        <f t="shared" si="11"/>
        <v>865</v>
      </c>
      <c r="N12" s="236">
        <f t="shared" si="11"/>
        <v>1730</v>
      </c>
      <c r="O12" s="237">
        <f t="shared" si="11"/>
        <v>57.214076923076924</v>
      </c>
      <c r="P12" s="237">
        <f t="shared" si="11"/>
        <v>114.42815384615385</v>
      </c>
      <c r="Q12" s="235">
        <f t="shared" si="11"/>
        <v>807.78592307692304</v>
      </c>
      <c r="R12" s="236">
        <f t="shared" si="11"/>
        <v>1615.5718461538461</v>
      </c>
      <c r="S12" s="237">
        <f t="shared" si="11"/>
        <v>201.92307692307691</v>
      </c>
      <c r="T12" s="237">
        <f t="shared" si="11"/>
        <v>403.84615384615381</v>
      </c>
      <c r="U12" s="235">
        <f t="shared" si="11"/>
        <v>605.86284615384625</v>
      </c>
      <c r="V12" s="236">
        <f t="shared" si="11"/>
        <v>1211.7256923076925</v>
      </c>
      <c r="W12" s="237">
        <f t="shared" si="11"/>
        <v>46.153846153846153</v>
      </c>
      <c r="X12" s="237">
        <f t="shared" si="11"/>
        <v>92.307692307692307</v>
      </c>
      <c r="Y12" s="235">
        <f t="shared" si="11"/>
        <v>559.70899999999983</v>
      </c>
      <c r="Z12" s="236">
        <f t="shared" si="11"/>
        <v>1119.4179999999997</v>
      </c>
      <c r="AA12" s="238">
        <f t="shared" si="11"/>
        <v>-559.70900000000006</v>
      </c>
      <c r="AB12" s="239">
        <f t="shared" si="11"/>
        <v>-1119.4180000000001</v>
      </c>
    </row>
    <row r="13" spans="2:28" ht="15.75" thickBot="1" x14ac:dyDescent="0.3">
      <c r="E13" s="211"/>
      <c r="F13" s="211" t="s">
        <v>202</v>
      </c>
      <c r="G13" s="210"/>
      <c r="H13" s="212" t="s">
        <v>36</v>
      </c>
      <c r="I13" s="213" t="s">
        <v>176</v>
      </c>
      <c r="J13" s="213"/>
      <c r="K13" s="213"/>
      <c r="L13" s="213"/>
      <c r="M13" s="213"/>
      <c r="N13" s="213"/>
    </row>
    <row r="14" spans="2:28" ht="15.75" thickBot="1" x14ac:dyDescent="0.3">
      <c r="B14" s="9" t="s">
        <v>231</v>
      </c>
      <c r="C14" s="73">
        <v>50000</v>
      </c>
      <c r="E14" s="9" t="s">
        <v>25</v>
      </c>
      <c r="F14" s="157">
        <f>F66</f>
        <v>50</v>
      </c>
      <c r="G14" s="69"/>
      <c r="H14" s="167" t="s">
        <v>152</v>
      </c>
      <c r="I14" s="165" t="e">
        <f>SUM(F14:F44)</f>
        <v>#REF!</v>
      </c>
      <c r="J14" s="156"/>
      <c r="K14" s="156"/>
      <c r="L14" s="156"/>
      <c r="M14" s="156"/>
      <c r="N14" s="156"/>
      <c r="P14" s="171"/>
    </row>
    <row r="15" spans="2:28" ht="15.75" thickBot="1" x14ac:dyDescent="0.3">
      <c r="B15" s="3" t="s">
        <v>232</v>
      </c>
      <c r="C15" s="74">
        <v>30000</v>
      </c>
      <c r="D15" s="8"/>
      <c r="E15" s="3" t="s">
        <v>24</v>
      </c>
      <c r="F15" s="158">
        <f>F65</f>
        <v>40</v>
      </c>
      <c r="G15" s="69"/>
      <c r="H15" s="168" t="str">
        <f>E45&amp;"  (Expenses)"</f>
        <v>Properties Tax  (Expenses)</v>
      </c>
      <c r="I15" s="166">
        <f>F45</f>
        <v>247.92766666666665</v>
      </c>
      <c r="L15" s="156"/>
      <c r="M15" s="156"/>
      <c r="N15" s="156"/>
      <c r="P15" s="171"/>
    </row>
    <row r="16" spans="2:28" ht="15.75" thickBot="1" x14ac:dyDescent="0.3">
      <c r="B16" s="5"/>
      <c r="C16" s="75">
        <f>C14+C15</f>
        <v>80000</v>
      </c>
      <c r="E16" s="3" t="s">
        <v>200</v>
      </c>
      <c r="F16" s="158">
        <f>F67</f>
        <v>60</v>
      </c>
      <c r="G16" s="69"/>
      <c r="H16" s="168" t="s">
        <v>153</v>
      </c>
      <c r="I16" s="165">
        <f>F58*52/12</f>
        <v>1451.6666666666667</v>
      </c>
      <c r="J16" s="156"/>
      <c r="K16" s="156"/>
      <c r="L16" s="156"/>
      <c r="M16" s="156"/>
      <c r="N16" s="156"/>
      <c r="P16" s="171"/>
    </row>
    <row r="17" spans="2:14" ht="15.75" thickBot="1" x14ac:dyDescent="0.3">
      <c r="E17" s="3" t="s">
        <v>23</v>
      </c>
      <c r="F17" s="158">
        <f>F63</f>
        <v>20</v>
      </c>
      <c r="G17" s="69"/>
      <c r="H17" s="169" t="s">
        <v>154</v>
      </c>
      <c r="I17" s="165">
        <f>F46</f>
        <v>283.33249999999998</v>
      </c>
      <c r="J17" s="156"/>
      <c r="K17" s="156"/>
      <c r="L17" s="156"/>
      <c r="M17" s="156"/>
      <c r="N17" s="156"/>
    </row>
    <row r="18" spans="2:14" ht="15.75" thickBot="1" x14ac:dyDescent="0.3">
      <c r="B18" s="88" t="s">
        <v>233</v>
      </c>
      <c r="C18" s="194">
        <v>20000</v>
      </c>
      <c r="E18" s="3" t="s">
        <v>30</v>
      </c>
      <c r="F18" s="158">
        <f>F64</f>
        <v>30</v>
      </c>
      <c r="G18" s="69"/>
      <c r="H18" s="163" t="s">
        <v>148</v>
      </c>
      <c r="I18" s="165">
        <f>E82</f>
        <v>103.60499999999999</v>
      </c>
      <c r="J18" s="156"/>
      <c r="K18" s="156"/>
      <c r="L18" s="156"/>
      <c r="M18" s="156"/>
      <c r="N18" s="156"/>
    </row>
    <row r="19" spans="2:14" ht="15.75" thickBot="1" x14ac:dyDescent="0.3">
      <c r="E19" s="3" t="s">
        <v>34</v>
      </c>
      <c r="F19" s="158">
        <f>F62</f>
        <v>4.166666666666667</v>
      </c>
      <c r="G19" s="71"/>
      <c r="H19" s="164" t="s">
        <v>149</v>
      </c>
      <c r="I19" s="165">
        <f>F82</f>
        <v>1934.48</v>
      </c>
      <c r="J19" s="156"/>
      <c r="K19" s="156"/>
      <c r="L19" s="156"/>
      <c r="M19" s="156"/>
      <c r="N19" s="156"/>
    </row>
    <row r="20" spans="2:14" ht="15.75" thickBot="1" x14ac:dyDescent="0.3">
      <c r="B20" s="9" t="s">
        <v>100</v>
      </c>
      <c r="C20" s="129">
        <v>500</v>
      </c>
      <c r="D20" s="138">
        <v>0</v>
      </c>
      <c r="E20" s="3" t="s">
        <v>26</v>
      </c>
      <c r="F20" s="158">
        <f>F68</f>
        <v>70</v>
      </c>
      <c r="G20" s="71"/>
      <c r="H20" s="162" t="s">
        <v>150</v>
      </c>
      <c r="I20" s="140">
        <f>H82+F82+E82+D82</f>
        <v>7083.3333333333339</v>
      </c>
      <c r="J20" s="156"/>
      <c r="K20" s="156"/>
      <c r="L20" s="156"/>
      <c r="M20" s="156"/>
      <c r="N20" s="156"/>
    </row>
    <row r="21" spans="2:14" ht="15.75" thickBot="1" x14ac:dyDescent="0.3">
      <c r="B21" s="3" t="s">
        <v>100</v>
      </c>
      <c r="C21" s="105">
        <v>1000</v>
      </c>
      <c r="D21" s="138">
        <v>0</v>
      </c>
      <c r="E21" s="3" t="s">
        <v>86</v>
      </c>
      <c r="F21" s="158">
        <f>F69</f>
        <v>40</v>
      </c>
      <c r="G21" s="71"/>
      <c r="H21" s="78" t="s">
        <v>151</v>
      </c>
      <c r="I21" s="140">
        <f>SUM(I5:I7)*52/12</f>
        <v>5200</v>
      </c>
      <c r="J21" s="156"/>
      <c r="K21" s="156"/>
      <c r="L21" s="156"/>
      <c r="M21" s="156"/>
      <c r="N21" s="156"/>
    </row>
    <row r="22" spans="2:14" ht="15.75" thickBot="1" x14ac:dyDescent="0.3">
      <c r="B22" s="5" t="s">
        <v>101</v>
      </c>
      <c r="C22" s="130">
        <v>2</v>
      </c>
      <c r="D22" s="139">
        <v>0</v>
      </c>
      <c r="E22" s="3" t="s">
        <v>9</v>
      </c>
      <c r="F22" s="158">
        <f>F74</f>
        <v>291.66666666666669</v>
      </c>
      <c r="G22" s="71"/>
      <c r="H22" s="79" t="s">
        <v>13</v>
      </c>
      <c r="I22" s="170" t="e">
        <f>SUM(I20:I21)-SUM(I14:I19)</f>
        <v>#REF!</v>
      </c>
      <c r="J22" s="170"/>
      <c r="K22" s="170"/>
      <c r="L22" s="170"/>
      <c r="M22" s="170"/>
      <c r="N22" s="170"/>
    </row>
    <row r="23" spans="2:14" ht="15.75" thickBot="1" x14ac:dyDescent="0.3">
      <c r="E23" s="3" t="s">
        <v>28</v>
      </c>
      <c r="F23" s="158">
        <f>F75</f>
        <v>166.66666666666666</v>
      </c>
      <c r="G23" s="71"/>
      <c r="H23" s="16"/>
      <c r="I23" s="16"/>
      <c r="J23" s="16"/>
      <c r="K23" s="17"/>
    </row>
    <row r="24" spans="2:14" x14ac:dyDescent="0.25">
      <c r="B24" s="9" t="s">
        <v>10</v>
      </c>
      <c r="C24" s="10">
        <f>B1</f>
        <v>45760</v>
      </c>
      <c r="D24" s="50"/>
      <c r="E24" s="3" t="s">
        <v>201</v>
      </c>
      <c r="F24" s="158">
        <f>F76</f>
        <v>166.66666666666666</v>
      </c>
      <c r="G24" s="71"/>
      <c r="H24" s="67"/>
      <c r="I24" s="42" t="s">
        <v>0</v>
      </c>
      <c r="J24" s="42" t="s">
        <v>2</v>
      </c>
      <c r="K24" s="43" t="s">
        <v>37</v>
      </c>
    </row>
    <row r="25" spans="2:14" x14ac:dyDescent="0.25">
      <c r="B25" s="3" t="s">
        <v>173</v>
      </c>
      <c r="C25" s="1" t="s">
        <v>237</v>
      </c>
      <c r="D25" s="66">
        <v>15000</v>
      </c>
      <c r="E25" s="3" t="s">
        <v>27</v>
      </c>
      <c r="F25" s="158">
        <f>F73</f>
        <v>250</v>
      </c>
      <c r="G25" s="71"/>
      <c r="H25" s="80" t="str">
        <f t="shared" ref="H25:J26" si="12">B6</f>
        <v>Propert2</v>
      </c>
      <c r="I25" s="44">
        <f t="shared" si="12"/>
        <v>150000</v>
      </c>
      <c r="J25" s="44">
        <f t="shared" si="12"/>
        <v>90000</v>
      </c>
      <c r="K25" s="45">
        <f>J25/I25</f>
        <v>0.6</v>
      </c>
    </row>
    <row r="26" spans="2:14" x14ac:dyDescent="0.25">
      <c r="B26" s="3" t="s">
        <v>106</v>
      </c>
      <c r="C26" s="1" t="s">
        <v>238</v>
      </c>
      <c r="D26" s="66">
        <v>11500</v>
      </c>
      <c r="E26" s="141" t="s">
        <v>113</v>
      </c>
      <c r="F26" s="159">
        <f>GETPIVOTDATA("Amount",Expense!$A$6,"Categories","Groceries")/-12</f>
        <v>1035.7666666666671</v>
      </c>
      <c r="G26" s="71"/>
      <c r="H26" s="81" t="str">
        <f t="shared" si="12"/>
        <v>Property3</v>
      </c>
      <c r="I26" s="44">
        <f t="shared" si="12"/>
        <v>170000</v>
      </c>
      <c r="J26" s="44">
        <f t="shared" si="12"/>
        <v>200000</v>
      </c>
      <c r="K26" s="45">
        <f t="shared" ref="K26" si="13">J26/I26</f>
        <v>1.1764705882352942</v>
      </c>
    </row>
    <row r="27" spans="2:14" x14ac:dyDescent="0.25">
      <c r="B27" s="3"/>
      <c r="C27" s="63"/>
      <c r="D27" s="66">
        <v>0</v>
      </c>
      <c r="E27" s="142" t="s">
        <v>50</v>
      </c>
      <c r="F27" s="159">
        <f>GETPIVOTDATA("Amount",Expense!$A$6,"Categories","Medical")/-12</f>
        <v>127.45250000000003</v>
      </c>
      <c r="G27" s="71"/>
      <c r="H27" s="81" t="str">
        <f>B5</f>
        <v>Property1</v>
      </c>
      <c r="I27" s="44">
        <f>C5</f>
        <v>100000</v>
      </c>
      <c r="J27" s="44">
        <f>D5</f>
        <v>60000</v>
      </c>
      <c r="K27" s="243">
        <f t="shared" ref="K27" si="14">J27/I27</f>
        <v>0.6</v>
      </c>
      <c r="L27" s="62"/>
    </row>
    <row r="28" spans="2:14" x14ac:dyDescent="0.25">
      <c r="B28" s="3"/>
      <c r="C28" s="1"/>
      <c r="D28" s="66">
        <v>0</v>
      </c>
      <c r="E28" s="143" t="s">
        <v>119</v>
      </c>
      <c r="F28" s="256">
        <f>GETPIVOTDATA("Amount",Expense!$A$6,"Categories","Personal Care","SubCategories","Personal Care")/-12</f>
        <v>59.692499999999995</v>
      </c>
      <c r="G28" s="71"/>
      <c r="H28" s="81" t="str">
        <f>B8</f>
        <v>Property4</v>
      </c>
      <c r="I28" s="44">
        <f>C8</f>
        <v>180000</v>
      </c>
      <c r="J28" s="44">
        <f>D8</f>
        <v>200000</v>
      </c>
      <c r="K28" s="45">
        <f>J28/I28</f>
        <v>1.1111111111111112</v>
      </c>
    </row>
    <row r="29" spans="2:14" ht="15.75" thickBot="1" x14ac:dyDescent="0.3">
      <c r="B29" s="3"/>
      <c r="C29" s="1"/>
      <c r="D29" s="66">
        <v>0</v>
      </c>
      <c r="E29" s="144" t="s">
        <v>143</v>
      </c>
      <c r="F29" s="159">
        <f>GETPIVOTDATA("Amount",Expense!$A$6,"Categories","Recreational &amp; Entertainment","SubCategories","Gym ")/-12</f>
        <v>85.179166666666674</v>
      </c>
      <c r="G29" s="71"/>
      <c r="H29" s="82" t="s">
        <v>11</v>
      </c>
      <c r="I29" s="46">
        <f>SUM(I25:I28)</f>
        <v>600000</v>
      </c>
      <c r="J29" s="46">
        <f>SUM(J25:J28)</f>
        <v>550000</v>
      </c>
      <c r="K29" s="47">
        <f>J29/I29</f>
        <v>0.91666666666666663</v>
      </c>
    </row>
    <row r="30" spans="2:14" ht="15.75" thickBot="1" x14ac:dyDescent="0.3">
      <c r="B30" s="3"/>
      <c r="C30" s="2"/>
      <c r="D30" s="66">
        <v>0</v>
      </c>
      <c r="E30" s="145" t="s">
        <v>123</v>
      </c>
      <c r="F30" s="159">
        <f>GETPIVOTDATA("Amount",Expense!$A$6,"Categories","Recreational &amp; Entertainment","SubCategories","Entertainment")/-12</f>
        <v>203.25333333333333</v>
      </c>
      <c r="G30" s="71"/>
      <c r="H30" s="68" t="s">
        <v>38</v>
      </c>
      <c r="I30" s="86">
        <f>((C81+C80)*7)+(((I5+I6+I7)*52*0.7)*7)</f>
        <v>900760</v>
      </c>
      <c r="J30" s="86">
        <f>J29</f>
        <v>550000</v>
      </c>
      <c r="K30" s="244">
        <f>I30-J30</f>
        <v>350760</v>
      </c>
    </row>
    <row r="31" spans="2:14" x14ac:dyDescent="0.25">
      <c r="B31" s="3"/>
      <c r="C31" s="1"/>
      <c r="D31" s="66">
        <v>0</v>
      </c>
      <c r="E31" s="151" t="s">
        <v>48</v>
      </c>
      <c r="F31" s="159">
        <f>GETPIVOTDATA("Amount",Expense!$A$6,"Categories","Recreational &amp; Entertainment","SubCategories","Dining Out ")/-12</f>
        <v>281.72249999999991</v>
      </c>
      <c r="G31" s="71"/>
      <c r="H31" s="83" t="s">
        <v>39</v>
      </c>
      <c r="I31" s="18"/>
      <c r="J31" s="18"/>
      <c r="K31" s="240">
        <f>-((K30/7)/52)/0.7</f>
        <v>-1376.6091051805338</v>
      </c>
    </row>
    <row r="32" spans="2:14" ht="15.75" thickBot="1" x14ac:dyDescent="0.3">
      <c r="B32" s="3"/>
      <c r="C32" s="1"/>
      <c r="D32" s="66">
        <v>0</v>
      </c>
      <c r="E32" s="146" t="s">
        <v>51</v>
      </c>
      <c r="F32" s="159">
        <f>GETPIVOTDATA("Amount",Expense!$A$6,"Categories","Personal Care","SubCategories","Clothing &amp; Footwear")/-12</f>
        <v>238.94666666666672</v>
      </c>
      <c r="G32" s="71"/>
      <c r="H32" s="84" t="s">
        <v>40</v>
      </c>
      <c r="I32" s="6"/>
      <c r="J32" s="7"/>
      <c r="K32" s="241">
        <f>-(K30/7)</f>
        <v>-50108.571428571428</v>
      </c>
    </row>
    <row r="33" spans="2:14" ht="15.75" thickBot="1" x14ac:dyDescent="0.3">
      <c r="B33" s="14"/>
      <c r="C33" s="15"/>
      <c r="D33" s="66">
        <v>0</v>
      </c>
      <c r="E33" s="147" t="s">
        <v>52</v>
      </c>
      <c r="F33" s="159">
        <f>GETPIVOTDATA("Amount",Expense!$A$6,"Categories","Recreational &amp; Entertainment","SubCategories","Travel ")/-12</f>
        <v>1448.4483333333335</v>
      </c>
      <c r="G33" s="71"/>
    </row>
    <row r="34" spans="2:14" ht="15.75" thickBot="1" x14ac:dyDescent="0.3">
      <c r="B34" s="11" t="s">
        <v>11</v>
      </c>
      <c r="C34" s="12"/>
      <c r="D34" s="76">
        <f>SUM(D25:D33)</f>
        <v>26500</v>
      </c>
      <c r="E34" s="148" t="s">
        <v>49</v>
      </c>
      <c r="F34" s="159">
        <f>GETPIVOTDATA("Amount",Expense!$A$6,"Categories","8 Denning Place ","SubCategories","Home Expense")/-12</f>
        <v>183.75250000000005</v>
      </c>
      <c r="G34" s="71"/>
      <c r="H34" s="83" t="s">
        <v>199</v>
      </c>
      <c r="I34" s="18"/>
      <c r="J34" s="18"/>
      <c r="K34" s="242">
        <f>(K31/4)/3</f>
        <v>-114.71742543171115</v>
      </c>
    </row>
    <row r="35" spans="2:14" x14ac:dyDescent="0.25">
      <c r="E35" s="149" t="s">
        <v>142</v>
      </c>
      <c r="F35" s="159">
        <f>GETPIVOTDATA("Amount",Expense!$A$6,"Categories","Transport")/-12</f>
        <v>338.52166666666665</v>
      </c>
      <c r="G35" s="71"/>
      <c r="H35" s="85" t="s">
        <v>42</v>
      </c>
      <c r="I35" s="1"/>
      <c r="J35" s="1"/>
      <c r="K35" s="124">
        <f>(K32*3)/4</f>
        <v>-37581.428571428572</v>
      </c>
    </row>
    <row r="36" spans="2:14" ht="15.75" thickBot="1" x14ac:dyDescent="0.3">
      <c r="E36" s="150" t="s">
        <v>144</v>
      </c>
      <c r="F36" s="159">
        <f>GETPIVOTDATA("Amount",Expense!$A$6,"Categories","Other")/-12</f>
        <v>789.53249999999991</v>
      </c>
      <c r="G36" s="71"/>
      <c r="H36" s="84" t="s">
        <v>41</v>
      </c>
      <c r="I36" s="6"/>
      <c r="J36" s="6"/>
      <c r="K36" s="126">
        <f>K35/2</f>
        <v>-18790.714285714286</v>
      </c>
    </row>
    <row r="37" spans="2:14" x14ac:dyDescent="0.25">
      <c r="E37" s="272" t="s">
        <v>221</v>
      </c>
      <c r="F37" s="159" t="e">
        <f>GETPIVOTDATA("Amount",Expense!$A$6,"Categories","Immigration")/-12</f>
        <v>#REF!</v>
      </c>
      <c r="G37" s="71"/>
    </row>
    <row r="38" spans="2:14" x14ac:dyDescent="0.25">
      <c r="E38" s="260" t="s">
        <v>29</v>
      </c>
      <c r="F38" s="159">
        <f>GETPIVOTDATA("Amount",Expense!$A$6,"Categories","Telephone &amp; Internet","SubCategories","AppleStorage")/-12</f>
        <v>14.120833333333335</v>
      </c>
      <c r="G38" s="71"/>
    </row>
    <row r="39" spans="2:14" x14ac:dyDescent="0.25">
      <c r="E39" s="259" t="s">
        <v>31</v>
      </c>
      <c r="F39" s="159">
        <f>GETPIVOTDATA("Amount",Expense!$A$6,"Categories","Telephone &amp; Internet","SubCategories","US Mobile ")/-12</f>
        <v>12.029166666666667</v>
      </c>
      <c r="G39" s="71"/>
    </row>
    <row r="40" spans="2:14" x14ac:dyDescent="0.25">
      <c r="E40" s="257" t="s">
        <v>32</v>
      </c>
      <c r="F40" s="159">
        <f>GETPIVOTDATA("Amount",Expense!$A$6,"Categories","8 Denning Place ","SubCategories","Water")/-12</f>
        <v>49.608333333333341</v>
      </c>
      <c r="G40" s="71"/>
    </row>
    <row r="41" spans="2:14" x14ac:dyDescent="0.25">
      <c r="E41" s="263" t="s">
        <v>33</v>
      </c>
      <c r="F41" s="159">
        <f>(GETPIVOTDATA("Amount",Expense!$A$6,"Categories","24 Panorama Road ","SubCategories","MyRentCharge ")+GETPIVOTDATA("Amount",Expense!$A$6,"Categories","5B Cleary Road ","SubCategories","MyRentCharge "))/-12</f>
        <v>18.7075</v>
      </c>
      <c r="G41" s="71"/>
    </row>
    <row r="42" spans="2:14" x14ac:dyDescent="0.25">
      <c r="E42" s="261" t="s">
        <v>218</v>
      </c>
      <c r="F42" s="159">
        <f>GETPIVOTDATA("Amount",Expense!$A$6,"Categories","Telephone &amp; Internet","SubCategories","Mobile phone ")/-12</f>
        <v>25.194166666666671</v>
      </c>
      <c r="G42" s="71"/>
    </row>
    <row r="43" spans="2:14" x14ac:dyDescent="0.25">
      <c r="E43" s="3"/>
      <c r="F43" s="160"/>
      <c r="G43" s="71"/>
    </row>
    <row r="44" spans="2:14" ht="15.75" thickBot="1" x14ac:dyDescent="0.3">
      <c r="E44" s="258" t="s">
        <v>217</v>
      </c>
      <c r="F44" s="262">
        <f>GETPIVOTDATA("Amount",Expense!$A$6,"Categories","8 Denning Place ","SubCategories","Electricity &amp; Gas")/-12</f>
        <v>125.20916666666669</v>
      </c>
      <c r="G44" s="161"/>
    </row>
    <row r="45" spans="2:14" ht="15.75" thickBot="1" x14ac:dyDescent="0.3">
      <c r="E45" s="3" t="s">
        <v>44</v>
      </c>
      <c r="F45" s="158">
        <f>G88</f>
        <v>247.92766666666665</v>
      </c>
      <c r="G45" s="71"/>
    </row>
    <row r="46" spans="2:14" ht="15.75" thickBot="1" x14ac:dyDescent="0.3">
      <c r="E46" s="154" t="s">
        <v>147</v>
      </c>
      <c r="F46" s="155">
        <f>D82</f>
        <v>283.33249999999998</v>
      </c>
    </row>
    <row r="47" spans="2:14" ht="15.75" thickBot="1" x14ac:dyDescent="0.3"/>
    <row r="48" spans="2:14" ht="15.75" thickBot="1" x14ac:dyDescent="0.3">
      <c r="B48" s="286" t="s">
        <v>22</v>
      </c>
      <c r="C48" s="287"/>
      <c r="D48" s="288"/>
      <c r="E48" s="201" t="s">
        <v>12</v>
      </c>
      <c r="F48" s="199" t="s">
        <v>16</v>
      </c>
      <c r="G48" s="137" t="s">
        <v>18</v>
      </c>
      <c r="H48" s="131" t="s">
        <v>17</v>
      </c>
      <c r="I48" s="53" t="s">
        <v>191</v>
      </c>
      <c r="J48" s="53" t="s">
        <v>190</v>
      </c>
      <c r="K48" s="54" t="s">
        <v>192</v>
      </c>
      <c r="L48" s="54" t="s">
        <v>193</v>
      </c>
      <c r="M48" s="54" t="s">
        <v>194</v>
      </c>
      <c r="N48" s="55" t="s">
        <v>43</v>
      </c>
    </row>
    <row r="49" spans="2:14" x14ac:dyDescent="0.25">
      <c r="B49" s="9" t="s">
        <v>183</v>
      </c>
      <c r="C49" s="13" t="s">
        <v>234</v>
      </c>
      <c r="D49" s="23">
        <v>50000</v>
      </c>
      <c r="E49" s="200">
        <v>4.99E-2</v>
      </c>
      <c r="F49" s="133">
        <v>10</v>
      </c>
      <c r="G49" s="134">
        <f>F49*2</f>
        <v>20</v>
      </c>
      <c r="H49" s="1">
        <f t="shared" ref="H49:H57" ca="1" si="15">DATEDIF(NOW(),N49,"y")</f>
        <v>16</v>
      </c>
      <c r="I49" s="3" t="str">
        <f t="shared" ref="I49:I57" ca="1" si="16">DATEDIF(NOW(),N49,"y") &amp;" years, "&amp;DATEDIF(NOW(),N49,"ym")+1 &amp;" months"</f>
        <v>16 years, 11 months</v>
      </c>
      <c r="J49" s="3" t="str">
        <f ca="1">IF(M49&lt;TODAY(), "overdue", IF(M49&lt;=TODAY()+30, "due in 30 days", DATEDIF(TODAY(), M49, "y") &amp; " years, " &amp; DATEDIF(TODAY(), M49, "ym") &amp; " months"))</f>
        <v>1 years, 0 months</v>
      </c>
      <c r="K49" s="1" t="str">
        <f>DATEDIF(L49,M49,"y") &amp;" years, "&amp;DATEDIF(L49,M49,"ym") &amp;" months"</f>
        <v>2 years, 0 months</v>
      </c>
      <c r="L49" s="52">
        <v>45726</v>
      </c>
      <c r="M49" s="52">
        <v>46456</v>
      </c>
      <c r="N49" s="202">
        <v>52218</v>
      </c>
    </row>
    <row r="50" spans="2:14" x14ac:dyDescent="0.25">
      <c r="B50" s="3" t="s">
        <v>184</v>
      </c>
      <c r="C50" s="1" t="s">
        <v>235</v>
      </c>
      <c r="D50" s="20">
        <v>70000</v>
      </c>
      <c r="E50" s="132">
        <v>5.1499999999999997E-2</v>
      </c>
      <c r="F50" s="48">
        <v>20</v>
      </c>
      <c r="G50" s="49">
        <f>F50*2</f>
        <v>40</v>
      </c>
      <c r="H50" s="1">
        <f t="shared" ca="1" si="15"/>
        <v>19</v>
      </c>
      <c r="I50" s="3" t="str">
        <f t="shared" ca="1" si="16"/>
        <v>19 years, 10 months</v>
      </c>
      <c r="J50" s="3" t="str">
        <f t="shared" ref="J50:J57" ca="1" si="17">IF(M50&lt;TODAY(), "overdue", IF(M50&lt;=TODAY()+30, "due in 30 days", DATEDIF(TODAY(), M50, "y") &amp; " years, " &amp; DATEDIF(TODAY(), M50, "ym") &amp; " months"))</f>
        <v>due in 30 days</v>
      </c>
      <c r="K50" s="1" t="str">
        <f>DATEDIF(L50,M50,"y") &amp;" years, "&amp;DATEDIF(L50,M50,"ym") &amp;" months"</f>
        <v>1 years, 0 months</v>
      </c>
      <c r="L50" s="52">
        <v>45726</v>
      </c>
      <c r="M50" s="52">
        <v>46091</v>
      </c>
      <c r="N50" s="202">
        <v>53289</v>
      </c>
    </row>
    <row r="51" spans="2:14" x14ac:dyDescent="0.25">
      <c r="B51" s="3" t="s">
        <v>185</v>
      </c>
      <c r="C51" s="1" t="s">
        <v>236</v>
      </c>
      <c r="D51" s="20">
        <v>80000</v>
      </c>
      <c r="E51" s="21">
        <v>5.79E-2</v>
      </c>
      <c r="F51" s="48">
        <v>30</v>
      </c>
      <c r="G51" s="49">
        <f>F51*2</f>
        <v>60</v>
      </c>
      <c r="H51" s="1">
        <f t="shared" ca="1" si="15"/>
        <v>23</v>
      </c>
      <c r="I51" s="3" t="str">
        <f t="shared" ca="1" si="16"/>
        <v>23 years, 11 months</v>
      </c>
      <c r="J51" s="3" t="str">
        <f t="shared" ca="1" si="17"/>
        <v>overdue</v>
      </c>
      <c r="K51" s="1" t="str">
        <f t="shared" ref="K51:K54" si="18">DATEDIF(L51,M51,"y") &amp;" years, "&amp;DATEDIF(L51,M51,"ym") &amp;" months"</f>
        <v>0 years, 6 months</v>
      </c>
      <c r="L51" s="52">
        <v>45726</v>
      </c>
      <c r="M51" s="52">
        <v>45910</v>
      </c>
      <c r="N51" s="202">
        <v>54787</v>
      </c>
    </row>
    <row r="52" spans="2:14" x14ac:dyDescent="0.25">
      <c r="B52" s="3" t="s">
        <v>179</v>
      </c>
      <c r="C52" s="1" t="s">
        <v>239</v>
      </c>
      <c r="D52" s="20">
        <v>90000</v>
      </c>
      <c r="E52" s="21">
        <v>6.54E-2</v>
      </c>
      <c r="F52" s="48">
        <v>40</v>
      </c>
      <c r="G52" s="49">
        <f>F52*2</f>
        <v>80</v>
      </c>
      <c r="H52" s="1">
        <f t="shared" ca="1" si="15"/>
        <v>27</v>
      </c>
      <c r="I52" s="3" t="str">
        <f t="shared" ca="1" si="16"/>
        <v>27 years, 9 months</v>
      </c>
      <c r="J52" s="3" t="str">
        <f t="shared" ca="1" si="17"/>
        <v>overdue</v>
      </c>
      <c r="K52" s="1" t="str">
        <f t="shared" si="18"/>
        <v>2 years, 0 months</v>
      </c>
      <c r="L52" s="52">
        <v>45239</v>
      </c>
      <c r="M52" s="52">
        <v>45970</v>
      </c>
      <c r="N52" s="202">
        <v>56197</v>
      </c>
    </row>
    <row r="53" spans="2:14" x14ac:dyDescent="0.25">
      <c r="B53" s="14" t="s">
        <v>180</v>
      </c>
      <c r="C53" s="15" t="s">
        <v>240</v>
      </c>
      <c r="D53" s="22">
        <v>100000</v>
      </c>
      <c r="E53" s="21">
        <v>6.54E-2</v>
      </c>
      <c r="F53" s="49">
        <f>G53/2</f>
        <v>30</v>
      </c>
      <c r="G53" s="48">
        <v>60</v>
      </c>
      <c r="H53" s="1">
        <f t="shared" ca="1" si="15"/>
        <v>25</v>
      </c>
      <c r="I53" s="3" t="str">
        <f t="shared" ca="1" si="16"/>
        <v>25 years, 1 months</v>
      </c>
      <c r="J53" s="3" t="str">
        <f t="shared" ca="1" si="17"/>
        <v>due in 30 days</v>
      </c>
      <c r="K53" s="1" t="str">
        <f t="shared" si="18"/>
        <v>2 years, 0 months</v>
      </c>
      <c r="L53" s="52">
        <v>45337</v>
      </c>
      <c r="M53" s="52">
        <v>46068</v>
      </c>
      <c r="N53" s="202">
        <v>55198</v>
      </c>
    </row>
    <row r="54" spans="2:14" x14ac:dyDescent="0.25">
      <c r="B54" s="14" t="s">
        <v>181</v>
      </c>
      <c r="C54" s="15" t="s">
        <v>241</v>
      </c>
      <c r="D54" s="22">
        <v>60000</v>
      </c>
      <c r="E54" s="21">
        <v>6.54E-2</v>
      </c>
      <c r="F54" s="49">
        <f>G54/2</f>
        <v>45</v>
      </c>
      <c r="G54" s="48">
        <v>90</v>
      </c>
      <c r="H54" s="1">
        <f t="shared" ca="1" si="15"/>
        <v>25</v>
      </c>
      <c r="I54" s="3" t="str">
        <f t="shared" ca="1" si="16"/>
        <v>25 years, 1 months</v>
      </c>
      <c r="J54" s="3" t="str">
        <f t="shared" ca="1" si="17"/>
        <v>due in 30 days</v>
      </c>
      <c r="K54" s="1" t="str">
        <f t="shared" si="18"/>
        <v>2 years, 0 months</v>
      </c>
      <c r="L54" s="52">
        <v>45337</v>
      </c>
      <c r="M54" s="52">
        <v>46068</v>
      </c>
      <c r="N54" s="202">
        <v>55198</v>
      </c>
    </row>
    <row r="55" spans="2:14" x14ac:dyDescent="0.25">
      <c r="B55" s="14" t="s">
        <v>182</v>
      </c>
      <c r="C55" s="15" t="s">
        <v>242</v>
      </c>
      <c r="D55" s="22">
        <v>40000</v>
      </c>
      <c r="E55" s="21">
        <v>6.6400000000000001E-2</v>
      </c>
      <c r="F55" s="49">
        <f>G55/2</f>
        <v>60</v>
      </c>
      <c r="G55" s="48">
        <v>120</v>
      </c>
      <c r="H55" s="1">
        <f t="shared" ca="1" si="15"/>
        <v>26</v>
      </c>
      <c r="I55" s="3" t="str">
        <f t="shared" ca="1" si="16"/>
        <v>26 years, 5 months</v>
      </c>
      <c r="J55" s="3" t="str">
        <f t="shared" ca="1" si="17"/>
        <v>overdue</v>
      </c>
      <c r="K55" s="1" t="str">
        <f t="shared" ref="K55" si="19">DATEDIF(L55,M55,"y") &amp;" years, "&amp;DATEDIF(L55,M55,"ym") &amp;" months"</f>
        <v>1 years, 0 months</v>
      </c>
      <c r="L55" s="52">
        <v>45479</v>
      </c>
      <c r="M55" s="195">
        <v>45845</v>
      </c>
      <c r="N55" s="202">
        <v>55706</v>
      </c>
    </row>
    <row r="56" spans="2:14" x14ac:dyDescent="0.25">
      <c r="B56" s="14" t="s">
        <v>178</v>
      </c>
      <c r="C56" s="15" t="s">
        <v>243</v>
      </c>
      <c r="D56" s="22">
        <v>30000</v>
      </c>
      <c r="E56" s="21">
        <v>5.7500000000000002E-2</v>
      </c>
      <c r="F56" s="49">
        <f>G56/2</f>
        <v>75</v>
      </c>
      <c r="G56" s="48">
        <v>150</v>
      </c>
      <c r="H56" s="1">
        <f t="shared" ca="1" si="15"/>
        <v>29</v>
      </c>
      <c r="I56" s="3" t="str">
        <f t="shared" ca="1" si="16"/>
        <v>29 years, 2 months</v>
      </c>
      <c r="J56" s="3" t="str">
        <f t="shared" ca="1" si="17"/>
        <v>0 years, 1 months</v>
      </c>
      <c r="K56" s="1" t="str">
        <f t="shared" ref="K56" si="20">DATEDIF(L56,M56,"y") &amp;" years, "&amp;DATEDIF(L56,M56,"ym") &amp;" months"</f>
        <v>1 years, 0 months</v>
      </c>
      <c r="L56" s="52">
        <v>45750</v>
      </c>
      <c r="M56" s="195">
        <v>46115</v>
      </c>
      <c r="N56" s="202">
        <v>56707</v>
      </c>
    </row>
    <row r="57" spans="2:14" x14ac:dyDescent="0.25">
      <c r="B57" s="14" t="s">
        <v>177</v>
      </c>
      <c r="C57" s="15" t="s">
        <v>244</v>
      </c>
      <c r="D57" s="22">
        <v>30000</v>
      </c>
      <c r="E57" s="21">
        <v>5.7500000000000002E-2</v>
      </c>
      <c r="F57" s="49">
        <f>G57/2</f>
        <v>25</v>
      </c>
      <c r="G57" s="48">
        <v>50</v>
      </c>
      <c r="H57" s="1">
        <f t="shared" ca="1" si="15"/>
        <v>29</v>
      </c>
      <c r="I57" s="3" t="str">
        <f t="shared" ca="1" si="16"/>
        <v>29 years, 2 months</v>
      </c>
      <c r="J57" s="3" t="str">
        <f t="shared" ca="1" si="17"/>
        <v>0 years, 1 months</v>
      </c>
      <c r="K57" s="1" t="str">
        <f t="shared" ref="K57" si="21">DATEDIF(L57,M57,"y") &amp;" years, "&amp;DATEDIF(L57,M57,"ym") &amp;" months"</f>
        <v>1 years, 0 months</v>
      </c>
      <c r="L57" s="52">
        <v>45750</v>
      </c>
      <c r="M57" s="195">
        <v>46115</v>
      </c>
      <c r="N57" s="202">
        <v>56707</v>
      </c>
    </row>
    <row r="58" spans="2:14" ht="15.75" thickBot="1" x14ac:dyDescent="0.3">
      <c r="B58" s="33" t="s">
        <v>11</v>
      </c>
      <c r="C58" s="34"/>
      <c r="D58" s="35">
        <f>SUM(D49:D57)</f>
        <v>550000</v>
      </c>
      <c r="E58" s="36"/>
      <c r="F58" s="59">
        <f>SUM(F49:F57)</f>
        <v>335</v>
      </c>
      <c r="G58" s="59">
        <f>SUM(G49:G57)</f>
        <v>670</v>
      </c>
      <c r="H58" s="51"/>
      <c r="I58" s="56"/>
      <c r="J58" s="56"/>
      <c r="K58" s="57"/>
      <c r="L58" s="57"/>
      <c r="M58" s="57"/>
      <c r="N58" s="58"/>
    </row>
    <row r="59" spans="2:14" x14ac:dyDescent="0.25">
      <c r="F59" s="87"/>
    </row>
    <row r="60" spans="2:14" ht="15.75" thickBot="1" x14ac:dyDescent="0.3">
      <c r="E60" s="60"/>
      <c r="G60" s="61"/>
      <c r="H60" s="62"/>
      <c r="J60" s="62"/>
      <c r="K60" s="62"/>
    </row>
    <row r="61" spans="2:14" ht="15.75" thickBot="1" x14ac:dyDescent="0.3">
      <c r="B61" s="286" t="s">
        <v>54</v>
      </c>
      <c r="C61" s="287"/>
      <c r="D61" s="288"/>
      <c r="E61" s="135" t="s">
        <v>197</v>
      </c>
      <c r="F61" s="136" t="s">
        <v>56</v>
      </c>
      <c r="G61" s="136" t="s">
        <v>57</v>
      </c>
      <c r="H61" s="209" t="s">
        <v>198</v>
      </c>
      <c r="I61" s="135" t="s">
        <v>62</v>
      </c>
      <c r="J61" s="136" t="s">
        <v>63</v>
      </c>
      <c r="K61" s="135" t="s">
        <v>195</v>
      </c>
      <c r="L61" s="136" t="s">
        <v>193</v>
      </c>
      <c r="M61" s="137" t="s">
        <v>43</v>
      </c>
    </row>
    <row r="62" spans="2:14" x14ac:dyDescent="0.25">
      <c r="B62" s="203" t="s">
        <v>55</v>
      </c>
      <c r="C62" s="204" t="str">
        <f>B18</f>
        <v>Car</v>
      </c>
      <c r="D62" s="205" t="s">
        <v>245</v>
      </c>
      <c r="E62" s="133">
        <v>50</v>
      </c>
      <c r="F62" s="134">
        <f>E62/12</f>
        <v>4.166666666666667</v>
      </c>
      <c r="G62" s="134">
        <v>100</v>
      </c>
      <c r="H62" s="134">
        <v>50000</v>
      </c>
      <c r="I62" s="203" t="s">
        <v>65</v>
      </c>
      <c r="J62" s="206" t="s">
        <v>66</v>
      </c>
      <c r="K62" s="203" t="str">
        <f ca="1">IF(M62&lt;TODAY(), "overdue", IF(M62&lt;=TODAY()+30, "due in 30 days", DATEDIF(TODAY(), M62, "y") &amp; " years, " &amp; DATEDIF(TODAY(), M62, "ym") &amp; " months"))</f>
        <v>overdue</v>
      </c>
      <c r="L62" s="207">
        <v>45541</v>
      </c>
      <c r="M62" s="208">
        <v>45906</v>
      </c>
    </row>
    <row r="63" spans="2:14" x14ac:dyDescent="0.25">
      <c r="B63" s="3" t="s">
        <v>58</v>
      </c>
      <c r="C63" s="1" t="str">
        <f>B8</f>
        <v>Property4</v>
      </c>
      <c r="D63" s="64" t="s">
        <v>246</v>
      </c>
      <c r="E63" s="49">
        <f>F63*12</f>
        <v>240</v>
      </c>
      <c r="F63" s="48">
        <v>20</v>
      </c>
      <c r="G63" s="49">
        <v>110</v>
      </c>
      <c r="H63" s="49">
        <v>100000</v>
      </c>
      <c r="I63" s="3" t="s">
        <v>47</v>
      </c>
      <c r="J63" s="1" t="s">
        <v>64</v>
      </c>
      <c r="K63" s="3" t="str">
        <f t="shared" ref="K63:K68" ca="1" si="22">IF(M63&lt;TODAY(), "overdue", IF(M63&lt;=TODAY()+30, "due in 30 days", DATEDIF(TODAY(), M63, "y") &amp; " years, " &amp; DATEDIF(TODAY(), M63, "ym") &amp; " months"))</f>
        <v>overdue</v>
      </c>
      <c r="L63" s="52">
        <v>45700</v>
      </c>
      <c r="M63" s="202">
        <v>46065</v>
      </c>
    </row>
    <row r="64" spans="2:14" x14ac:dyDescent="0.25">
      <c r="B64" s="3" t="s">
        <v>59</v>
      </c>
      <c r="C64" s="1" t="str">
        <f>B8</f>
        <v>Property4</v>
      </c>
      <c r="D64" s="64" t="s">
        <v>247</v>
      </c>
      <c r="E64" s="49">
        <f t="shared" ref="E64:E69" si="23">F64*12</f>
        <v>360</v>
      </c>
      <c r="F64" s="48">
        <v>30</v>
      </c>
      <c r="G64" s="49">
        <v>120</v>
      </c>
      <c r="H64" s="49">
        <v>20000</v>
      </c>
      <c r="I64" s="3" t="s">
        <v>47</v>
      </c>
      <c r="J64" s="1" t="s">
        <v>67</v>
      </c>
      <c r="K64" s="3" t="str">
        <f t="shared" ca="1" si="22"/>
        <v>0 years, 1 months</v>
      </c>
      <c r="L64" s="52">
        <v>45760</v>
      </c>
      <c r="M64" s="202">
        <v>46125</v>
      </c>
    </row>
    <row r="65" spans="2:13" x14ac:dyDescent="0.25">
      <c r="B65" s="3" t="s">
        <v>60</v>
      </c>
      <c r="C65" s="1" t="str">
        <f>B7</f>
        <v>Property3</v>
      </c>
      <c r="D65" s="64" t="s">
        <v>248</v>
      </c>
      <c r="E65" s="49">
        <f t="shared" si="23"/>
        <v>480</v>
      </c>
      <c r="F65" s="48">
        <v>40</v>
      </c>
      <c r="G65" s="49">
        <v>130</v>
      </c>
      <c r="H65" s="49">
        <v>200000</v>
      </c>
      <c r="I65" s="3" t="s">
        <v>47</v>
      </c>
      <c r="J65" s="1" t="s">
        <v>64</v>
      </c>
      <c r="K65" s="3" t="str">
        <f ca="1">IF(M65&lt;TODAY(), "overdue", IF(M65&lt;=TODAY()+30, "due in 30 days", DATEDIF(TODAY(), M65, "y") &amp; " years, " &amp; DATEDIF(TODAY(), M65, "ym") &amp; " months"))</f>
        <v>due in 30 days</v>
      </c>
      <c r="L65" s="52">
        <v>45720</v>
      </c>
      <c r="M65" s="202">
        <v>46085</v>
      </c>
    </row>
    <row r="66" spans="2:13" x14ac:dyDescent="0.25">
      <c r="B66" s="3" t="s">
        <v>60</v>
      </c>
      <c r="C66" s="1" t="str">
        <f>B6</f>
        <v>Propert2</v>
      </c>
      <c r="D66" s="65" t="s">
        <v>249</v>
      </c>
      <c r="E66" s="49">
        <f t="shared" si="23"/>
        <v>600</v>
      </c>
      <c r="F66" s="48">
        <v>50</v>
      </c>
      <c r="G66" s="49">
        <v>140</v>
      </c>
      <c r="H66" s="49">
        <v>250000</v>
      </c>
      <c r="I66" s="3" t="s">
        <v>47</v>
      </c>
      <c r="J66" s="1" t="s">
        <v>64</v>
      </c>
      <c r="K66" s="3" t="str">
        <f t="shared" ca="1" si="22"/>
        <v>overdue</v>
      </c>
      <c r="L66" s="52">
        <v>45446</v>
      </c>
      <c r="M66" s="202">
        <v>45811</v>
      </c>
    </row>
    <row r="67" spans="2:13" x14ac:dyDescent="0.25">
      <c r="B67" s="3" t="s">
        <v>60</v>
      </c>
      <c r="C67" s="1" t="str">
        <f>B5</f>
        <v>Property1</v>
      </c>
      <c r="D67" s="65" t="s">
        <v>250</v>
      </c>
      <c r="E67" s="49">
        <f t="shared" si="23"/>
        <v>720</v>
      </c>
      <c r="F67" s="48">
        <v>60</v>
      </c>
      <c r="G67" s="49">
        <v>150</v>
      </c>
      <c r="H67" s="49">
        <v>270000</v>
      </c>
      <c r="I67" s="3" t="s">
        <v>47</v>
      </c>
      <c r="J67" s="1" t="s">
        <v>186</v>
      </c>
      <c r="K67" s="3" t="str">
        <f ca="1">IF(M67&lt;TODAY(), "overdue", IF(M67&lt;=TODAY()+30, "due in 30 days", DATEDIF(TODAY(), M67, "y") &amp; " years, " &amp; DATEDIF(TODAY(), M67, "ym") &amp; " months"))</f>
        <v>0 years, 1 months</v>
      </c>
      <c r="L67" s="52">
        <v>45750</v>
      </c>
      <c r="M67" s="202">
        <v>46115</v>
      </c>
    </row>
    <row r="68" spans="2:13" x14ac:dyDescent="0.25">
      <c r="B68" s="14" t="s">
        <v>61</v>
      </c>
      <c r="C68" s="15" t="s">
        <v>254</v>
      </c>
      <c r="D68" s="65" t="s">
        <v>251</v>
      </c>
      <c r="E68" s="49">
        <f t="shared" si="23"/>
        <v>840</v>
      </c>
      <c r="F68" s="48">
        <v>70</v>
      </c>
      <c r="G68" s="49">
        <v>0</v>
      </c>
      <c r="H68" s="49">
        <v>280000</v>
      </c>
      <c r="I68" s="3" t="s">
        <v>47</v>
      </c>
      <c r="J68" s="1" t="s">
        <v>68</v>
      </c>
      <c r="K68" s="3" t="str">
        <f t="shared" ca="1" si="22"/>
        <v>0 years, 2 months</v>
      </c>
      <c r="L68" s="52">
        <v>45790</v>
      </c>
      <c r="M68" s="202">
        <v>46154</v>
      </c>
    </row>
    <row r="69" spans="2:13" x14ac:dyDescent="0.25">
      <c r="B69" s="14" t="s">
        <v>139</v>
      </c>
      <c r="C69" s="15" t="s">
        <v>253</v>
      </c>
      <c r="D69" s="65" t="s">
        <v>252</v>
      </c>
      <c r="E69" s="49">
        <f t="shared" si="23"/>
        <v>480</v>
      </c>
      <c r="F69" s="48">
        <v>40</v>
      </c>
      <c r="G69" s="49">
        <v>160</v>
      </c>
      <c r="H69" s="49" t="s">
        <v>140</v>
      </c>
      <c r="I69" s="3" t="s">
        <v>47</v>
      </c>
      <c r="J69" s="1" t="s">
        <v>141</v>
      </c>
      <c r="K69" s="3" t="str">
        <f ca="1">IF(M69&lt;TODAY(), "overdue", IF(M69&lt;=TODAY()+30, "due in 30 days", DATEDIF(TODAY(), M69, "y") &amp; " years, " &amp; DATEDIF(TODAY(), M69, "ym") &amp; " months"))</f>
        <v>overdue</v>
      </c>
      <c r="L69" s="52">
        <v>45597</v>
      </c>
      <c r="M69" s="202">
        <v>45962</v>
      </c>
    </row>
    <row r="70" spans="2:13" ht="15.75" thickBot="1" x14ac:dyDescent="0.3">
      <c r="B70" s="33" t="s">
        <v>11</v>
      </c>
      <c r="C70" s="34"/>
      <c r="D70" s="35"/>
      <c r="E70" s="59">
        <f>SUM(E62:E69)</f>
        <v>3770</v>
      </c>
      <c r="F70" s="59">
        <f>SUM(F62:F69)</f>
        <v>314.16666666666669</v>
      </c>
      <c r="G70" s="59"/>
      <c r="H70" s="51"/>
      <c r="I70" s="56"/>
      <c r="J70" s="57"/>
      <c r="K70" s="57"/>
      <c r="L70" s="57"/>
      <c r="M70" s="58"/>
    </row>
    <row r="71" spans="2:13" ht="15.75" thickBot="1" x14ac:dyDescent="0.3"/>
    <row r="72" spans="2:13" ht="15.75" thickBot="1" x14ac:dyDescent="0.3">
      <c r="B72" s="286" t="s">
        <v>196</v>
      </c>
      <c r="C72" s="287"/>
      <c r="D72" s="288"/>
      <c r="E72" s="135" t="s">
        <v>197</v>
      </c>
      <c r="F72" s="136" t="s">
        <v>56</v>
      </c>
      <c r="G72" s="135" t="s">
        <v>69</v>
      </c>
      <c r="H72" s="136" t="s">
        <v>63</v>
      </c>
      <c r="I72" s="201" t="s">
        <v>62</v>
      </c>
    </row>
    <row r="73" spans="2:13" x14ac:dyDescent="0.25">
      <c r="B73" s="203" t="str">
        <f>B8</f>
        <v>Property4</v>
      </c>
      <c r="C73" s="206" t="s">
        <v>187</v>
      </c>
      <c r="D73" s="205" t="s">
        <v>259</v>
      </c>
      <c r="E73" s="134">
        <v>3000</v>
      </c>
      <c r="F73" s="134">
        <f>E73/12</f>
        <v>250</v>
      </c>
      <c r="G73" s="133">
        <f>E73/4</f>
        <v>750</v>
      </c>
      <c r="H73" s="206" t="s">
        <v>188</v>
      </c>
      <c r="I73" s="210" t="s">
        <v>70</v>
      </c>
    </row>
    <row r="74" spans="2:13" x14ac:dyDescent="0.25">
      <c r="B74" s="3" t="str">
        <f>B7</f>
        <v>Property3</v>
      </c>
      <c r="C74" s="1" t="s">
        <v>187</v>
      </c>
      <c r="D74" s="64" t="s">
        <v>260</v>
      </c>
      <c r="E74" s="49">
        <v>3500</v>
      </c>
      <c r="F74" s="49">
        <f>E74/12</f>
        <v>291.66666666666669</v>
      </c>
      <c r="G74" s="48">
        <f t="shared" ref="G74:G75" si="24">E74/4</f>
        <v>875</v>
      </c>
      <c r="H74" s="1" t="s">
        <v>188</v>
      </c>
      <c r="I74" s="71" t="s">
        <v>70</v>
      </c>
    </row>
    <row r="75" spans="2:13" x14ac:dyDescent="0.25">
      <c r="B75" s="3" t="str">
        <f>B6</f>
        <v>Propert2</v>
      </c>
      <c r="C75" s="1" t="s">
        <v>187</v>
      </c>
      <c r="D75" s="65" t="s">
        <v>261</v>
      </c>
      <c r="E75" s="49">
        <v>2000</v>
      </c>
      <c r="F75" s="49">
        <f>E75/12</f>
        <v>166.66666666666666</v>
      </c>
      <c r="G75" s="48">
        <f t="shared" si="24"/>
        <v>500</v>
      </c>
      <c r="H75" s="1" t="s">
        <v>188</v>
      </c>
      <c r="I75" s="71" t="s">
        <v>70</v>
      </c>
    </row>
    <row r="76" spans="2:13" x14ac:dyDescent="0.25">
      <c r="B76" s="3" t="str">
        <f>B5</f>
        <v>Property1</v>
      </c>
      <c r="C76" s="1" t="s">
        <v>187</v>
      </c>
      <c r="D76" s="197"/>
      <c r="E76" s="49">
        <v>2000</v>
      </c>
      <c r="F76" s="49">
        <f>E76/12</f>
        <v>166.66666666666666</v>
      </c>
      <c r="G76" s="48">
        <f t="shared" ref="G76" si="25">E76/4</f>
        <v>500</v>
      </c>
      <c r="H76" s="1" t="s">
        <v>189</v>
      </c>
      <c r="I76" s="71" t="s">
        <v>70</v>
      </c>
    </row>
    <row r="77" spans="2:13" ht="15.75" thickBot="1" x14ac:dyDescent="0.3">
      <c r="B77" s="33" t="s">
        <v>11</v>
      </c>
      <c r="C77" s="34"/>
      <c r="D77" s="35"/>
      <c r="E77" s="59">
        <f>SUM(E73:E76)</f>
        <v>10500</v>
      </c>
      <c r="F77" s="59">
        <f>SUM(F73:F76)</f>
        <v>875</v>
      </c>
      <c r="G77" s="59">
        <f>SUM(G73:G76)</f>
        <v>2625</v>
      </c>
      <c r="H77" s="57"/>
      <c r="I77" s="72"/>
    </row>
    <row r="78" spans="2:13" ht="15.75" thickBot="1" x14ac:dyDescent="0.3"/>
    <row r="79" spans="2:13" x14ac:dyDescent="0.25">
      <c r="B79" s="53" t="s">
        <v>71</v>
      </c>
      <c r="C79" s="54" t="s">
        <v>74</v>
      </c>
      <c r="D79" s="54" t="s">
        <v>75</v>
      </c>
      <c r="E79" s="54" t="s">
        <v>76</v>
      </c>
      <c r="F79" s="54" t="s">
        <v>77</v>
      </c>
      <c r="G79" s="54" t="s">
        <v>78</v>
      </c>
      <c r="H79" s="54" t="s">
        <v>81</v>
      </c>
      <c r="I79" s="54" t="s">
        <v>82</v>
      </c>
      <c r="J79" s="54" t="s">
        <v>83</v>
      </c>
      <c r="K79" s="55" t="s">
        <v>63</v>
      </c>
    </row>
    <row r="80" spans="2:13" x14ac:dyDescent="0.25">
      <c r="B80" s="3" t="s">
        <v>72</v>
      </c>
      <c r="C80" s="49">
        <v>48750</v>
      </c>
      <c r="D80" s="49">
        <v>162.5</v>
      </c>
      <c r="E80" s="49">
        <v>53.157499999999999</v>
      </c>
      <c r="F80" s="49">
        <v>1148.49</v>
      </c>
      <c r="G80" s="49">
        <f>((C80)/12-D80-E80-F80)*12</f>
        <v>32380.23</v>
      </c>
      <c r="H80" s="49">
        <f>G80/12</f>
        <v>2698.3525</v>
      </c>
      <c r="I80" s="49">
        <f>G80/26</f>
        <v>1245.3934615384615</v>
      </c>
      <c r="J80" s="48">
        <f>G80/52</f>
        <v>622.69673076923073</v>
      </c>
      <c r="K80" s="4" t="s">
        <v>79</v>
      </c>
    </row>
    <row r="81" spans="1:13" x14ac:dyDescent="0.25">
      <c r="B81" s="3" t="s">
        <v>73</v>
      </c>
      <c r="C81" s="49">
        <v>36250</v>
      </c>
      <c r="D81" s="49">
        <v>120.8325</v>
      </c>
      <c r="E81" s="49">
        <v>50.447499999999998</v>
      </c>
      <c r="F81" s="49">
        <v>785.99</v>
      </c>
      <c r="G81" s="49">
        <f>((C81)/12-D81-E81-F81)*12</f>
        <v>24762.760000000002</v>
      </c>
      <c r="H81" s="49">
        <f>G81/12</f>
        <v>2063.5633333333335</v>
      </c>
      <c r="I81" s="48">
        <f>G81/26</f>
        <v>952.41384615384618</v>
      </c>
      <c r="J81" s="49">
        <f>G81/52</f>
        <v>476.20692307692309</v>
      </c>
      <c r="K81" s="4" t="s">
        <v>80</v>
      </c>
    </row>
    <row r="82" spans="1:13" ht="15.75" thickBot="1" x14ac:dyDescent="0.3">
      <c r="B82" s="33" t="s">
        <v>11</v>
      </c>
      <c r="C82" s="77">
        <f t="shared" ref="C82:J82" si="26">SUM(C80:C81)</f>
        <v>85000</v>
      </c>
      <c r="D82" s="77">
        <f t="shared" si="26"/>
        <v>283.33249999999998</v>
      </c>
      <c r="E82" s="77">
        <f t="shared" si="26"/>
        <v>103.60499999999999</v>
      </c>
      <c r="F82" s="77">
        <f t="shared" si="26"/>
        <v>1934.48</v>
      </c>
      <c r="G82" s="77">
        <f t="shared" si="26"/>
        <v>57142.990000000005</v>
      </c>
      <c r="H82" s="77">
        <f t="shared" si="26"/>
        <v>4761.9158333333335</v>
      </c>
      <c r="I82" s="77">
        <f t="shared" si="26"/>
        <v>2197.8073076923074</v>
      </c>
      <c r="J82" s="77">
        <f t="shared" si="26"/>
        <v>1098.9036538461537</v>
      </c>
      <c r="K82" s="58"/>
    </row>
    <row r="83" spans="1:13" ht="15.75" thickBot="1" x14ac:dyDescent="0.3"/>
    <row r="84" spans="1:13" ht="15.75" thickBot="1" x14ac:dyDescent="0.3">
      <c r="B84" s="286" t="s">
        <v>84</v>
      </c>
      <c r="C84" s="287"/>
      <c r="D84" s="198"/>
      <c r="E84" s="24" t="s">
        <v>85</v>
      </c>
      <c r="F84" s="53" t="s">
        <v>69</v>
      </c>
      <c r="G84" s="53" t="s">
        <v>56</v>
      </c>
      <c r="H84" s="54" t="s">
        <v>63</v>
      </c>
      <c r="I84" s="70" t="s">
        <v>62</v>
      </c>
    </row>
    <row r="85" spans="1:13" x14ac:dyDescent="0.25">
      <c r="A85" s="196"/>
      <c r="B85" s="3" t="str">
        <f>B5</f>
        <v>Property1</v>
      </c>
      <c r="C85" s="1" t="s">
        <v>175</v>
      </c>
      <c r="D85" s="64"/>
      <c r="E85" s="49"/>
      <c r="F85" s="48"/>
      <c r="G85" s="49">
        <f>E85/12</f>
        <v>0</v>
      </c>
      <c r="H85" s="1"/>
      <c r="I85" s="71" t="s">
        <v>70</v>
      </c>
    </row>
    <row r="86" spans="1:13" x14ac:dyDescent="0.25">
      <c r="B86" s="3" t="str">
        <f>B7</f>
        <v>Property3</v>
      </c>
      <c r="C86" s="1" t="s">
        <v>72</v>
      </c>
      <c r="D86" s="64"/>
      <c r="E86" s="49">
        <v>1353.192</v>
      </c>
      <c r="F86" s="48">
        <v>338.298</v>
      </c>
      <c r="G86" s="49">
        <f>E86/12</f>
        <v>112.76600000000001</v>
      </c>
      <c r="H86" s="1"/>
      <c r="I86" s="71" t="s">
        <v>70</v>
      </c>
    </row>
    <row r="87" spans="1:13" x14ac:dyDescent="0.25">
      <c r="B87" s="3" t="str">
        <f>B6</f>
        <v>Propert2</v>
      </c>
      <c r="C87" s="1" t="s">
        <v>73</v>
      </c>
      <c r="D87" s="65"/>
      <c r="E87" s="49">
        <v>1621.94</v>
      </c>
      <c r="F87" s="48">
        <v>405.48500000000001</v>
      </c>
      <c r="G87" s="49">
        <f>E87/12</f>
        <v>135.16166666666666</v>
      </c>
      <c r="H87" s="1"/>
      <c r="I87" s="71" t="s">
        <v>70</v>
      </c>
    </row>
    <row r="88" spans="1:13" ht="15.75" thickBot="1" x14ac:dyDescent="0.3">
      <c r="B88" s="33" t="s">
        <v>11</v>
      </c>
      <c r="C88" s="34"/>
      <c r="D88" s="35"/>
      <c r="E88" s="59">
        <f>SUM(E85:E87)</f>
        <v>2975.1320000000001</v>
      </c>
      <c r="F88" s="59">
        <f>SUM(F85:F87)</f>
        <v>743.78300000000002</v>
      </c>
      <c r="G88" s="59">
        <f>SUM(G85:G87)</f>
        <v>247.92766666666665</v>
      </c>
      <c r="H88" s="57"/>
      <c r="I88" s="72"/>
    </row>
    <row r="89" spans="1:13" ht="15.75" thickBot="1" x14ac:dyDescent="0.3"/>
    <row r="90" spans="1:13" x14ac:dyDescent="0.25">
      <c r="B90" s="53" t="s">
        <v>108</v>
      </c>
      <c r="C90" s="54" t="s">
        <v>74</v>
      </c>
      <c r="D90" s="54" t="s">
        <v>109</v>
      </c>
      <c r="E90" s="54" t="s">
        <v>76</v>
      </c>
      <c r="F90" s="54" t="s">
        <v>77</v>
      </c>
      <c r="G90" s="54" t="s">
        <v>78</v>
      </c>
      <c r="H90" s="54" t="s">
        <v>81</v>
      </c>
      <c r="I90" s="54" t="s">
        <v>82</v>
      </c>
      <c r="J90" s="54" t="s">
        <v>83</v>
      </c>
      <c r="K90" s="54" t="s">
        <v>110</v>
      </c>
      <c r="L90" s="54" t="s">
        <v>111</v>
      </c>
      <c r="M90" s="55" t="s">
        <v>63</v>
      </c>
    </row>
    <row r="91" spans="1:13" x14ac:dyDescent="0.25">
      <c r="A91" s="196"/>
      <c r="B91" s="3" t="str">
        <f>B5</f>
        <v>Property1</v>
      </c>
      <c r="C91" s="49">
        <v>0</v>
      </c>
      <c r="D91" s="49">
        <f>C91/12</f>
        <v>0</v>
      </c>
      <c r="E91" s="49">
        <v>0</v>
      </c>
      <c r="F91" s="49">
        <v>0</v>
      </c>
      <c r="G91" s="49">
        <f>((C91)/12-E91-F91)*12</f>
        <v>0</v>
      </c>
      <c r="H91" s="49">
        <f>G91/12</f>
        <v>0</v>
      </c>
      <c r="I91" s="49">
        <f>G91/26</f>
        <v>0</v>
      </c>
      <c r="J91" s="49">
        <f>G91/52</f>
        <v>0</v>
      </c>
      <c r="K91" s="48">
        <f>C91/26</f>
        <v>0</v>
      </c>
      <c r="L91" s="49">
        <f>C91/52</f>
        <v>0</v>
      </c>
      <c r="M91" s="4" t="s">
        <v>80</v>
      </c>
    </row>
    <row r="92" spans="1:13" x14ac:dyDescent="0.25">
      <c r="B92" s="3" t="str">
        <f>B7</f>
        <v>Property3</v>
      </c>
      <c r="C92" s="49">
        <v>9706.6666666666661</v>
      </c>
      <c r="D92" s="49">
        <v>808.88888888888891</v>
      </c>
      <c r="E92" s="49">
        <v>13.509333333333332</v>
      </c>
      <c r="F92" s="49">
        <v>105.73333333333333</v>
      </c>
      <c r="G92" s="49">
        <f>((C92)/12-E92-F92)*12</f>
        <v>8275.7546666666658</v>
      </c>
      <c r="H92" s="49">
        <f>G92/12</f>
        <v>689.64622222222215</v>
      </c>
      <c r="I92" s="49">
        <f>G92/26</f>
        <v>318.29825641025639</v>
      </c>
      <c r="J92" s="49">
        <f>G92/52</f>
        <v>159.14912820512819</v>
      </c>
      <c r="K92" s="48">
        <f>C92/26</f>
        <v>373.33333333333331</v>
      </c>
      <c r="L92" s="49">
        <f>C92/52</f>
        <v>186.66666666666666</v>
      </c>
      <c r="M92" s="4" t="s">
        <v>80</v>
      </c>
    </row>
    <row r="93" spans="1:13" x14ac:dyDescent="0.25">
      <c r="B93" s="3" t="str">
        <f>B6</f>
        <v>Propert2</v>
      </c>
      <c r="C93" s="49">
        <v>15789.473684210525</v>
      </c>
      <c r="D93" s="49">
        <v>1315.7894736842104</v>
      </c>
      <c r="E93" s="49">
        <v>21.97570850202429</v>
      </c>
      <c r="F93" s="49">
        <v>175.87854251012146</v>
      </c>
      <c r="G93" s="49">
        <f>((C93)/12-E93-F93)*12</f>
        <v>13415.222672064778</v>
      </c>
      <c r="H93" s="49">
        <f>G93/12</f>
        <v>1117.9352226720648</v>
      </c>
      <c r="I93" s="49">
        <f>G93/26</f>
        <v>515.97010277172217</v>
      </c>
      <c r="J93" s="49">
        <f>G93/52</f>
        <v>257.98505138586108</v>
      </c>
      <c r="K93" s="48">
        <f>C93/26</f>
        <v>607.28744939271246</v>
      </c>
      <c r="L93" s="49">
        <f>C93/52</f>
        <v>303.64372469635623</v>
      </c>
      <c r="M93" s="4" t="s">
        <v>80</v>
      </c>
    </row>
    <row r="94" spans="1:13" ht="15.75" thickBot="1" x14ac:dyDescent="0.3">
      <c r="B94" s="33" t="s">
        <v>11</v>
      </c>
      <c r="C94" s="77">
        <f t="shared" ref="C94:L94" si="27">SUM(C91:C93)</f>
        <v>25496.140350877191</v>
      </c>
      <c r="D94" s="77">
        <f t="shared" si="27"/>
        <v>2124.6783625730995</v>
      </c>
      <c r="E94" s="77">
        <f t="shared" si="27"/>
        <v>35.48504183535762</v>
      </c>
      <c r="F94" s="77">
        <f t="shared" si="27"/>
        <v>281.61187584345481</v>
      </c>
      <c r="G94" s="77">
        <f t="shared" si="27"/>
        <v>21690.977338731442</v>
      </c>
      <c r="H94" s="77">
        <f t="shared" si="27"/>
        <v>1807.581444894287</v>
      </c>
      <c r="I94" s="77">
        <f t="shared" si="27"/>
        <v>834.26835918197855</v>
      </c>
      <c r="J94" s="77">
        <f t="shared" si="27"/>
        <v>417.13417959098928</v>
      </c>
      <c r="K94" s="77">
        <f t="shared" si="27"/>
        <v>980.62078272604572</v>
      </c>
      <c r="L94" s="77">
        <f t="shared" si="27"/>
        <v>490.31039136302286</v>
      </c>
      <c r="M94" s="58"/>
    </row>
  </sheetData>
  <mergeCells count="21">
    <mergeCell ref="B84:C84"/>
    <mergeCell ref="O2:P3"/>
    <mergeCell ref="S2:T3"/>
    <mergeCell ref="B61:D61"/>
    <mergeCell ref="B72:D72"/>
    <mergeCell ref="B48:D48"/>
    <mergeCell ref="M2:N3"/>
    <mergeCell ref="G2:G4"/>
    <mergeCell ref="B2:B4"/>
    <mergeCell ref="C2:C4"/>
    <mergeCell ref="D2:D4"/>
    <mergeCell ref="E2:E4"/>
    <mergeCell ref="F2:F4"/>
    <mergeCell ref="H2:H4"/>
    <mergeCell ref="I2:J3"/>
    <mergeCell ref="K2:L3"/>
    <mergeCell ref="AA2:AB3"/>
    <mergeCell ref="U2:V3"/>
    <mergeCell ref="W2:X3"/>
    <mergeCell ref="Y2:Z3"/>
    <mergeCell ref="Q2:R3"/>
  </mergeCells>
  <conditionalFormatting sqref="C10:H10">
    <cfRule type="cellIs" dxfId="2086" priority="1" operator="equal">
      <formula>0</formula>
    </cfRule>
  </conditionalFormatting>
  <conditionalFormatting sqref="J49:J57">
    <cfRule type="containsText" dxfId="2085" priority="3" operator="containsText" text="due in 30 days">
      <formula>NOT(ISERROR(SEARCH("due in 30 days",J49)))</formula>
    </cfRule>
    <cfRule type="containsText" dxfId="2084" priority="4" operator="containsText" text="overdue">
      <formula>NOT(ISERROR(SEARCH("overdue",J49)))</formula>
    </cfRule>
  </conditionalFormatting>
  <conditionalFormatting sqref="K62:K69">
    <cfRule type="containsText" dxfId="2083" priority="2" operator="containsText" text="due in 30 days">
      <formula>NOT(ISERROR(SEARCH("due in 30 days",K62)))</formula>
    </cfRule>
    <cfRule type="containsText" dxfId="2082" priority="6" operator="containsText" text="overdue">
      <formula>NOT(ISERROR(SEARCH("overdue",K62)))</formula>
    </cfRule>
  </conditionalFormatting>
  <pageMargins left="0.7" right="0.7" top="0.75" bottom="0.75" header="0.3" footer="0.3"/>
  <pageSetup orientation="portrait" r:id="rId1"/>
  <ignoredErrors>
    <ignoredError sqref="K7:L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FA5B4-552B-4FA4-975F-8195157AAE48}">
  <sheetPr codeName="Sheet2"/>
  <dimension ref="A1:B134"/>
  <sheetViews>
    <sheetView zoomScaleNormal="100" workbookViewId="0">
      <selection activeCell="A6" sqref="A6"/>
    </sheetView>
  </sheetViews>
  <sheetFormatPr defaultRowHeight="15" x14ac:dyDescent="0.25"/>
  <cols>
    <col min="1" max="1" width="35.42578125" bestFit="1" customWidth="1"/>
    <col min="2" max="2" width="14.85546875" bestFit="1" customWidth="1"/>
    <col min="3" max="8" width="10.7109375" bestFit="1" customWidth="1"/>
    <col min="9" max="14" width="9.7109375" bestFit="1" customWidth="1"/>
    <col min="15" max="33" width="10.7109375" bestFit="1" customWidth="1"/>
    <col min="34" max="42" width="9.7109375" bestFit="1" customWidth="1"/>
    <col min="43" max="59" width="10.7109375" bestFit="1" customWidth="1"/>
    <col min="60" max="67" width="9.7109375" bestFit="1" customWidth="1"/>
    <col min="68" max="90" width="10.7109375" bestFit="1" customWidth="1"/>
    <col min="91" max="91" width="9.7109375" bestFit="1" customWidth="1"/>
    <col min="92" max="112" width="10.7109375" bestFit="1" customWidth="1"/>
    <col min="113" max="116" width="9.7109375" bestFit="1" customWidth="1"/>
    <col min="117" max="129" width="10.7109375" bestFit="1" customWidth="1"/>
    <col min="130" max="134" width="9.7109375" bestFit="1" customWidth="1"/>
    <col min="135" max="150" width="10.7109375" bestFit="1" customWidth="1"/>
    <col min="151" max="155" width="9.7109375" bestFit="1" customWidth="1"/>
    <col min="156" max="172" width="10.7109375" bestFit="1" customWidth="1"/>
    <col min="173" max="180" width="9.7109375" bestFit="1" customWidth="1"/>
    <col min="181" max="199" width="10.7109375" bestFit="1" customWidth="1"/>
    <col min="200" max="208" width="9.7109375" bestFit="1" customWidth="1"/>
    <col min="209" max="224" width="10.7109375" bestFit="1" customWidth="1"/>
    <col min="225" max="231" width="9.7109375" bestFit="1" customWidth="1"/>
    <col min="232" max="249" width="10.7109375" bestFit="1" customWidth="1"/>
    <col min="250" max="257" width="9.7109375" bestFit="1" customWidth="1"/>
    <col min="258" max="265" width="10.7109375" bestFit="1" customWidth="1"/>
    <col min="266" max="266" width="11.28515625" bestFit="1" customWidth="1"/>
    <col min="267" max="274" width="9.7109375" bestFit="1" customWidth="1"/>
    <col min="275" max="282" width="10.7109375" bestFit="1" customWidth="1"/>
    <col min="283" max="283" width="9.42578125" bestFit="1" customWidth="1"/>
    <col min="284" max="284" width="9.7109375" bestFit="1" customWidth="1"/>
    <col min="285" max="285" width="9.85546875" bestFit="1" customWidth="1"/>
    <col min="286" max="286" width="11.28515625" bestFit="1" customWidth="1"/>
  </cols>
  <sheetData>
    <row r="1" spans="1:2" ht="15.75" thickBot="1" x14ac:dyDescent="0.3">
      <c r="A1" s="248" t="s">
        <v>170</v>
      </c>
      <c r="B1" s="249" t="s">
        <v>169</v>
      </c>
    </row>
    <row r="2" spans="1:2" ht="15.75" thickBot="1" x14ac:dyDescent="0.3">
      <c r="A2" s="248" t="s">
        <v>171</v>
      </c>
      <c r="B2" s="249" t="s">
        <v>169</v>
      </c>
    </row>
    <row r="3" spans="1:2" ht="15.75" thickBot="1" x14ac:dyDescent="0.3">
      <c r="A3" s="248" t="s">
        <v>172</v>
      </c>
      <c r="B3" s="249" t="s">
        <v>169</v>
      </c>
    </row>
    <row r="4" spans="1:2" ht="15.75" thickBot="1" x14ac:dyDescent="0.3">
      <c r="A4" s="248" t="s">
        <v>168</v>
      </c>
      <c r="B4" s="249" t="s">
        <v>169</v>
      </c>
    </row>
    <row r="5" spans="1:2" ht="15.75" thickBot="1" x14ac:dyDescent="0.3"/>
    <row r="6" spans="1:2" ht="15.75" thickBot="1" x14ac:dyDescent="0.3">
      <c r="A6" s="253" t="s">
        <v>45</v>
      </c>
      <c r="B6" s="255" t="s">
        <v>46</v>
      </c>
    </row>
    <row r="7" spans="1:2" ht="15.75" thickBot="1" x14ac:dyDescent="0.3">
      <c r="A7" s="254" t="s">
        <v>203</v>
      </c>
      <c r="B7" s="250">
        <v>23638.870000000017</v>
      </c>
    </row>
    <row r="8" spans="1:2" ht="15.75" thickBot="1" x14ac:dyDescent="0.3">
      <c r="A8" s="268" t="s">
        <v>208</v>
      </c>
      <c r="B8" s="251">
        <v>-1947.02</v>
      </c>
    </row>
    <row r="9" spans="1:2" ht="15.75" thickBot="1" x14ac:dyDescent="0.3">
      <c r="A9" s="322" t="s">
        <v>208</v>
      </c>
      <c r="B9" s="251">
        <v>-1947.02</v>
      </c>
    </row>
    <row r="10" spans="1:2" ht="15.75" thickBot="1" x14ac:dyDescent="0.3">
      <c r="A10" s="268" t="s">
        <v>118</v>
      </c>
      <c r="B10" s="251">
        <v>-896.87000000000012</v>
      </c>
    </row>
    <row r="11" spans="1:2" ht="15.75" thickBot="1" x14ac:dyDescent="0.3">
      <c r="A11" s="322" t="s">
        <v>118</v>
      </c>
      <c r="B11" s="251">
        <v>-896.87000000000012</v>
      </c>
    </row>
    <row r="12" spans="1:2" ht="15.75" thickBot="1" x14ac:dyDescent="0.3">
      <c r="A12" s="268" t="s">
        <v>71</v>
      </c>
      <c r="B12" s="251">
        <v>24145.15</v>
      </c>
    </row>
    <row r="13" spans="1:2" ht="15.75" thickBot="1" x14ac:dyDescent="0.3">
      <c r="A13" s="322" t="s">
        <v>8</v>
      </c>
      <c r="B13" s="251">
        <v>24145.15</v>
      </c>
    </row>
    <row r="14" spans="1:2" ht="15.75" thickBot="1" x14ac:dyDescent="0.3">
      <c r="A14" s="268" t="s">
        <v>209</v>
      </c>
      <c r="B14" s="251">
        <v>2446.4300000000148</v>
      </c>
    </row>
    <row r="15" spans="1:2" x14ac:dyDescent="0.25">
      <c r="A15" s="269" t="s">
        <v>262</v>
      </c>
      <c r="B15" s="251">
        <v>-38255.599999999999</v>
      </c>
    </row>
    <row r="16" spans="1:2" ht="15.75" thickBot="1" x14ac:dyDescent="0.3">
      <c r="A16" s="271" t="s">
        <v>263</v>
      </c>
      <c r="B16" s="251">
        <v>40702.030000000013</v>
      </c>
    </row>
    <row r="17" spans="1:2" ht="15.75" thickBot="1" x14ac:dyDescent="0.3">
      <c r="A17" s="324" t="s">
        <v>210</v>
      </c>
      <c r="B17" s="251">
        <v>-108.82</v>
      </c>
    </row>
    <row r="18" spans="1:2" ht="15.75" thickBot="1" x14ac:dyDescent="0.3">
      <c r="A18" s="322" t="s">
        <v>210</v>
      </c>
      <c r="B18" s="251">
        <v>-108.82</v>
      </c>
    </row>
    <row r="19" spans="1:2" ht="15.75" thickBot="1" x14ac:dyDescent="0.3">
      <c r="A19" s="254" t="s">
        <v>204</v>
      </c>
      <c r="B19" s="251">
        <v>22633.970000000005</v>
      </c>
    </row>
    <row r="20" spans="1:2" ht="15.75" thickBot="1" x14ac:dyDescent="0.3">
      <c r="A20" s="268" t="s">
        <v>208</v>
      </c>
      <c r="B20" s="251">
        <v>-55.18</v>
      </c>
    </row>
    <row r="21" spans="1:2" ht="15.75" thickBot="1" x14ac:dyDescent="0.3">
      <c r="A21" s="322" t="s">
        <v>208</v>
      </c>
      <c r="B21" s="251">
        <v>-55.18</v>
      </c>
    </row>
    <row r="22" spans="1:2" ht="15.75" thickBot="1" x14ac:dyDescent="0.3">
      <c r="A22" s="268" t="s">
        <v>118</v>
      </c>
      <c r="B22" s="251">
        <v>-785.78</v>
      </c>
    </row>
    <row r="23" spans="1:2" ht="15.75" thickBot="1" x14ac:dyDescent="0.3">
      <c r="A23" s="322" t="s">
        <v>118</v>
      </c>
      <c r="B23" s="251">
        <v>-785.78</v>
      </c>
    </row>
    <row r="24" spans="1:2" ht="15.75" thickBot="1" x14ac:dyDescent="0.3">
      <c r="A24" s="268" t="s">
        <v>71</v>
      </c>
      <c r="B24" s="251">
        <v>24783.630000000005</v>
      </c>
    </row>
    <row r="25" spans="1:2" ht="15.75" thickBot="1" x14ac:dyDescent="0.3">
      <c r="A25" s="322" t="s">
        <v>8</v>
      </c>
      <c r="B25" s="251">
        <v>24783.630000000005</v>
      </c>
    </row>
    <row r="26" spans="1:2" ht="15.75" thickBot="1" x14ac:dyDescent="0.3">
      <c r="A26" s="268" t="s">
        <v>103</v>
      </c>
      <c r="B26" s="251">
        <v>1546.3099999999961</v>
      </c>
    </row>
    <row r="27" spans="1:2" x14ac:dyDescent="0.25">
      <c r="A27" s="269" t="s">
        <v>262</v>
      </c>
      <c r="B27" s="251">
        <v>-11198.590000000002</v>
      </c>
    </row>
    <row r="28" spans="1:2" ht="15.75" thickBot="1" x14ac:dyDescent="0.3">
      <c r="A28" s="271" t="s">
        <v>263</v>
      </c>
      <c r="B28" s="251">
        <v>12955.829999999998</v>
      </c>
    </row>
    <row r="29" spans="1:2" ht="15.75" thickBot="1" x14ac:dyDescent="0.3">
      <c r="A29" s="321" t="s">
        <v>282</v>
      </c>
      <c r="B29" s="251">
        <v>-210.93</v>
      </c>
    </row>
    <row r="30" spans="1:2" ht="15.75" thickBot="1" x14ac:dyDescent="0.3">
      <c r="A30" s="324" t="s">
        <v>210</v>
      </c>
      <c r="B30" s="251">
        <v>-115.67</v>
      </c>
    </row>
    <row r="31" spans="1:2" ht="15.75" thickBot="1" x14ac:dyDescent="0.3">
      <c r="A31" s="322" t="s">
        <v>210</v>
      </c>
      <c r="B31" s="251">
        <v>-115.67</v>
      </c>
    </row>
    <row r="32" spans="1:2" ht="15.75" thickBot="1" x14ac:dyDescent="0.3">
      <c r="A32" s="268" t="s">
        <v>84</v>
      </c>
      <c r="B32" s="251">
        <v>-2739.3399999999997</v>
      </c>
    </row>
    <row r="33" spans="1:2" ht="15.75" thickBot="1" x14ac:dyDescent="0.3">
      <c r="A33" s="322" t="s">
        <v>84</v>
      </c>
      <c r="B33" s="251">
        <v>-2739.3399999999997</v>
      </c>
    </row>
    <row r="34" spans="1:2" ht="15.75" thickBot="1" x14ac:dyDescent="0.3">
      <c r="A34" s="254" t="s">
        <v>205</v>
      </c>
      <c r="B34" s="251">
        <v>3492.8599999999706</v>
      </c>
    </row>
    <row r="35" spans="1:2" ht="15.75" thickBot="1" x14ac:dyDescent="0.3">
      <c r="A35" s="268" t="s">
        <v>137</v>
      </c>
      <c r="B35" s="251">
        <v>-279.8</v>
      </c>
    </row>
    <row r="36" spans="1:2" ht="15.75" thickBot="1" x14ac:dyDescent="0.3">
      <c r="A36" s="322" t="s">
        <v>137</v>
      </c>
      <c r="B36" s="251">
        <v>-279.8</v>
      </c>
    </row>
    <row r="37" spans="1:2" ht="15.75" thickBot="1" x14ac:dyDescent="0.3">
      <c r="A37" s="268" t="s">
        <v>136</v>
      </c>
      <c r="B37" s="251">
        <v>-654.05999999999995</v>
      </c>
    </row>
    <row r="38" spans="1:2" ht="15.75" thickBot="1" x14ac:dyDescent="0.3">
      <c r="A38" s="322" t="s">
        <v>136</v>
      </c>
      <c r="B38" s="251">
        <v>-654.05999999999995</v>
      </c>
    </row>
    <row r="39" spans="1:2" ht="15.75" thickBot="1" x14ac:dyDescent="0.3">
      <c r="A39" s="268" t="s">
        <v>208</v>
      </c>
      <c r="B39" s="251">
        <v>-4576.04</v>
      </c>
    </row>
    <row r="40" spans="1:2" ht="15.75" thickBot="1" x14ac:dyDescent="0.3">
      <c r="A40" s="322" t="s">
        <v>208</v>
      </c>
      <c r="B40" s="251">
        <v>-4576.04</v>
      </c>
    </row>
    <row r="41" spans="1:2" ht="15.75" thickBot="1" x14ac:dyDescent="0.3">
      <c r="A41" s="327" t="s">
        <v>114</v>
      </c>
      <c r="B41" s="251">
        <v>-1502.5100000000002</v>
      </c>
    </row>
    <row r="42" spans="1:2" ht="15.75" thickBot="1" x14ac:dyDescent="0.3">
      <c r="A42" s="322" t="s">
        <v>114</v>
      </c>
      <c r="B42" s="251">
        <v>-1502.5100000000002</v>
      </c>
    </row>
    <row r="43" spans="1:2" ht="15.75" thickBot="1" x14ac:dyDescent="0.3">
      <c r="A43" s="326" t="s">
        <v>49</v>
      </c>
      <c r="B43" s="251">
        <v>-2205.0300000000007</v>
      </c>
    </row>
    <row r="44" spans="1:2" ht="15.75" thickBot="1" x14ac:dyDescent="0.3">
      <c r="A44" s="322" t="s">
        <v>49</v>
      </c>
      <c r="B44" s="251">
        <v>-2205.0300000000007</v>
      </c>
    </row>
    <row r="45" spans="1:2" ht="15.75" thickBot="1" x14ac:dyDescent="0.3">
      <c r="A45" s="268" t="s">
        <v>103</v>
      </c>
      <c r="B45" s="251">
        <v>13542.439999999973</v>
      </c>
    </row>
    <row r="46" spans="1:2" x14ac:dyDescent="0.25">
      <c r="A46" s="269" t="s">
        <v>262</v>
      </c>
      <c r="B46" s="251">
        <v>-49892.650000000023</v>
      </c>
    </row>
    <row r="47" spans="1:2" ht="15.75" thickBot="1" x14ac:dyDescent="0.3">
      <c r="A47" s="271" t="s">
        <v>263</v>
      </c>
      <c r="B47" s="251">
        <v>63435.09</v>
      </c>
    </row>
    <row r="48" spans="1:2" x14ac:dyDescent="0.25">
      <c r="A48" s="267" t="s">
        <v>210</v>
      </c>
      <c r="B48" s="251">
        <v>-236.84</v>
      </c>
    </row>
    <row r="49" spans="1:2" ht="15.75" thickBot="1" x14ac:dyDescent="0.3">
      <c r="A49" s="321" t="s">
        <v>33</v>
      </c>
      <c r="B49" s="251">
        <v>-236.84</v>
      </c>
    </row>
    <row r="50" spans="1:2" ht="15.75" thickBot="1" x14ac:dyDescent="0.3">
      <c r="A50" s="325" t="s">
        <v>32</v>
      </c>
      <c r="B50" s="251">
        <v>-595.30000000000007</v>
      </c>
    </row>
    <row r="51" spans="1:2" ht="15.75" thickBot="1" x14ac:dyDescent="0.3">
      <c r="A51" s="322" t="s">
        <v>32</v>
      </c>
      <c r="B51" s="251">
        <v>-595.30000000000007</v>
      </c>
    </row>
    <row r="52" spans="1:2" ht="15.75" thickBot="1" x14ac:dyDescent="0.3">
      <c r="A52" s="328" t="s">
        <v>113</v>
      </c>
      <c r="B52" s="251">
        <v>-12429.200000000004</v>
      </c>
    </row>
    <row r="53" spans="1:2" ht="15.75" thickBot="1" x14ac:dyDescent="0.3">
      <c r="A53" s="268" t="s">
        <v>264</v>
      </c>
      <c r="B53" s="251">
        <v>-12429.200000000004</v>
      </c>
    </row>
    <row r="54" spans="1:2" ht="15.75" thickBot="1" x14ac:dyDescent="0.3">
      <c r="A54" s="329" t="s">
        <v>264</v>
      </c>
      <c r="B54" s="251">
        <v>-12429.200000000004</v>
      </c>
    </row>
    <row r="55" spans="1:2" ht="15.75" thickBot="1" x14ac:dyDescent="0.3">
      <c r="A55" s="254" t="s">
        <v>71</v>
      </c>
      <c r="B55" s="251">
        <v>180694.34999999995</v>
      </c>
    </row>
    <row r="56" spans="1:2" ht="15.75" thickBot="1" x14ac:dyDescent="0.3">
      <c r="A56" s="268" t="s">
        <v>104</v>
      </c>
      <c r="B56" s="251">
        <v>180694.34999999995</v>
      </c>
    </row>
    <row r="57" spans="1:2" x14ac:dyDescent="0.25">
      <c r="A57" s="269" t="s">
        <v>72</v>
      </c>
      <c r="B57" s="251">
        <v>110434.52999999996</v>
      </c>
    </row>
    <row r="58" spans="1:2" ht="15.75" thickBot="1" x14ac:dyDescent="0.3">
      <c r="A58" s="271" t="s">
        <v>89</v>
      </c>
      <c r="B58" s="251">
        <v>69806.110000000015</v>
      </c>
    </row>
    <row r="59" spans="1:2" ht="15.75" thickBot="1" x14ac:dyDescent="0.3">
      <c r="A59" s="321" t="s">
        <v>207</v>
      </c>
      <c r="B59" s="251">
        <v>453.71</v>
      </c>
    </row>
    <row r="60" spans="1:2" ht="15.75" thickBot="1" x14ac:dyDescent="0.3">
      <c r="A60" s="254" t="s">
        <v>116</v>
      </c>
      <c r="B60" s="251">
        <v>-1083.28</v>
      </c>
    </row>
    <row r="61" spans="1:2" ht="15.75" thickBot="1" x14ac:dyDescent="0.3">
      <c r="A61" s="268" t="s">
        <v>265</v>
      </c>
      <c r="B61" s="251">
        <v>-384.13999999999993</v>
      </c>
    </row>
    <row r="62" spans="1:2" ht="15.75" thickBot="1" x14ac:dyDescent="0.3">
      <c r="A62" s="322" t="s">
        <v>265</v>
      </c>
      <c r="B62" s="251">
        <v>-365.12999999999994</v>
      </c>
    </row>
    <row r="63" spans="1:2" ht="15.75" thickBot="1" x14ac:dyDescent="0.3">
      <c r="A63" s="321" t="s">
        <v>207</v>
      </c>
      <c r="B63" s="251">
        <v>-19.010000000000002</v>
      </c>
    </row>
    <row r="64" spans="1:2" ht="15.75" thickBot="1" x14ac:dyDescent="0.3">
      <c r="A64" s="268" t="s">
        <v>61</v>
      </c>
      <c r="B64" s="251">
        <v>-41.24</v>
      </c>
    </row>
    <row r="65" spans="1:2" ht="15.75" thickBot="1" x14ac:dyDescent="0.3">
      <c r="A65" s="322" t="s">
        <v>61</v>
      </c>
      <c r="B65" s="251">
        <v>-41.24</v>
      </c>
    </row>
    <row r="66" spans="1:2" ht="15.75" thickBot="1" x14ac:dyDescent="0.3">
      <c r="A66" s="268" t="s">
        <v>117</v>
      </c>
      <c r="B66" s="251">
        <v>-657.90000000000009</v>
      </c>
    </row>
    <row r="67" spans="1:2" ht="15.75" thickBot="1" x14ac:dyDescent="0.3">
      <c r="A67" s="322" t="s">
        <v>117</v>
      </c>
      <c r="B67" s="251">
        <v>-657.90000000000009</v>
      </c>
    </row>
    <row r="68" spans="1:2" ht="15.75" thickBot="1" x14ac:dyDescent="0.3">
      <c r="A68" s="254" t="s">
        <v>206</v>
      </c>
      <c r="B68" s="251">
        <v>17914.86999999989</v>
      </c>
    </row>
    <row r="69" spans="1:2" ht="15.75" thickBot="1" x14ac:dyDescent="0.3">
      <c r="A69" s="268" t="s">
        <v>266</v>
      </c>
      <c r="B69" s="251">
        <v>-86108.540000000052</v>
      </c>
    </row>
    <row r="70" spans="1:2" ht="15.75" thickBot="1" x14ac:dyDescent="0.3">
      <c r="A70" s="322" t="s">
        <v>268</v>
      </c>
      <c r="B70" s="251">
        <v>-86108.540000000052</v>
      </c>
    </row>
    <row r="71" spans="1:2" ht="15.75" thickBot="1" x14ac:dyDescent="0.3">
      <c r="A71" s="268" t="s">
        <v>267</v>
      </c>
      <c r="B71" s="251">
        <v>20105.580000000009</v>
      </c>
    </row>
    <row r="72" spans="1:2" ht="15.75" thickBot="1" x14ac:dyDescent="0.3">
      <c r="A72" s="322" t="s">
        <v>268</v>
      </c>
      <c r="B72" s="251">
        <v>7035.3199999999961</v>
      </c>
    </row>
    <row r="73" spans="1:2" ht="15.75" thickBot="1" x14ac:dyDescent="0.3">
      <c r="A73" s="321" t="s">
        <v>283</v>
      </c>
      <c r="B73" s="251">
        <v>13070.260000000015</v>
      </c>
    </row>
    <row r="74" spans="1:2" ht="15.75" thickBot="1" x14ac:dyDescent="0.3">
      <c r="A74" s="268" t="s">
        <v>106</v>
      </c>
      <c r="B74" s="251">
        <v>83917.829999999944</v>
      </c>
    </row>
    <row r="75" spans="1:2" ht="15.75" thickBot="1" x14ac:dyDescent="0.3">
      <c r="A75" s="322" t="s">
        <v>268</v>
      </c>
      <c r="B75" s="251">
        <v>83349.41999999994</v>
      </c>
    </row>
    <row r="76" spans="1:2" ht="15.75" thickBot="1" x14ac:dyDescent="0.3">
      <c r="A76" s="321" t="s">
        <v>207</v>
      </c>
      <c r="B76" s="251">
        <v>568.41000000000031</v>
      </c>
    </row>
    <row r="77" spans="1:2" ht="15.75" thickBot="1" x14ac:dyDescent="0.3">
      <c r="A77" s="330" t="s">
        <v>50</v>
      </c>
      <c r="B77" s="251">
        <v>-1529.4300000000003</v>
      </c>
    </row>
    <row r="78" spans="1:2" ht="15.75" thickBot="1" x14ac:dyDescent="0.3">
      <c r="A78" s="268" t="s">
        <v>269</v>
      </c>
      <c r="B78" s="251">
        <v>-1529.4300000000003</v>
      </c>
    </row>
    <row r="79" spans="1:2" ht="15.75" thickBot="1" x14ac:dyDescent="0.3">
      <c r="A79" s="329" t="s">
        <v>50</v>
      </c>
      <c r="B79" s="251">
        <v>-1529.4300000000003</v>
      </c>
    </row>
    <row r="80" spans="1:2" ht="15.75" thickBot="1" x14ac:dyDescent="0.3">
      <c r="A80" s="331" t="s">
        <v>129</v>
      </c>
      <c r="B80" s="251">
        <v>-9474.39</v>
      </c>
    </row>
    <row r="81" spans="1:2" ht="15.75" thickBot="1" x14ac:dyDescent="0.3">
      <c r="A81" s="268" t="s">
        <v>220</v>
      </c>
      <c r="B81" s="251">
        <v>-9474.39</v>
      </c>
    </row>
    <row r="82" spans="1:2" x14ac:dyDescent="0.25">
      <c r="A82" s="269" t="s">
        <v>221</v>
      </c>
      <c r="B82" s="251">
        <v>-4405.87</v>
      </c>
    </row>
    <row r="83" spans="1:2" x14ac:dyDescent="0.25">
      <c r="A83" s="270" t="s">
        <v>222</v>
      </c>
      <c r="B83" s="251">
        <v>-4847.5200000000013</v>
      </c>
    </row>
    <row r="84" spans="1:2" x14ac:dyDescent="0.25">
      <c r="A84" s="270" t="s">
        <v>223</v>
      </c>
      <c r="B84" s="251">
        <v>-26.880000000000003</v>
      </c>
    </row>
    <row r="85" spans="1:2" x14ac:dyDescent="0.25">
      <c r="A85" s="270" t="s">
        <v>224</v>
      </c>
      <c r="B85" s="251">
        <v>-155.66999999999999</v>
      </c>
    </row>
    <row r="86" spans="1:2" x14ac:dyDescent="0.25">
      <c r="A86" s="270" t="s">
        <v>225</v>
      </c>
      <c r="B86" s="251">
        <v>-31.55</v>
      </c>
    </row>
    <row r="87" spans="1:2" ht="15.75" thickBot="1" x14ac:dyDescent="0.3">
      <c r="A87" s="271" t="s">
        <v>226</v>
      </c>
      <c r="B87" s="251">
        <v>-6.9</v>
      </c>
    </row>
    <row r="88" spans="1:2" ht="15.75" thickBot="1" x14ac:dyDescent="0.3">
      <c r="A88" s="323" t="s">
        <v>119</v>
      </c>
      <c r="B88" s="251">
        <v>-3583.6700000000005</v>
      </c>
    </row>
    <row r="89" spans="1:2" ht="15.75" thickBot="1" x14ac:dyDescent="0.3">
      <c r="A89" s="332" t="s">
        <v>120</v>
      </c>
      <c r="B89" s="251">
        <v>-2867.3600000000006</v>
      </c>
    </row>
    <row r="90" spans="1:2" ht="15.75" thickBot="1" x14ac:dyDescent="0.3">
      <c r="A90" s="322" t="s">
        <v>51</v>
      </c>
      <c r="B90" s="251">
        <v>-2310.2100000000005</v>
      </c>
    </row>
    <row r="91" spans="1:2" ht="15.75" thickBot="1" x14ac:dyDescent="0.3">
      <c r="A91" s="321" t="s">
        <v>284</v>
      </c>
      <c r="B91" s="251">
        <v>-557.15000000000009</v>
      </c>
    </row>
    <row r="92" spans="1:2" ht="15.75" thickBot="1" x14ac:dyDescent="0.3">
      <c r="A92" s="333" t="s">
        <v>119</v>
      </c>
      <c r="B92" s="251">
        <v>-716.31</v>
      </c>
    </row>
    <row r="93" spans="1:2" x14ac:dyDescent="0.25">
      <c r="A93" s="269" t="s">
        <v>227</v>
      </c>
      <c r="B93" s="251">
        <v>-468.02</v>
      </c>
    </row>
    <row r="94" spans="1:2" ht="15.75" thickBot="1" x14ac:dyDescent="0.3">
      <c r="A94" s="271" t="s">
        <v>228</v>
      </c>
      <c r="B94" s="251">
        <v>-248.29000000000002</v>
      </c>
    </row>
    <row r="95" spans="1:2" ht="15.75" thickBot="1" x14ac:dyDescent="0.3">
      <c r="A95" s="254" t="s">
        <v>121</v>
      </c>
      <c r="B95" s="251">
        <v>-24223.239999999998</v>
      </c>
    </row>
    <row r="96" spans="1:2" ht="15.75" thickBot="1" x14ac:dyDescent="0.3">
      <c r="A96" s="334" t="s">
        <v>211</v>
      </c>
      <c r="B96" s="251">
        <v>-3380.6699999999987</v>
      </c>
    </row>
    <row r="97" spans="1:2" ht="15.75" thickBot="1" x14ac:dyDescent="0.3">
      <c r="A97" s="322" t="s">
        <v>48</v>
      </c>
      <c r="B97" s="251">
        <v>-3380.6699999999987</v>
      </c>
    </row>
    <row r="98" spans="1:2" ht="15.75" thickBot="1" x14ac:dyDescent="0.3">
      <c r="A98" s="335" t="s">
        <v>123</v>
      </c>
      <c r="B98" s="251">
        <v>-2439.04</v>
      </c>
    </row>
    <row r="99" spans="1:2" x14ac:dyDescent="0.25">
      <c r="A99" s="269" t="s">
        <v>270</v>
      </c>
      <c r="B99" s="251">
        <v>-1179.6600000000001</v>
      </c>
    </row>
    <row r="100" spans="1:2" x14ac:dyDescent="0.25">
      <c r="A100" s="270" t="s">
        <v>271</v>
      </c>
      <c r="B100" s="251">
        <v>-150.71999999999997</v>
      </c>
    </row>
    <row r="101" spans="1:2" x14ac:dyDescent="0.25">
      <c r="A101" s="270" t="s">
        <v>272</v>
      </c>
      <c r="B101" s="251">
        <v>-309.95</v>
      </c>
    </row>
    <row r="102" spans="1:2" ht="15.75" thickBot="1" x14ac:dyDescent="0.3">
      <c r="A102" s="271" t="s">
        <v>273</v>
      </c>
      <c r="B102" s="251">
        <v>-796.68999999999994</v>
      </c>
    </row>
    <row r="103" spans="1:2" ht="15.75" thickBot="1" x14ac:dyDescent="0.3">
      <c r="A103" s="321" t="s">
        <v>285</v>
      </c>
      <c r="B103" s="251">
        <v>-2.02</v>
      </c>
    </row>
    <row r="104" spans="1:2" ht="15.75" thickBot="1" x14ac:dyDescent="0.3">
      <c r="A104" s="336" t="s">
        <v>212</v>
      </c>
      <c r="B104" s="251">
        <v>-1022.1500000000001</v>
      </c>
    </row>
    <row r="105" spans="1:2" ht="15.75" thickBot="1" x14ac:dyDescent="0.3">
      <c r="A105" s="322" t="s">
        <v>274</v>
      </c>
      <c r="B105" s="251">
        <v>-1022.1500000000001</v>
      </c>
    </row>
    <row r="106" spans="1:2" ht="15.75" thickBot="1" x14ac:dyDescent="0.3">
      <c r="A106" s="337" t="s">
        <v>213</v>
      </c>
      <c r="B106" s="251">
        <v>-17381.38</v>
      </c>
    </row>
    <row r="107" spans="1:2" ht="15.75" thickBot="1" x14ac:dyDescent="0.3">
      <c r="A107" s="322" t="s">
        <v>52</v>
      </c>
      <c r="B107" s="251">
        <v>-17381.38</v>
      </c>
    </row>
    <row r="108" spans="1:2" ht="15.75" thickBot="1" x14ac:dyDescent="0.3">
      <c r="A108" s="254" t="s">
        <v>207</v>
      </c>
      <c r="B108" s="251">
        <v>84483.930000000008</v>
      </c>
    </row>
    <row r="109" spans="1:2" ht="15.75" thickBot="1" x14ac:dyDescent="0.3">
      <c r="A109" s="268" t="s">
        <v>106</v>
      </c>
      <c r="B109" s="251">
        <v>84483.930000000008</v>
      </c>
    </row>
    <row r="110" spans="1:2" ht="15.75" thickBot="1" x14ac:dyDescent="0.3">
      <c r="A110" s="321" t="s">
        <v>207</v>
      </c>
      <c r="B110" s="251">
        <v>84483.930000000008</v>
      </c>
    </row>
    <row r="111" spans="1:2" ht="15.75" thickBot="1" x14ac:dyDescent="0.3">
      <c r="A111" s="254" t="s">
        <v>124</v>
      </c>
      <c r="B111" s="251">
        <v>-636.04000000000008</v>
      </c>
    </row>
    <row r="112" spans="1:2" ht="15.75" thickBot="1" x14ac:dyDescent="0.3">
      <c r="A112" s="338" t="s">
        <v>214</v>
      </c>
      <c r="B112" s="251">
        <v>-169.45000000000002</v>
      </c>
    </row>
    <row r="113" spans="1:2" ht="15.75" thickBot="1" x14ac:dyDescent="0.3">
      <c r="A113" s="322" t="s">
        <v>214</v>
      </c>
      <c r="B113" s="251">
        <v>-169.45000000000002</v>
      </c>
    </row>
    <row r="114" spans="1:2" ht="15.75" thickBot="1" x14ac:dyDescent="0.3">
      <c r="A114" s="339" t="s">
        <v>215</v>
      </c>
      <c r="B114" s="251">
        <v>-302.33000000000004</v>
      </c>
    </row>
    <row r="115" spans="1:2" ht="15.75" thickBot="1" x14ac:dyDescent="0.3">
      <c r="A115" s="322" t="s">
        <v>275</v>
      </c>
      <c r="B115" s="251">
        <v>-302.33000000000004</v>
      </c>
    </row>
    <row r="116" spans="1:2" ht="15.75" thickBot="1" x14ac:dyDescent="0.3">
      <c r="A116" s="326" t="s">
        <v>216</v>
      </c>
      <c r="B116" s="251">
        <v>-144.35</v>
      </c>
    </row>
    <row r="117" spans="1:2" ht="15.75" thickBot="1" x14ac:dyDescent="0.3">
      <c r="A117" s="322" t="s">
        <v>216</v>
      </c>
      <c r="B117" s="251">
        <v>-144.35</v>
      </c>
    </row>
    <row r="118" spans="1:2" x14ac:dyDescent="0.25">
      <c r="A118" s="267" t="s">
        <v>286</v>
      </c>
      <c r="B118" s="251">
        <v>-19.909999999999997</v>
      </c>
    </row>
    <row r="119" spans="1:2" x14ac:dyDescent="0.25">
      <c r="A119" s="321" t="s">
        <v>286</v>
      </c>
      <c r="B119" s="251">
        <v>-7.2899999999999991</v>
      </c>
    </row>
    <row r="120" spans="1:2" ht="15.75" thickBot="1" x14ac:dyDescent="0.3">
      <c r="A120" s="321" t="s">
        <v>207</v>
      </c>
      <c r="B120" s="251">
        <v>-12.62</v>
      </c>
    </row>
    <row r="121" spans="1:2" ht="15.75" thickBot="1" x14ac:dyDescent="0.3">
      <c r="A121" s="340" t="s">
        <v>127</v>
      </c>
      <c r="B121" s="251">
        <v>-4062.2599999999998</v>
      </c>
    </row>
    <row r="122" spans="1:2" ht="15.75" thickBot="1" x14ac:dyDescent="0.3">
      <c r="A122" s="268" t="s">
        <v>276</v>
      </c>
      <c r="B122" s="251">
        <v>-4062.2599999999998</v>
      </c>
    </row>
    <row r="123" spans="1:2" x14ac:dyDescent="0.25">
      <c r="A123" s="269" t="s">
        <v>277</v>
      </c>
      <c r="B123" s="251">
        <v>-163.32000000000002</v>
      </c>
    </row>
    <row r="124" spans="1:2" x14ac:dyDescent="0.25">
      <c r="A124" s="270" t="s">
        <v>278</v>
      </c>
      <c r="B124" s="251">
        <v>-2360.7600000000002</v>
      </c>
    </row>
    <row r="125" spans="1:2" x14ac:dyDescent="0.25">
      <c r="A125" s="270" t="s">
        <v>279</v>
      </c>
      <c r="B125" s="251">
        <v>-782.85999999999979</v>
      </c>
    </row>
    <row r="126" spans="1:2" x14ac:dyDescent="0.25">
      <c r="A126" s="270" t="s">
        <v>280</v>
      </c>
      <c r="B126" s="251">
        <v>-211.31</v>
      </c>
    </row>
    <row r="127" spans="1:2" ht="15.75" thickBot="1" x14ac:dyDescent="0.3">
      <c r="A127" s="271" t="s">
        <v>281</v>
      </c>
      <c r="B127" s="251">
        <v>-544.00999999999988</v>
      </c>
    </row>
    <row r="128" spans="1:2" ht="15.75" thickBot="1" x14ac:dyDescent="0.3">
      <c r="A128" s="254" t="s">
        <v>103</v>
      </c>
      <c r="B128" s="251">
        <v>-9970.5400000000009</v>
      </c>
    </row>
    <row r="129" spans="1:2" x14ac:dyDescent="0.25">
      <c r="A129" s="267" t="s">
        <v>287</v>
      </c>
      <c r="B129" s="251">
        <v>-9970.5400000000009</v>
      </c>
    </row>
    <row r="130" spans="1:2" ht="15.75" thickBot="1" x14ac:dyDescent="0.3">
      <c r="A130" s="321" t="s">
        <v>288</v>
      </c>
      <c r="B130" s="251">
        <v>-9970.5400000000009</v>
      </c>
    </row>
    <row r="131" spans="1:2" ht="15.75" thickBot="1" x14ac:dyDescent="0.3">
      <c r="A131" s="254" t="s">
        <v>132</v>
      </c>
      <c r="B131" s="251">
        <v>-124799.81</v>
      </c>
    </row>
    <row r="132" spans="1:2" x14ac:dyDescent="0.25">
      <c r="A132" s="267" t="s">
        <v>135</v>
      </c>
      <c r="B132" s="251">
        <v>-124799.81</v>
      </c>
    </row>
    <row r="133" spans="1:2" ht="15.75" thickBot="1" x14ac:dyDescent="0.3">
      <c r="A133" s="321" t="s">
        <v>135</v>
      </c>
      <c r="B133" s="251">
        <v>-124799.81</v>
      </c>
    </row>
    <row r="134" spans="1:2" ht="15.75" thickBot="1" x14ac:dyDescent="0.3">
      <c r="A134" s="254" t="s">
        <v>53</v>
      </c>
      <c r="B134" s="252">
        <v>141066.98999999993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BDDB0-0E7D-4043-A6B8-7BEF1163FDF5}">
  <sheetPr codeName="Sheet3"/>
  <dimension ref="B3:I33"/>
  <sheetViews>
    <sheetView workbookViewId="0">
      <selection activeCell="H31" sqref="H31"/>
    </sheetView>
  </sheetViews>
  <sheetFormatPr defaultRowHeight="15" x14ac:dyDescent="0.25"/>
  <cols>
    <col min="2" max="2" width="13.28515625" bestFit="1" customWidth="1"/>
    <col min="3" max="3" width="15.28515625" bestFit="1" customWidth="1"/>
    <col min="5" max="5" width="36.28515625" bestFit="1" customWidth="1"/>
    <col min="6" max="6" width="19.42578125" bestFit="1" customWidth="1"/>
    <col min="7" max="7" width="14.28515625" bestFit="1" customWidth="1"/>
    <col min="8" max="8" width="16.5703125" bestFit="1" customWidth="1"/>
  </cols>
  <sheetData>
    <row r="3" spans="2:8" x14ac:dyDescent="0.25">
      <c r="B3" s="300" t="s">
        <v>87</v>
      </c>
      <c r="C3" s="301"/>
      <c r="D3" s="301"/>
      <c r="E3" s="301"/>
      <c r="F3" s="301"/>
      <c r="G3" s="301"/>
      <c r="H3" s="302"/>
    </row>
    <row r="4" spans="2:8" x14ac:dyDescent="0.25">
      <c r="B4" s="308"/>
      <c r="C4" s="101" t="s">
        <v>88</v>
      </c>
      <c r="D4" s="101"/>
      <c r="E4" s="101"/>
      <c r="F4" s="101"/>
      <c r="G4" s="101"/>
      <c r="H4" s="101" t="s">
        <v>94</v>
      </c>
    </row>
    <row r="5" spans="2:8" x14ac:dyDescent="0.25">
      <c r="B5" s="309"/>
      <c r="C5" s="315"/>
      <c r="D5" s="1" t="s">
        <v>89</v>
      </c>
      <c r="E5" s="1" t="str">
        <f>'New Mortgage look'!B26</f>
        <v>KiwiBank</v>
      </c>
      <c r="F5" s="1" t="str">
        <f>'New Mortgage look'!C26</f>
        <v>38-9016-xxxxx-01</v>
      </c>
      <c r="G5" s="2">
        <f>'New Mortgage look'!D26</f>
        <v>11500</v>
      </c>
      <c r="H5" s="2">
        <v>0</v>
      </c>
    </row>
    <row r="6" spans="2:8" x14ac:dyDescent="0.25">
      <c r="B6" s="309"/>
      <c r="C6" s="316"/>
      <c r="D6" s="1" t="s">
        <v>89</v>
      </c>
      <c r="E6" s="1" t="str">
        <f>'New Mortgage look'!B25</f>
        <v>Kiwibank Saving</v>
      </c>
      <c r="F6" s="1" t="str">
        <f>'New Mortgage look'!C25</f>
        <v>38-9016-xxxxx-13</v>
      </c>
      <c r="G6" s="2">
        <f>'New Mortgage look'!D25</f>
        <v>15000</v>
      </c>
      <c r="H6" s="2"/>
    </row>
    <row r="7" spans="2:8" x14ac:dyDescent="0.25">
      <c r="B7" s="309"/>
      <c r="C7" s="316"/>
      <c r="D7" s="1" t="s">
        <v>72</v>
      </c>
      <c r="E7" s="1">
        <f>'New Mortgage look'!B28</f>
        <v>0</v>
      </c>
      <c r="F7" s="1">
        <f>'New Mortgage look'!C28</f>
        <v>0</v>
      </c>
      <c r="G7" s="2">
        <f>'New Mortgage look'!D28</f>
        <v>0</v>
      </c>
      <c r="H7" s="2">
        <v>0</v>
      </c>
    </row>
    <row r="8" spans="2:8" x14ac:dyDescent="0.25">
      <c r="B8" s="309"/>
      <c r="C8" s="317"/>
      <c r="D8" s="1" t="s">
        <v>72</v>
      </c>
      <c r="E8" s="1">
        <f>'New Mortgage look'!B27</f>
        <v>0</v>
      </c>
      <c r="F8" s="1">
        <f>'New Mortgage look'!C27</f>
        <v>0</v>
      </c>
      <c r="G8" s="2">
        <f>'New Mortgage look'!D27</f>
        <v>0</v>
      </c>
      <c r="H8" s="2">
        <v>0</v>
      </c>
    </row>
    <row r="9" spans="2:8" x14ac:dyDescent="0.25">
      <c r="B9" s="309"/>
      <c r="C9" s="102" t="s">
        <v>97</v>
      </c>
      <c r="D9" s="102"/>
      <c r="E9" s="102"/>
      <c r="F9" s="102"/>
      <c r="G9" s="103"/>
      <c r="H9" s="103"/>
    </row>
    <row r="10" spans="2:8" x14ac:dyDescent="0.25">
      <c r="B10" s="309"/>
      <c r="C10" s="315"/>
      <c r="D10" s="1" t="s">
        <v>72</v>
      </c>
      <c r="E10" s="1" t="str">
        <f>'New Mortgage look'!B14</f>
        <v>Supperanuvation MJ</v>
      </c>
      <c r="F10" s="1"/>
      <c r="G10" s="2">
        <f>'New Mortgage look'!C14</f>
        <v>50000</v>
      </c>
      <c r="H10" s="2"/>
    </row>
    <row r="11" spans="2:8" x14ac:dyDescent="0.25">
      <c r="B11" s="309"/>
      <c r="C11" s="317"/>
      <c r="D11" s="1" t="s">
        <v>89</v>
      </c>
      <c r="E11" s="1" t="str">
        <f>'New Mortgage look'!B15</f>
        <v>Superanuvation SAM</v>
      </c>
      <c r="F11" s="1"/>
      <c r="G11" s="2">
        <f>'New Mortgage look'!C15</f>
        <v>30000</v>
      </c>
      <c r="H11" s="2"/>
    </row>
    <row r="12" spans="2:8" x14ac:dyDescent="0.25">
      <c r="B12" s="309"/>
      <c r="C12" s="101" t="s">
        <v>90</v>
      </c>
      <c r="D12" s="101"/>
      <c r="E12" s="101"/>
      <c r="F12" s="101"/>
      <c r="G12" s="104"/>
      <c r="H12" s="104"/>
    </row>
    <row r="13" spans="2:8" x14ac:dyDescent="0.25">
      <c r="B13" s="309"/>
      <c r="C13" s="15"/>
      <c r="D13" s="1" t="s">
        <v>72</v>
      </c>
      <c r="E13" s="1" t="str">
        <f>'New Mortgage look'!B7</f>
        <v>Property3</v>
      </c>
      <c r="F13" s="1"/>
      <c r="G13" s="2">
        <f>'New Mortgage look'!C7</f>
        <v>170000</v>
      </c>
      <c r="H13" s="2"/>
    </row>
    <row r="14" spans="2:8" x14ac:dyDescent="0.25">
      <c r="B14" s="309"/>
      <c r="C14" s="264"/>
      <c r="D14" s="1" t="s">
        <v>89</v>
      </c>
      <c r="E14" s="1" t="str">
        <f>'New Mortgage look'!B6</f>
        <v>Propert2</v>
      </c>
      <c r="F14" s="1"/>
      <c r="G14" s="2">
        <f>'New Mortgage look'!C6</f>
        <v>150000</v>
      </c>
      <c r="H14" s="2"/>
    </row>
    <row r="15" spans="2:8" x14ac:dyDescent="0.25">
      <c r="B15" s="309"/>
      <c r="C15" s="206"/>
      <c r="D15" s="1" t="s">
        <v>91</v>
      </c>
      <c r="E15" s="1" t="str">
        <f>'New Mortgage look'!B8</f>
        <v>Property4</v>
      </c>
      <c r="F15" s="1"/>
      <c r="G15" s="2">
        <f>'New Mortgage look'!C8</f>
        <v>180000</v>
      </c>
      <c r="H15" s="2"/>
    </row>
    <row r="16" spans="2:8" x14ac:dyDescent="0.25">
      <c r="B16" s="309"/>
      <c r="D16" s="1" t="s">
        <v>91</v>
      </c>
      <c r="E16" s="1" t="str">
        <f>'New Mortgage look'!B5</f>
        <v>Property1</v>
      </c>
      <c r="F16" s="1"/>
      <c r="G16" s="2">
        <f>'New Mortgage look'!C5</f>
        <v>100000</v>
      </c>
      <c r="H16" s="2"/>
    </row>
    <row r="17" spans="2:9" x14ac:dyDescent="0.25">
      <c r="B17" s="309"/>
      <c r="C17" s="102" t="s">
        <v>92</v>
      </c>
      <c r="D17" s="102"/>
      <c r="E17" s="102"/>
      <c r="F17" s="102"/>
      <c r="G17" s="103"/>
      <c r="H17" s="103"/>
    </row>
    <row r="18" spans="2:9" x14ac:dyDescent="0.25">
      <c r="B18" s="309"/>
      <c r="C18" s="1"/>
      <c r="D18" s="1" t="s">
        <v>89</v>
      </c>
      <c r="E18" s="1" t="str">
        <f>'New Mortgage look'!B18</f>
        <v>Car</v>
      </c>
      <c r="F18" s="1"/>
      <c r="G18" s="2">
        <f>'New Mortgage look'!C18</f>
        <v>20000</v>
      </c>
      <c r="H18" s="2"/>
    </row>
    <row r="19" spans="2:9" x14ac:dyDescent="0.25">
      <c r="B19" s="309"/>
      <c r="C19" s="101" t="s">
        <v>93</v>
      </c>
      <c r="D19" s="101"/>
      <c r="E19" s="101"/>
      <c r="F19" s="101"/>
      <c r="G19" s="104"/>
      <c r="H19" s="104"/>
    </row>
    <row r="20" spans="2:9" ht="15.75" thickBot="1" x14ac:dyDescent="0.3">
      <c r="B20" s="310"/>
      <c r="C20" s="1"/>
      <c r="D20" s="1" t="s">
        <v>91</v>
      </c>
      <c r="E20" s="1" t="str">
        <f>'New Mortgage look'!C64</f>
        <v>Property4</v>
      </c>
      <c r="F20" s="100" t="str">
        <f>'New Mortgage look'!D64</f>
        <v>P0000xxxxx96</v>
      </c>
      <c r="G20" s="49">
        <f>'New Mortgage look'!H64</f>
        <v>20000</v>
      </c>
      <c r="H20" s="2"/>
    </row>
    <row r="21" spans="2:9" x14ac:dyDescent="0.25">
      <c r="B21" s="306" t="s">
        <v>96</v>
      </c>
      <c r="C21" s="307"/>
      <c r="D21" s="307"/>
      <c r="E21" s="307"/>
      <c r="F21" s="307"/>
      <c r="G21" s="97"/>
      <c r="H21" s="98"/>
    </row>
    <row r="22" spans="2:9" x14ac:dyDescent="0.25">
      <c r="B22" s="311"/>
      <c r="C22" s="1" t="s">
        <v>72</v>
      </c>
      <c r="D22" s="1"/>
      <c r="E22" s="1"/>
      <c r="F22" s="1"/>
      <c r="G22" s="2">
        <f>G10+G13</f>
        <v>220000</v>
      </c>
      <c r="H22" s="91">
        <f>H7+H10+H13</f>
        <v>0</v>
      </c>
    </row>
    <row r="23" spans="2:9" x14ac:dyDescent="0.25">
      <c r="B23" s="312"/>
      <c r="C23" s="1" t="s">
        <v>89</v>
      </c>
      <c r="D23" s="1"/>
      <c r="E23" s="1"/>
      <c r="F23" s="1"/>
      <c r="G23" s="2">
        <f>G5+G6+G11+G14+G18</f>
        <v>226500</v>
      </c>
      <c r="H23" s="91">
        <f>H5+H6+H11+H14+H18</f>
        <v>0</v>
      </c>
    </row>
    <row r="24" spans="2:9" ht="15.75" thickBot="1" x14ac:dyDescent="0.3">
      <c r="B24" s="313"/>
      <c r="C24" s="6" t="s">
        <v>95</v>
      </c>
      <c r="D24" s="6"/>
      <c r="E24" s="6"/>
      <c r="F24" s="6"/>
      <c r="G24" s="7">
        <f>G15+G16+G20</f>
        <v>300000</v>
      </c>
      <c r="H24" s="19">
        <f>H15+H16+H20</f>
        <v>0</v>
      </c>
    </row>
    <row r="25" spans="2:9" ht="15.75" thickBot="1" x14ac:dyDescent="0.3">
      <c r="G25" s="8"/>
      <c r="H25" s="8"/>
    </row>
    <row r="26" spans="2:9" x14ac:dyDescent="0.25">
      <c r="B26" s="306" t="s">
        <v>98</v>
      </c>
      <c r="C26" s="307"/>
      <c r="D26" s="307"/>
      <c r="E26" s="314"/>
      <c r="F26" s="18"/>
      <c r="G26" s="89"/>
      <c r="H26" s="89"/>
      <c r="I26" s="90"/>
    </row>
    <row r="27" spans="2:9" x14ac:dyDescent="0.25">
      <c r="B27" s="311"/>
      <c r="C27" s="1" t="s">
        <v>88</v>
      </c>
      <c r="D27" s="1"/>
      <c r="E27" s="1"/>
      <c r="F27" s="92">
        <f>G27/$G$33</f>
        <v>3.5498995311453452E-2</v>
      </c>
      <c r="G27" s="2">
        <f>SUM(G5:G8)</f>
        <v>26500</v>
      </c>
      <c r="H27" s="2">
        <f>SUM(H5:H8)</f>
        <v>0</v>
      </c>
      <c r="I27" s="93"/>
    </row>
    <row r="28" spans="2:9" x14ac:dyDescent="0.25">
      <c r="B28" s="312"/>
      <c r="C28" s="1" t="s">
        <v>97</v>
      </c>
      <c r="D28" s="1"/>
      <c r="E28" s="1"/>
      <c r="F28" s="92">
        <f t="shared" ref="F28:F31" si="0">G28/$G$33</f>
        <v>0.10716677829872739</v>
      </c>
      <c r="G28" s="2">
        <f>SUM(G10:G11)</f>
        <v>80000</v>
      </c>
      <c r="H28" s="2">
        <f>SUM(H10:H11)</f>
        <v>0</v>
      </c>
      <c r="I28" s="93"/>
    </row>
    <row r="29" spans="2:9" x14ac:dyDescent="0.25">
      <c r="B29" s="312"/>
      <c r="C29" s="1" t="s">
        <v>90</v>
      </c>
      <c r="D29" s="1"/>
      <c r="E29" s="1"/>
      <c r="F29" s="92">
        <f t="shared" si="0"/>
        <v>0.80375083724045548</v>
      </c>
      <c r="G29" s="2">
        <f>SUM(G13:G16)</f>
        <v>600000</v>
      </c>
      <c r="H29" s="2">
        <f>SUM(H13:H16)</f>
        <v>0</v>
      </c>
      <c r="I29" s="93"/>
    </row>
    <row r="30" spans="2:9" x14ac:dyDescent="0.25">
      <c r="B30" s="312"/>
      <c r="C30" s="1" t="s">
        <v>92</v>
      </c>
      <c r="D30" s="1"/>
      <c r="E30" s="1"/>
      <c r="F30" s="92">
        <f t="shared" si="0"/>
        <v>2.6791694574681849E-2</v>
      </c>
      <c r="G30" s="2">
        <f>SUM(G18)</f>
        <v>20000</v>
      </c>
      <c r="H30" s="2">
        <f>SUM(H18)</f>
        <v>0</v>
      </c>
      <c r="I30" s="93"/>
    </row>
    <row r="31" spans="2:9" ht="15.75" thickBot="1" x14ac:dyDescent="0.3">
      <c r="B31" s="313"/>
      <c r="C31" s="6" t="s">
        <v>93</v>
      </c>
      <c r="D31" s="6"/>
      <c r="E31" s="6"/>
      <c r="F31" s="94">
        <f t="shared" si="0"/>
        <v>2.6791694574681849E-2</v>
      </c>
      <c r="G31" s="7">
        <f>SUM(G20)</f>
        <v>20000</v>
      </c>
      <c r="H31" s="7">
        <f>SUM(H20)</f>
        <v>0</v>
      </c>
      <c r="I31" s="95"/>
    </row>
    <row r="32" spans="2:9" ht="15.75" thickBot="1" x14ac:dyDescent="0.3"/>
    <row r="33" spans="2:8" ht="15.75" thickBot="1" x14ac:dyDescent="0.3">
      <c r="B33" s="123" t="s">
        <v>11</v>
      </c>
      <c r="C33" s="303"/>
      <c r="D33" s="304"/>
      <c r="E33" s="304"/>
      <c r="F33" s="305"/>
      <c r="G33" s="99">
        <f>SUM(G22:G24)</f>
        <v>746500</v>
      </c>
      <c r="H33" s="96">
        <f>SUM(H22:H24)</f>
        <v>0</v>
      </c>
    </row>
  </sheetData>
  <mergeCells count="9">
    <mergeCell ref="B3:H3"/>
    <mergeCell ref="C33:F33"/>
    <mergeCell ref="B21:F21"/>
    <mergeCell ref="B4:B20"/>
    <mergeCell ref="B22:B24"/>
    <mergeCell ref="B27:B31"/>
    <mergeCell ref="B26:E26"/>
    <mergeCell ref="C5:C8"/>
    <mergeCell ref="C10:C1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6F274-82FC-4890-B617-5061445CD2AB}">
  <sheetPr codeName="Sheet4"/>
  <dimension ref="B2:J43"/>
  <sheetViews>
    <sheetView workbookViewId="0">
      <selection activeCell="H44" sqref="H44"/>
    </sheetView>
  </sheetViews>
  <sheetFormatPr defaultRowHeight="15" x14ac:dyDescent="0.25"/>
  <cols>
    <col min="2" max="2" width="9.5703125" bestFit="1" customWidth="1"/>
    <col min="3" max="3" width="27.140625" bestFit="1" customWidth="1"/>
    <col min="4" max="4" width="17.42578125" bestFit="1" customWidth="1"/>
    <col min="5" max="5" width="28.85546875" customWidth="1"/>
    <col min="6" max="6" width="29.7109375" customWidth="1"/>
    <col min="7" max="7" width="18.42578125" bestFit="1" customWidth="1"/>
    <col min="8" max="8" width="14.28515625" bestFit="1" customWidth="1"/>
    <col min="9" max="9" width="16.5703125" bestFit="1" customWidth="1"/>
    <col min="10" max="10" width="6.140625" bestFit="1" customWidth="1"/>
  </cols>
  <sheetData>
    <row r="2" spans="2:10" ht="15.75" thickBot="1" x14ac:dyDescent="0.3"/>
    <row r="3" spans="2:10" x14ac:dyDescent="0.25">
      <c r="B3" s="122" t="s">
        <v>102</v>
      </c>
      <c r="C3" s="18"/>
      <c r="D3" s="18"/>
      <c r="E3" s="18"/>
      <c r="F3" s="18"/>
      <c r="G3" s="18"/>
      <c r="H3" s="18"/>
      <c r="I3" s="18"/>
      <c r="J3" s="90"/>
    </row>
    <row r="4" spans="2:10" x14ac:dyDescent="0.25">
      <c r="B4" s="293"/>
      <c r="C4" s="101" t="s">
        <v>99</v>
      </c>
      <c r="D4" s="101"/>
      <c r="E4" s="101"/>
      <c r="F4" s="101"/>
      <c r="G4" s="101"/>
      <c r="H4" s="101"/>
      <c r="I4" s="101" t="s">
        <v>94</v>
      </c>
      <c r="J4" s="109"/>
    </row>
    <row r="5" spans="2:10" x14ac:dyDescent="0.25">
      <c r="B5" s="293"/>
      <c r="C5" s="318"/>
      <c r="D5" s="1" t="s">
        <v>72</v>
      </c>
      <c r="E5" s="1" t="str">
        <f>'New Mortgage look'!B22</f>
        <v>Credit Card-ASB-MJ</v>
      </c>
      <c r="F5" s="1"/>
      <c r="G5" s="1"/>
      <c r="H5" s="2">
        <f>'New Mortgage look'!C22</f>
        <v>2</v>
      </c>
      <c r="I5" s="2"/>
      <c r="J5" s="320"/>
    </row>
    <row r="6" spans="2:10" x14ac:dyDescent="0.25">
      <c r="B6" s="293"/>
      <c r="C6" s="318"/>
      <c r="D6" s="1" t="s">
        <v>89</v>
      </c>
      <c r="E6" s="1" t="str">
        <f>'New Mortgage look'!B20</f>
        <v>Credit Card-KiwiBank-SAM</v>
      </c>
      <c r="F6" s="1"/>
      <c r="G6" s="1"/>
      <c r="H6" s="2">
        <f>'New Mortgage look'!C20</f>
        <v>500</v>
      </c>
      <c r="I6" s="2"/>
      <c r="J6" s="320"/>
    </row>
    <row r="7" spans="2:10" x14ac:dyDescent="0.25">
      <c r="B7" s="293"/>
      <c r="C7" s="318"/>
      <c r="D7" s="1" t="s">
        <v>89</v>
      </c>
      <c r="E7" s="1" t="str">
        <f>'New Mortgage look'!B21</f>
        <v>Credit Card-KiwiBank-SAM</v>
      </c>
      <c r="F7" s="1"/>
      <c r="G7" s="1"/>
      <c r="H7" s="2">
        <f>'New Mortgage look'!C21</f>
        <v>1000</v>
      </c>
      <c r="I7" s="2"/>
      <c r="J7" s="320"/>
    </row>
    <row r="8" spans="2:10" x14ac:dyDescent="0.25">
      <c r="B8" s="293"/>
      <c r="C8" s="102" t="s">
        <v>103</v>
      </c>
      <c r="D8" s="102"/>
      <c r="E8" s="102"/>
      <c r="F8" s="102"/>
      <c r="G8" s="102"/>
      <c r="H8" s="102"/>
      <c r="I8" s="103"/>
      <c r="J8" s="110"/>
    </row>
    <row r="9" spans="2:10" x14ac:dyDescent="0.25">
      <c r="B9" s="293"/>
      <c r="C9" s="318"/>
      <c r="D9" s="1" t="s">
        <v>72</v>
      </c>
      <c r="E9" s="1"/>
      <c r="F9" s="1"/>
      <c r="G9" s="1"/>
      <c r="H9" s="1"/>
      <c r="I9" s="2"/>
      <c r="J9" s="4"/>
    </row>
    <row r="10" spans="2:10" x14ac:dyDescent="0.25">
      <c r="B10" s="293"/>
      <c r="C10" s="318"/>
      <c r="D10" s="318"/>
      <c r="E10" s="111" t="str">
        <f>'New Mortgage look'!B7</f>
        <v>Property3</v>
      </c>
      <c r="F10" s="111"/>
      <c r="G10" s="111"/>
      <c r="H10" s="111"/>
      <c r="I10" s="112"/>
      <c r="J10" s="113" t="s">
        <v>12</v>
      </c>
    </row>
    <row r="11" spans="2:10" x14ac:dyDescent="0.25">
      <c r="B11" s="293"/>
      <c r="C11" s="318"/>
      <c r="D11" s="318"/>
      <c r="E11" s="318"/>
      <c r="F11" s="1" t="str">
        <f>'New Mortgage look'!B49</f>
        <v>Home Loan ANZ 1 - 24 Panorama</v>
      </c>
      <c r="G11" s="106" t="str">
        <f>'New Mortgage look'!C49</f>
        <v>xxxxx-1001</v>
      </c>
      <c r="H11" s="120">
        <f>'New Mortgage look'!D49</f>
        <v>50000</v>
      </c>
      <c r="I11" s="2"/>
      <c r="J11" s="107">
        <f>'New Mortgage look'!E49</f>
        <v>4.99E-2</v>
      </c>
    </row>
    <row r="12" spans="2:10" x14ac:dyDescent="0.25">
      <c r="B12" s="293"/>
      <c r="C12" s="318"/>
      <c r="D12" s="318"/>
      <c r="E12" s="318"/>
      <c r="F12" s="1" t="str">
        <f>'New Mortgage look'!B50</f>
        <v>Home Loan ANZ 2 - 24 Panorama</v>
      </c>
      <c r="G12" s="1" t="str">
        <f>'New Mortgage look'!C50</f>
        <v>xxxxx-1002</v>
      </c>
      <c r="H12" s="120">
        <f>'New Mortgage look'!D50</f>
        <v>70000</v>
      </c>
      <c r="I12" s="2"/>
      <c r="J12" s="107">
        <f>'New Mortgage look'!E50</f>
        <v>5.1499999999999997E-2</v>
      </c>
    </row>
    <row r="13" spans="2:10" x14ac:dyDescent="0.25">
      <c r="B13" s="293"/>
      <c r="C13" s="318"/>
      <c r="D13" s="318"/>
      <c r="E13" s="318"/>
      <c r="F13" s="1" t="str">
        <f>'New Mortgage look'!B51</f>
        <v>Home Loan ANZ 3 - 24 Panorama</v>
      </c>
      <c r="G13" s="1" t="str">
        <f>'New Mortgage look'!C51</f>
        <v>xxxxx-1003</v>
      </c>
      <c r="H13" s="120">
        <f>'New Mortgage look'!D51</f>
        <v>80000</v>
      </c>
      <c r="I13" s="2"/>
      <c r="J13" s="107">
        <f>'New Mortgage look'!E51</f>
        <v>5.79E-2</v>
      </c>
    </row>
    <row r="14" spans="2:10" x14ac:dyDescent="0.25">
      <c r="B14" s="293"/>
      <c r="C14" s="318"/>
      <c r="D14" s="1" t="s">
        <v>89</v>
      </c>
      <c r="E14" s="1"/>
      <c r="F14" s="1"/>
      <c r="G14" s="1"/>
      <c r="H14" s="1"/>
      <c r="I14" s="2"/>
      <c r="J14" s="4"/>
    </row>
    <row r="15" spans="2:10" x14ac:dyDescent="0.25">
      <c r="B15" s="293"/>
      <c r="C15" s="318"/>
      <c r="D15" s="318"/>
      <c r="E15" s="114" t="str">
        <f>'New Mortgage look'!B6</f>
        <v>Propert2</v>
      </c>
      <c r="F15" s="114"/>
      <c r="G15" s="114"/>
      <c r="H15" s="114"/>
      <c r="I15" s="115"/>
      <c r="J15" s="116"/>
    </row>
    <row r="16" spans="2:10" x14ac:dyDescent="0.25">
      <c r="B16" s="293"/>
      <c r="C16" s="318"/>
      <c r="D16" s="318"/>
      <c r="E16" s="318"/>
      <c r="F16" s="1"/>
      <c r="G16" s="1"/>
      <c r="H16" s="120"/>
      <c r="I16" s="2"/>
      <c r="J16" s="107"/>
    </row>
    <row r="17" spans="2:10" x14ac:dyDescent="0.25">
      <c r="B17" s="293"/>
      <c r="C17" s="318"/>
      <c r="D17" s="318"/>
      <c r="E17" s="318"/>
      <c r="F17" s="1" t="str">
        <f>'New Mortgage look'!B52</f>
        <v>KiwiBank 1 - 5B Cleary Road</v>
      </c>
      <c r="G17" s="1" t="str">
        <f>'New Mortgage look'!C52</f>
        <v>38-9016-xxxxx-10</v>
      </c>
      <c r="H17" s="120">
        <f>'New Mortgage look'!D52</f>
        <v>90000</v>
      </c>
      <c r="I17" s="2"/>
      <c r="J17" s="107">
        <f>'New Mortgage look'!E52</f>
        <v>6.54E-2</v>
      </c>
    </row>
    <row r="18" spans="2:10" x14ac:dyDescent="0.25">
      <c r="B18" s="293"/>
      <c r="C18" s="318"/>
      <c r="D18" s="1" t="s">
        <v>91</v>
      </c>
      <c r="E18" s="1"/>
      <c r="F18" s="1"/>
      <c r="G18" s="1"/>
      <c r="H18" s="1"/>
      <c r="I18" s="2"/>
      <c r="J18" s="4"/>
    </row>
    <row r="19" spans="2:10" x14ac:dyDescent="0.25">
      <c r="B19" s="293"/>
      <c r="C19" s="318"/>
      <c r="D19" s="318"/>
      <c r="E19" s="117" t="str">
        <f>'New Mortgage look'!B8</f>
        <v>Property4</v>
      </c>
      <c r="F19" s="117"/>
      <c r="G19" s="117"/>
      <c r="H19" s="117"/>
      <c r="I19" s="118"/>
      <c r="J19" s="119"/>
    </row>
    <row r="20" spans="2:10" x14ac:dyDescent="0.25">
      <c r="B20" s="293"/>
      <c r="C20" s="318"/>
      <c r="D20" s="318"/>
      <c r="E20" s="318"/>
      <c r="F20" s="1" t="str">
        <f>'New Mortgage look'!B53</f>
        <v>KiwiBank 2 - 8 Denning Place</v>
      </c>
      <c r="G20" s="1" t="str">
        <f>'New Mortgage look'!C53</f>
        <v>38-9016-xxxxx-06</v>
      </c>
      <c r="H20" s="120">
        <f>'New Mortgage look'!D53</f>
        <v>100000</v>
      </c>
      <c r="I20" s="2"/>
      <c r="J20" s="107">
        <f>'New Mortgage look'!E53</f>
        <v>6.54E-2</v>
      </c>
    </row>
    <row r="21" spans="2:10" x14ac:dyDescent="0.25">
      <c r="B21" s="293"/>
      <c r="C21" s="318"/>
      <c r="D21" s="318"/>
      <c r="E21" s="318"/>
      <c r="F21" s="1" t="str">
        <f>'New Mortgage look'!B54</f>
        <v>KiwiBank 3 - 8 Denning Place</v>
      </c>
      <c r="G21" s="1" t="str">
        <f>'New Mortgage look'!C54</f>
        <v>38-9016-xxxxx-07</v>
      </c>
      <c r="H21" s="120">
        <f>'New Mortgage look'!D54</f>
        <v>60000</v>
      </c>
      <c r="I21" s="2"/>
      <c r="J21" s="107">
        <f>'New Mortgage look'!E54</f>
        <v>6.54E-2</v>
      </c>
    </row>
    <row r="22" spans="2:10" x14ac:dyDescent="0.25">
      <c r="B22" s="293"/>
      <c r="C22" s="318"/>
      <c r="D22" s="318"/>
      <c r="E22" s="318"/>
      <c r="F22" s="1" t="str">
        <f>'New Mortgage look'!B55</f>
        <v>KiwiBank 4 - 8 Denning Place</v>
      </c>
      <c r="G22" s="1" t="str">
        <f>'New Mortgage look'!C55</f>
        <v>38-9016-xxxxx-08</v>
      </c>
      <c r="H22" s="120">
        <f>'New Mortgage look'!D55</f>
        <v>40000</v>
      </c>
      <c r="I22" s="2"/>
      <c r="J22" s="107">
        <f>'New Mortgage look'!E55</f>
        <v>6.6400000000000001E-2</v>
      </c>
    </row>
    <row r="23" spans="2:10" x14ac:dyDescent="0.25">
      <c r="B23" s="293"/>
      <c r="C23" s="318"/>
      <c r="D23" s="318"/>
      <c r="E23" s="114" t="str">
        <f>'New Mortgage look'!B5</f>
        <v>Property1</v>
      </c>
      <c r="F23" s="114"/>
      <c r="G23" s="114"/>
      <c r="H23" s="114"/>
      <c r="I23" s="115"/>
      <c r="J23" s="116"/>
    </row>
    <row r="24" spans="2:10" x14ac:dyDescent="0.25">
      <c r="B24" s="293"/>
      <c r="C24" s="318"/>
      <c r="D24" s="318"/>
      <c r="E24" s="318"/>
      <c r="F24" s="1" t="str">
        <f>'New Mortgage look'!B56</f>
        <v>KiwiBank 5 - 6/29 Te Koa Road</v>
      </c>
      <c r="G24" s="1" t="str">
        <f>'New Mortgage look'!C56</f>
        <v>38-9016-xxxxx-14</v>
      </c>
      <c r="H24" s="120">
        <f>'New Mortgage look'!D56</f>
        <v>30000</v>
      </c>
      <c r="I24" s="2"/>
      <c r="J24" s="107">
        <f>'New Mortgage look'!E56</f>
        <v>5.7500000000000002E-2</v>
      </c>
    </row>
    <row r="25" spans="2:10" ht="15.75" thickBot="1" x14ac:dyDescent="0.3">
      <c r="B25" s="294"/>
      <c r="C25" s="319"/>
      <c r="D25" s="319"/>
      <c r="E25" s="319"/>
      <c r="F25" s="6" t="str">
        <f>'New Mortgage look'!B57</f>
        <v>KiwiBank 6 - 6/29 Te Koa Road</v>
      </c>
      <c r="G25" s="6" t="str">
        <f>'New Mortgage look'!C57</f>
        <v>38-9016-xxxxx-15</v>
      </c>
      <c r="H25" s="121">
        <f>'New Mortgage look'!D57</f>
        <v>30000</v>
      </c>
      <c r="I25" s="7"/>
      <c r="J25" s="108">
        <f>'New Mortgage look'!E57</f>
        <v>5.7500000000000002E-2</v>
      </c>
    </row>
    <row r="28" spans="2:10" ht="15.75" thickBot="1" x14ac:dyDescent="0.3"/>
    <row r="29" spans="2:10" x14ac:dyDescent="0.25">
      <c r="B29" s="122" t="s">
        <v>96</v>
      </c>
      <c r="C29" s="18"/>
      <c r="D29" s="18"/>
      <c r="E29" s="18"/>
      <c r="F29" s="18"/>
      <c r="G29" s="18"/>
      <c r="H29" s="18"/>
      <c r="I29" s="90"/>
    </row>
    <row r="30" spans="2:10" x14ac:dyDescent="0.25">
      <c r="B30" s="3"/>
      <c r="C30" s="1" t="s">
        <v>72</v>
      </c>
      <c r="D30" s="1"/>
      <c r="E30" s="1"/>
      <c r="F30" s="1"/>
      <c r="G30" s="2"/>
      <c r="H30" s="2">
        <f>SUM(H11:H13)+H5</f>
        <v>200002</v>
      </c>
      <c r="I30" s="91">
        <f>SUM(I11:I13)+I5</f>
        <v>0</v>
      </c>
    </row>
    <row r="31" spans="2:10" x14ac:dyDescent="0.25">
      <c r="B31" s="3"/>
      <c r="C31" s="1" t="s">
        <v>89</v>
      </c>
      <c r="D31" s="1"/>
      <c r="E31" s="1"/>
      <c r="F31" s="1"/>
      <c r="G31" s="2"/>
      <c r="H31" s="2">
        <f>H17+SUM(H6:H7)</f>
        <v>91500</v>
      </c>
      <c r="I31" s="91">
        <f>SUM(I16:I17)+SUM(I6:I7)</f>
        <v>0</v>
      </c>
    </row>
    <row r="32" spans="2:10" ht="15.75" thickBot="1" x14ac:dyDescent="0.3">
      <c r="B32" s="5"/>
      <c r="C32" s="6" t="s">
        <v>95</v>
      </c>
      <c r="D32" s="6"/>
      <c r="E32" s="6"/>
      <c r="F32" s="6"/>
      <c r="G32" s="7"/>
      <c r="H32" s="7">
        <f>SUM(H20:H22)+SUM(H24:H25)</f>
        <v>260000</v>
      </c>
      <c r="I32" s="19">
        <f>SUM(I20:I22)+SUM(I24:I25)</f>
        <v>0</v>
      </c>
    </row>
    <row r="33" spans="2:9" ht="15.75" thickBot="1" x14ac:dyDescent="0.3">
      <c r="G33" s="8"/>
      <c r="H33" s="8"/>
    </row>
    <row r="34" spans="2:9" x14ac:dyDescent="0.25">
      <c r="B34" s="122" t="s">
        <v>98</v>
      </c>
      <c r="C34" s="18"/>
      <c r="D34" s="18"/>
      <c r="E34" s="18"/>
      <c r="F34" s="18"/>
      <c r="G34" s="89"/>
      <c r="H34" s="18"/>
      <c r="I34" s="90"/>
    </row>
    <row r="35" spans="2:9" x14ac:dyDescent="0.25">
      <c r="B35" s="3"/>
      <c r="C35" s="1" t="s">
        <v>99</v>
      </c>
      <c r="D35" s="1"/>
      <c r="E35" s="1"/>
      <c r="F35" s="92"/>
      <c r="G35" s="2"/>
      <c r="H35" s="2">
        <f>SUM(H5:H7)</f>
        <v>1502</v>
      </c>
      <c r="I35" s="91">
        <f>SUM(I5:I7)</f>
        <v>0</v>
      </c>
    </row>
    <row r="36" spans="2:9" x14ac:dyDescent="0.25">
      <c r="B36" s="3"/>
      <c r="C36" s="1" t="str">
        <f>"Mortgage1-"&amp;E10</f>
        <v>Mortgage1-Property3</v>
      </c>
      <c r="D36" s="1"/>
      <c r="E36" s="1"/>
      <c r="F36" s="92"/>
      <c r="G36" s="2"/>
      <c r="H36" s="2">
        <f>SUM(H11:H13)</f>
        <v>200000</v>
      </c>
      <c r="I36" s="91">
        <f>SUM(I11:I13)</f>
        <v>0</v>
      </c>
    </row>
    <row r="37" spans="2:9" x14ac:dyDescent="0.25">
      <c r="B37" s="3"/>
      <c r="C37" s="1" t="str">
        <f>"Mortgage2-"&amp;E15</f>
        <v>Mortgage2-Propert2</v>
      </c>
      <c r="D37" s="1"/>
      <c r="E37" s="1"/>
      <c r="F37" s="92"/>
      <c r="G37" s="2"/>
      <c r="H37" s="2">
        <f>H17</f>
        <v>90000</v>
      </c>
      <c r="I37" s="91">
        <f>SUM(I16:I17)</f>
        <v>0</v>
      </c>
    </row>
    <row r="38" spans="2:9" x14ac:dyDescent="0.25">
      <c r="B38" s="3"/>
      <c r="C38" s="1" t="str">
        <f>"Mortgage3-"&amp;E19</f>
        <v>Mortgage3-Property4</v>
      </c>
      <c r="D38" s="1"/>
      <c r="E38" s="1"/>
      <c r="F38" s="92"/>
      <c r="G38" s="2"/>
      <c r="H38" s="2">
        <f>SUM(H20:H22)</f>
        <v>200000</v>
      </c>
      <c r="I38" s="91">
        <f>SUM(I20:I22)</f>
        <v>0</v>
      </c>
    </row>
    <row r="39" spans="2:9" ht="15.75" thickBot="1" x14ac:dyDescent="0.3">
      <c r="B39" s="5"/>
      <c r="C39" s="6" t="str">
        <f>"Mortgage4-"&amp;E23</f>
        <v>Mortgage4-Property1</v>
      </c>
      <c r="D39" s="6"/>
      <c r="E39" s="6"/>
      <c r="F39" s="94"/>
      <c r="G39" s="7"/>
      <c r="H39" s="7">
        <f>SUM(H24:H25)</f>
        <v>60000</v>
      </c>
      <c r="I39" s="19">
        <f>SUM(I24:I25)</f>
        <v>0</v>
      </c>
    </row>
    <row r="42" spans="2:9" ht="15.75" thickBot="1" x14ac:dyDescent="0.3"/>
    <row r="43" spans="2:9" ht="15.75" thickBot="1" x14ac:dyDescent="0.3">
      <c r="B43" s="123" t="s">
        <v>11</v>
      </c>
      <c r="C43" s="245"/>
      <c r="D43" s="246"/>
      <c r="E43" s="246"/>
      <c r="F43" s="246"/>
      <c r="G43" s="247"/>
      <c r="H43" s="99">
        <f>SUM(H30:H32)</f>
        <v>551502</v>
      </c>
      <c r="I43" s="96">
        <f>SUM(I30:I32)</f>
        <v>0</v>
      </c>
    </row>
  </sheetData>
  <mergeCells count="11">
    <mergeCell ref="E24:E25"/>
    <mergeCell ref="D19:D25"/>
    <mergeCell ref="C9:C25"/>
    <mergeCell ref="B4:B25"/>
    <mergeCell ref="J5:J7"/>
    <mergeCell ref="C5:C7"/>
    <mergeCell ref="D10:D13"/>
    <mergeCell ref="D15:D17"/>
    <mergeCell ref="E11:E13"/>
    <mergeCell ref="E16:E17"/>
    <mergeCell ref="E20:E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3E3B-7C5C-49B8-B8C8-80ACD089E7B4}">
  <sheetPr codeName="Sheet5"/>
  <dimension ref="B2:H28"/>
  <sheetViews>
    <sheetView workbookViewId="0">
      <selection activeCell="H28" sqref="H28"/>
    </sheetView>
  </sheetViews>
  <sheetFormatPr defaultRowHeight="15" x14ac:dyDescent="0.25"/>
  <cols>
    <col min="2" max="2" width="9.28515625" bestFit="1" customWidth="1"/>
    <col min="3" max="3" width="31" bestFit="1" customWidth="1"/>
    <col min="4" max="4" width="5" bestFit="1" customWidth="1"/>
    <col min="5" max="5" width="17.42578125" bestFit="1" customWidth="1"/>
    <col min="7" max="7" width="13.85546875" bestFit="1" customWidth="1"/>
    <col min="8" max="8" width="16.5703125" bestFit="1" customWidth="1"/>
  </cols>
  <sheetData>
    <row r="2" spans="2:8" ht="15.75" thickBot="1" x14ac:dyDescent="0.3"/>
    <row r="3" spans="2:8" x14ac:dyDescent="0.25">
      <c r="B3" s="122" t="s">
        <v>71</v>
      </c>
      <c r="C3" s="18"/>
      <c r="D3" s="18"/>
      <c r="E3" s="18"/>
      <c r="F3" s="18"/>
      <c r="G3" s="18"/>
      <c r="H3" s="90"/>
    </row>
    <row r="4" spans="2:8" x14ac:dyDescent="0.25">
      <c r="B4" s="293"/>
      <c r="C4" s="101" t="s">
        <v>104</v>
      </c>
      <c r="D4" s="101"/>
      <c r="E4" s="101"/>
      <c r="F4" s="101"/>
      <c r="G4" s="101" t="s">
        <v>107</v>
      </c>
      <c r="H4" s="109" t="s">
        <v>94</v>
      </c>
    </row>
    <row r="5" spans="2:8" x14ac:dyDescent="0.25">
      <c r="B5" s="293"/>
      <c r="C5" s="318"/>
      <c r="D5" s="1" t="s">
        <v>72</v>
      </c>
      <c r="E5" s="1" t="s">
        <v>105</v>
      </c>
      <c r="F5" s="1"/>
      <c r="G5" s="49">
        <f>'New Mortgage look'!D80+'New Mortgage look'!E80+'New Mortgage look'!F80+'New Mortgage look'!H80</f>
        <v>4062.5</v>
      </c>
      <c r="H5" s="124"/>
    </row>
    <row r="6" spans="2:8" x14ac:dyDescent="0.25">
      <c r="B6" s="293"/>
      <c r="C6" s="318"/>
      <c r="D6" s="1" t="s">
        <v>89</v>
      </c>
      <c r="E6" s="1" t="s">
        <v>106</v>
      </c>
      <c r="F6" s="1"/>
      <c r="G6" s="49">
        <f>'New Mortgage look'!D81+'New Mortgage look'!E81+'New Mortgage look'!F81+'New Mortgage look'!H81</f>
        <v>3020.8333333333335</v>
      </c>
      <c r="H6" s="124"/>
    </row>
    <row r="7" spans="2:8" x14ac:dyDescent="0.25">
      <c r="B7" s="293"/>
      <c r="C7" s="102" t="s">
        <v>35</v>
      </c>
      <c r="D7" s="102"/>
      <c r="E7" s="102"/>
      <c r="F7" s="102"/>
      <c r="G7" s="102"/>
      <c r="H7" s="110"/>
    </row>
    <row r="8" spans="2:8" x14ac:dyDescent="0.25">
      <c r="B8" s="293"/>
      <c r="C8" s="318"/>
      <c r="D8" s="1" t="s">
        <v>72</v>
      </c>
      <c r="E8" s="1" t="str">
        <f>'New Mortgage look'!B7</f>
        <v>Property3</v>
      </c>
      <c r="F8" s="1"/>
      <c r="G8" s="49">
        <f>'New Mortgage look'!D92</f>
        <v>808.88888888888891</v>
      </c>
      <c r="H8" s="124"/>
    </row>
    <row r="9" spans="2:8" x14ac:dyDescent="0.25">
      <c r="B9" s="293"/>
      <c r="C9" s="318"/>
      <c r="D9" s="1" t="s">
        <v>89</v>
      </c>
      <c r="E9" s="1" t="str">
        <f>'New Mortgage look'!B6</f>
        <v>Propert2</v>
      </c>
      <c r="F9" s="1"/>
      <c r="G9" s="49">
        <f>'New Mortgage look'!D93</f>
        <v>1315.7894736842104</v>
      </c>
      <c r="H9" s="124"/>
    </row>
    <row r="10" spans="2:8" ht="15.75" thickBot="1" x14ac:dyDescent="0.3">
      <c r="B10" s="294"/>
      <c r="C10" s="319"/>
      <c r="D10" s="6" t="s">
        <v>219</v>
      </c>
      <c r="E10" s="6" t="str">
        <f>'New Mortgage look'!B5</f>
        <v>Property1</v>
      </c>
      <c r="F10" s="6"/>
      <c r="G10" s="125">
        <f>'New Mortgage look'!D91</f>
        <v>0</v>
      </c>
      <c r="H10" s="126"/>
    </row>
    <row r="13" spans="2:8" ht="15.75" thickBot="1" x14ac:dyDescent="0.3"/>
    <row r="14" spans="2:8" x14ac:dyDescent="0.25">
      <c r="B14" s="122" t="s">
        <v>96</v>
      </c>
      <c r="C14" s="18"/>
      <c r="D14" s="18"/>
      <c r="E14" s="18"/>
      <c r="F14" s="18"/>
      <c r="G14" s="18"/>
      <c r="H14" s="90"/>
    </row>
    <row r="15" spans="2:8" x14ac:dyDescent="0.25">
      <c r="B15" s="3"/>
      <c r="C15" s="1" t="s">
        <v>72</v>
      </c>
      <c r="D15" s="1"/>
      <c r="E15" s="1"/>
      <c r="F15" s="1"/>
      <c r="G15" s="49">
        <f>G5+G8</f>
        <v>4871.3888888888887</v>
      </c>
      <c r="H15" s="124"/>
    </row>
    <row r="16" spans="2:8" x14ac:dyDescent="0.25">
      <c r="B16" s="3"/>
      <c r="C16" s="1" t="s">
        <v>89</v>
      </c>
      <c r="D16" s="1"/>
      <c r="E16" s="1"/>
      <c r="F16" s="1"/>
      <c r="G16" s="49">
        <f>G6+G9</f>
        <v>4336.6228070175439</v>
      </c>
      <c r="H16" s="124"/>
    </row>
    <row r="17" spans="2:8" ht="15.75" thickBot="1" x14ac:dyDescent="0.3">
      <c r="B17" s="5"/>
      <c r="C17" s="6" t="s">
        <v>91</v>
      </c>
      <c r="D17" s="6"/>
      <c r="E17" s="6"/>
      <c r="F17" s="6"/>
      <c r="G17" s="125">
        <f>G10</f>
        <v>0</v>
      </c>
      <c r="H17" s="126"/>
    </row>
    <row r="19" spans="2:8" ht="15.75" thickBot="1" x14ac:dyDescent="0.3"/>
    <row r="20" spans="2:8" x14ac:dyDescent="0.25">
      <c r="B20" s="122" t="s">
        <v>98</v>
      </c>
      <c r="C20" s="18"/>
      <c r="D20" s="18"/>
      <c r="E20" s="18"/>
      <c r="F20" s="18"/>
      <c r="G20" s="18"/>
      <c r="H20" s="90"/>
    </row>
    <row r="21" spans="2:8" x14ac:dyDescent="0.25">
      <c r="B21" s="3"/>
      <c r="C21" s="1" t="str">
        <f>C4&amp;" "&amp;D5</f>
        <v>Salary MJ</v>
      </c>
      <c r="D21" s="1"/>
      <c r="E21" s="1"/>
      <c r="F21" s="1"/>
      <c r="G21" s="49">
        <f>G5</f>
        <v>4062.5</v>
      </c>
      <c r="H21" s="124"/>
    </row>
    <row r="22" spans="2:8" x14ac:dyDescent="0.25">
      <c r="B22" s="3"/>
      <c r="C22" s="1" t="str">
        <f>C4&amp;" "&amp;D6</f>
        <v>Salary SAM</v>
      </c>
      <c r="D22" s="1"/>
      <c r="E22" s="1"/>
      <c r="F22" s="1"/>
      <c r="G22" s="49">
        <f>G6</f>
        <v>3020.8333333333335</v>
      </c>
      <c r="H22" s="124"/>
    </row>
    <row r="23" spans="2:8" x14ac:dyDescent="0.25">
      <c r="B23" s="3"/>
      <c r="C23" s="1" t="str">
        <f>C7&amp;" "&amp;E8</f>
        <v>Rental Income Property3</v>
      </c>
      <c r="D23" s="1"/>
      <c r="E23" s="1"/>
      <c r="F23" s="1"/>
      <c r="G23" s="49">
        <f t="shared" ref="G23:H25" si="0">G8</f>
        <v>808.88888888888891</v>
      </c>
      <c r="H23" s="124"/>
    </row>
    <row r="24" spans="2:8" x14ac:dyDescent="0.25">
      <c r="B24" s="3"/>
      <c r="C24" s="1" t="str">
        <f>C7&amp;""&amp;E9</f>
        <v>Rental IncomePropert2</v>
      </c>
      <c r="D24" s="1"/>
      <c r="E24" s="1"/>
      <c r="F24" s="1"/>
      <c r="G24" s="49">
        <f t="shared" si="0"/>
        <v>1315.7894736842104</v>
      </c>
      <c r="H24" s="124"/>
    </row>
    <row r="25" spans="2:8" ht="15.75" thickBot="1" x14ac:dyDescent="0.3">
      <c r="B25" s="5"/>
      <c r="C25" s="6" t="str">
        <f>C7&amp;""&amp;E10</f>
        <v>Rental IncomeProperty1</v>
      </c>
      <c r="D25" s="6"/>
      <c r="E25" s="6"/>
      <c r="F25" s="6"/>
      <c r="G25" s="125">
        <f t="shared" si="0"/>
        <v>0</v>
      </c>
      <c r="H25" s="126"/>
    </row>
    <row r="27" spans="2:8" ht="15.75" thickBot="1" x14ac:dyDescent="0.3"/>
    <row r="28" spans="2:8" ht="15.75" thickBot="1" x14ac:dyDescent="0.3">
      <c r="B28" s="123" t="s">
        <v>11</v>
      </c>
      <c r="C28" s="245"/>
      <c r="D28" s="246"/>
      <c r="E28" s="246"/>
      <c r="F28" s="247"/>
      <c r="G28" s="128">
        <f>SUM(G15:G17)</f>
        <v>9208.0116959064326</v>
      </c>
      <c r="H28" s="127"/>
    </row>
  </sheetData>
  <mergeCells count="3">
    <mergeCell ref="C5:C6"/>
    <mergeCell ref="C8:C10"/>
    <mergeCell ref="B4:B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AAEF-7D91-414F-9D1D-F41D5670C941}">
  <sheetPr codeName="Sheet6"/>
  <dimension ref="B1:R60"/>
  <sheetViews>
    <sheetView zoomScaleNormal="100" workbookViewId="0">
      <selection activeCell="M3" sqref="M3"/>
    </sheetView>
  </sheetViews>
  <sheetFormatPr defaultRowHeight="15" x14ac:dyDescent="0.25"/>
  <cols>
    <col min="2" max="2" width="9.7109375" bestFit="1" customWidth="1"/>
    <col min="3" max="3" width="29" bestFit="1" customWidth="1"/>
    <col min="4" max="4" width="28.42578125" bestFit="1" customWidth="1"/>
    <col min="8" max="8" width="11.140625" bestFit="1" customWidth="1"/>
    <col min="9" max="9" width="18" bestFit="1" customWidth="1"/>
    <col min="12" max="12" width="8.85546875" bestFit="1" customWidth="1"/>
    <col min="13" max="13" width="29" bestFit="1" customWidth="1"/>
    <col min="17" max="17" width="14" bestFit="1" customWidth="1"/>
    <col min="18" max="18" width="18" bestFit="1" customWidth="1"/>
  </cols>
  <sheetData>
    <row r="1" spans="2:18" ht="15.75" thickBot="1" x14ac:dyDescent="0.3"/>
    <row r="2" spans="2:18" x14ac:dyDescent="0.25">
      <c r="B2" s="122" t="s">
        <v>112</v>
      </c>
      <c r="C2" s="18"/>
      <c r="D2" s="18"/>
      <c r="E2" s="18"/>
      <c r="F2" s="18"/>
      <c r="G2" s="18"/>
      <c r="H2" s="18"/>
      <c r="I2" s="90"/>
      <c r="L2" s="122" t="s">
        <v>98</v>
      </c>
      <c r="M2" s="18"/>
      <c r="N2" s="18"/>
      <c r="O2" s="18"/>
      <c r="P2" s="18"/>
      <c r="Q2" s="180" t="s">
        <v>47</v>
      </c>
      <c r="R2" s="181" t="s">
        <v>94</v>
      </c>
    </row>
    <row r="3" spans="2:18" x14ac:dyDescent="0.25">
      <c r="B3" s="3"/>
      <c r="C3" s="1" t="s">
        <v>113</v>
      </c>
      <c r="D3" s="1"/>
      <c r="E3" s="1"/>
      <c r="F3" s="1"/>
      <c r="G3" s="1"/>
      <c r="H3" s="101" t="s">
        <v>47</v>
      </c>
      <c r="I3" s="109" t="s">
        <v>94</v>
      </c>
      <c r="L3" s="3"/>
      <c r="M3" s="1" t="str">
        <f>C3</f>
        <v>Groceries</v>
      </c>
      <c r="N3" s="1"/>
      <c r="O3" s="1"/>
      <c r="P3" s="1"/>
      <c r="Q3" s="49">
        <f>H4</f>
        <v>387.64</v>
      </c>
      <c r="R3" s="124">
        <f ca="1">I4</f>
        <v>511.5</v>
      </c>
    </row>
    <row r="4" spans="2:18" x14ac:dyDescent="0.25">
      <c r="B4" s="3"/>
      <c r="C4" s="1"/>
      <c r="D4" s="141" t="s">
        <v>113</v>
      </c>
      <c r="E4" s="1"/>
      <c r="F4" s="1"/>
      <c r="G4" s="1"/>
      <c r="H4" s="49">
        <v>387.64</v>
      </c>
      <c r="I4" s="124">
        <f ca="1">SIGN(H4) * ROUND(RAND() * ABS(H4) * 1.5, 2)</f>
        <v>511.5</v>
      </c>
      <c r="L4" s="3"/>
      <c r="M4" s="1" t="str">
        <f>C5</f>
        <v>Personal Care</v>
      </c>
      <c r="N4" s="1"/>
      <c r="O4" s="1"/>
      <c r="P4" s="1"/>
      <c r="Q4" s="49">
        <f>SUM(H6:H7)</f>
        <v>421.05</v>
      </c>
      <c r="R4" s="124">
        <f ca="1">SUM(I6:I7)</f>
        <v>473.22</v>
      </c>
    </row>
    <row r="5" spans="2:18" x14ac:dyDescent="0.25">
      <c r="B5" s="3"/>
      <c r="C5" s="1" t="s">
        <v>119</v>
      </c>
      <c r="D5" s="1"/>
      <c r="E5" s="1"/>
      <c r="F5" s="1"/>
      <c r="G5" s="1"/>
      <c r="H5" s="1">
        <v>0</v>
      </c>
      <c r="I5" s="124">
        <f t="shared" ref="I5:I58" ca="1" si="0">SIGN(H5) * ROUND(RAND() * ABS(H5) * 1.5, 2)</f>
        <v>0</v>
      </c>
      <c r="L5" s="3"/>
      <c r="M5" s="1" t="str">
        <f>C8</f>
        <v>Medical</v>
      </c>
      <c r="N5" s="1"/>
      <c r="O5" s="1"/>
      <c r="P5" s="1"/>
      <c r="Q5" s="49">
        <f>H9</f>
        <v>13.16</v>
      </c>
      <c r="R5" s="124">
        <f ca="1">I9</f>
        <v>5.83</v>
      </c>
    </row>
    <row r="6" spans="2:18" x14ac:dyDescent="0.25">
      <c r="B6" s="3"/>
      <c r="C6" s="318"/>
      <c r="D6" s="146" t="s">
        <v>120</v>
      </c>
      <c r="E6" s="1"/>
      <c r="F6" s="1"/>
      <c r="G6" s="1"/>
      <c r="H6" s="49">
        <v>67.569999999999993</v>
      </c>
      <c r="I6" s="124">
        <f t="shared" ca="1" si="0"/>
        <v>79.47</v>
      </c>
      <c r="L6" s="3"/>
      <c r="M6" s="1" t="str">
        <f>C10</f>
        <v>Recreational &amp; Entertainment</v>
      </c>
      <c r="N6" s="1"/>
      <c r="O6" s="1"/>
      <c r="P6" s="1"/>
      <c r="Q6" s="49">
        <f>SUM(H11:H14)</f>
        <v>1999.34</v>
      </c>
      <c r="R6" s="124">
        <f ca="1">SUM(I11:I14)</f>
        <v>2333.7799999999997</v>
      </c>
    </row>
    <row r="7" spans="2:18" x14ac:dyDescent="0.25">
      <c r="B7" s="3"/>
      <c r="C7" s="318"/>
      <c r="D7" s="143" t="s">
        <v>119</v>
      </c>
      <c r="E7" s="1"/>
      <c r="F7" s="1"/>
      <c r="G7" s="1"/>
      <c r="H7" s="49">
        <v>353.48</v>
      </c>
      <c r="I7" s="124">
        <f t="shared" ca="1" si="0"/>
        <v>393.75</v>
      </c>
      <c r="L7" s="3"/>
      <c r="M7" s="1" t="str">
        <f>C15</f>
        <v>Telephone &amp; Internet</v>
      </c>
      <c r="N7" s="1"/>
      <c r="O7" s="1"/>
      <c r="P7" s="1"/>
      <c r="Q7" s="49">
        <f>SUM(H16:H17)</f>
        <v>42.73</v>
      </c>
      <c r="R7" s="124">
        <f ca="1">SUM(I16:I17)</f>
        <v>26.32</v>
      </c>
    </row>
    <row r="8" spans="2:18" x14ac:dyDescent="0.25">
      <c r="B8" s="3"/>
      <c r="C8" s="1" t="s">
        <v>50</v>
      </c>
      <c r="D8" s="1"/>
      <c r="E8" s="1"/>
      <c r="F8" s="1"/>
      <c r="G8" s="1"/>
      <c r="H8" s="1">
        <v>0</v>
      </c>
      <c r="I8" s="124">
        <f t="shared" ca="1" si="0"/>
        <v>0</v>
      </c>
      <c r="L8" s="3"/>
      <c r="M8" s="1" t="str">
        <f>C18</f>
        <v>Transport</v>
      </c>
      <c r="N8" s="1"/>
      <c r="O8" s="1"/>
      <c r="P8" s="1"/>
      <c r="Q8" s="49">
        <f>H19</f>
        <v>302.07</v>
      </c>
      <c r="R8" s="124">
        <f ca="1">I19</f>
        <v>394.76</v>
      </c>
    </row>
    <row r="9" spans="2:18" x14ac:dyDescent="0.25">
      <c r="B9" s="3"/>
      <c r="C9" s="1"/>
      <c r="D9" s="142" t="s">
        <v>146</v>
      </c>
      <c r="E9" s="1"/>
      <c r="F9" s="1"/>
      <c r="G9" s="1"/>
      <c r="H9" s="49">
        <v>13.16</v>
      </c>
      <c r="I9" s="124">
        <f t="shared" ca="1" si="0"/>
        <v>5.83</v>
      </c>
      <c r="L9" s="3"/>
      <c r="M9" s="1" t="str">
        <f>C20</f>
        <v>Insurance</v>
      </c>
      <c r="N9" s="1"/>
      <c r="O9" s="1"/>
      <c r="P9" s="1"/>
      <c r="Q9" s="49">
        <f>SUM(H21:H23)</f>
        <v>103.44999999999999</v>
      </c>
      <c r="R9" s="124">
        <f ca="1">SUM(I21:I23)</f>
        <v>68.06</v>
      </c>
    </row>
    <row r="10" spans="2:18" x14ac:dyDescent="0.25">
      <c r="B10" s="3"/>
      <c r="C10" s="1" t="s">
        <v>121</v>
      </c>
      <c r="D10" s="1"/>
      <c r="E10" s="1"/>
      <c r="F10" s="1"/>
      <c r="G10" s="1"/>
      <c r="H10" s="1">
        <v>0</v>
      </c>
      <c r="I10" s="124">
        <f t="shared" ca="1" si="0"/>
        <v>0</v>
      </c>
      <c r="L10" s="3"/>
      <c r="M10" s="1" t="str">
        <f>C24</f>
        <v>Property4</v>
      </c>
      <c r="N10" s="1"/>
      <c r="O10" s="1"/>
      <c r="P10" s="1"/>
      <c r="Q10" s="49">
        <f>SUM(H25:H30)</f>
        <v>632.65000000000009</v>
      </c>
      <c r="R10" s="124">
        <f ca="1">SUM(I25:I30)</f>
        <v>463.41999999999996</v>
      </c>
    </row>
    <row r="11" spans="2:18" x14ac:dyDescent="0.25">
      <c r="B11" s="3"/>
      <c r="C11" s="318"/>
      <c r="D11" s="151" t="s">
        <v>122</v>
      </c>
      <c r="E11" s="1"/>
      <c r="F11" s="1"/>
      <c r="G11" s="1"/>
      <c r="H11" s="49">
        <v>105.62</v>
      </c>
      <c r="I11" s="124">
        <f t="shared" ca="1" si="0"/>
        <v>154.34</v>
      </c>
      <c r="L11" s="3"/>
      <c r="M11" s="1" t="str">
        <f>C31</f>
        <v>Property3</v>
      </c>
      <c r="N11" s="1"/>
      <c r="O11" s="1"/>
      <c r="P11" s="1"/>
      <c r="Q11" s="49">
        <f>SUM(H32:H34)</f>
        <v>327.93</v>
      </c>
      <c r="R11" s="124">
        <f ca="1">SUM(I32:I34)</f>
        <v>189.77</v>
      </c>
    </row>
    <row r="12" spans="2:18" x14ac:dyDescent="0.25">
      <c r="B12" s="3"/>
      <c r="C12" s="318"/>
      <c r="D12" s="145" t="s">
        <v>123</v>
      </c>
      <c r="E12" s="1"/>
      <c r="F12" s="1"/>
      <c r="G12" s="1"/>
      <c r="H12" s="49">
        <v>475.14</v>
      </c>
      <c r="I12" s="124">
        <f t="shared" ca="1" si="0"/>
        <v>644.58000000000004</v>
      </c>
      <c r="L12" s="3"/>
      <c r="M12" s="1" t="str">
        <f>C35</f>
        <v>Propert2</v>
      </c>
      <c r="N12" s="1"/>
      <c r="O12" s="1"/>
      <c r="P12" s="1"/>
      <c r="Q12" s="49">
        <f>SUM(H36:H38)</f>
        <v>90.71</v>
      </c>
      <c r="R12" s="124">
        <f ca="1">SUM(I36:I38)</f>
        <v>59.07</v>
      </c>
    </row>
    <row r="13" spans="2:18" x14ac:dyDescent="0.25">
      <c r="B13" s="3"/>
      <c r="C13" s="318"/>
      <c r="D13" s="147" t="s">
        <v>52</v>
      </c>
      <c r="E13" s="1"/>
      <c r="F13" s="1"/>
      <c r="G13" s="1"/>
      <c r="H13" s="49">
        <v>1252.26</v>
      </c>
      <c r="I13" s="124">
        <f t="shared" ca="1" si="0"/>
        <v>1297.24</v>
      </c>
      <c r="L13" s="3"/>
      <c r="M13" s="1" t="str">
        <f>C39</f>
        <v>Property1</v>
      </c>
      <c r="N13" s="1"/>
      <c r="O13" s="1"/>
      <c r="P13" s="1"/>
      <c r="Q13" s="49">
        <f>SUM(H40:H42)</f>
        <v>230.55</v>
      </c>
      <c r="R13" s="124">
        <f ca="1">SUM(I40:I42)</f>
        <v>263.83999999999997</v>
      </c>
    </row>
    <row r="14" spans="2:18" x14ac:dyDescent="0.25">
      <c r="B14" s="3"/>
      <c r="C14" s="318"/>
      <c r="D14" s="144" t="s">
        <v>143</v>
      </c>
      <c r="E14" s="1"/>
      <c r="F14" s="1"/>
      <c r="G14" s="1"/>
      <c r="H14" s="49">
        <v>166.32</v>
      </c>
      <c r="I14" s="124">
        <f t="shared" ca="1" si="0"/>
        <v>237.62</v>
      </c>
      <c r="L14" s="3"/>
      <c r="M14" s="1" t="str">
        <f>C43</f>
        <v>Other</v>
      </c>
      <c r="N14" s="1"/>
      <c r="O14" s="1"/>
      <c r="P14" s="1"/>
      <c r="Q14" s="49">
        <f>SUM(H44:H50)</f>
        <v>657.57</v>
      </c>
      <c r="R14" s="124">
        <f ca="1">SUM(I44:I50)</f>
        <v>341.32</v>
      </c>
    </row>
    <row r="15" spans="2:18" ht="15.75" thickBot="1" x14ac:dyDescent="0.3">
      <c r="B15" s="3"/>
      <c r="C15" s="1" t="s">
        <v>124</v>
      </c>
      <c r="D15" s="1"/>
      <c r="E15" s="1"/>
      <c r="F15" s="1"/>
      <c r="G15" s="1"/>
      <c r="H15" s="1">
        <v>0</v>
      </c>
      <c r="I15" s="124">
        <f t="shared" ca="1" si="0"/>
        <v>0</v>
      </c>
      <c r="L15" s="5"/>
      <c r="M15" s="6" t="str">
        <f>C51</f>
        <v>Loans and Liabilities</v>
      </c>
      <c r="N15" s="6"/>
      <c r="O15" s="6"/>
      <c r="P15" s="6"/>
      <c r="Q15" s="7">
        <f>SUM(H52:H58)</f>
        <v>907.86</v>
      </c>
      <c r="R15" s="126">
        <f ca="1">SUM(I52:I58)</f>
        <v>108.69999999999999</v>
      </c>
    </row>
    <row r="16" spans="2:18" ht="15.75" thickBot="1" x14ac:dyDescent="0.3">
      <c r="B16" s="3"/>
      <c r="C16" s="318"/>
      <c r="D16" s="261" t="s">
        <v>125</v>
      </c>
      <c r="E16" s="1"/>
      <c r="F16" s="1"/>
      <c r="G16" s="1"/>
      <c r="H16" s="49">
        <v>42.73</v>
      </c>
      <c r="I16" s="124">
        <f t="shared" ca="1" si="0"/>
        <v>26.32</v>
      </c>
    </row>
    <row r="17" spans="2:18" ht="15.75" thickBot="1" x14ac:dyDescent="0.3">
      <c r="B17" s="3"/>
      <c r="C17" s="318"/>
      <c r="D17" s="1" t="s">
        <v>126</v>
      </c>
      <c r="E17" s="1"/>
      <c r="F17" s="1"/>
      <c r="G17" s="1"/>
      <c r="H17" s="49">
        <v>0</v>
      </c>
      <c r="I17" s="124">
        <f t="shared" ca="1" si="0"/>
        <v>0</v>
      </c>
      <c r="L17" s="123" t="s">
        <v>11</v>
      </c>
      <c r="M17" s="245"/>
      <c r="N17" s="246"/>
      <c r="O17" s="246"/>
      <c r="P17" s="247"/>
      <c r="Q17" s="128">
        <f>SUM(Q3:Q15)</f>
        <v>6116.71</v>
      </c>
      <c r="R17" s="153">
        <f ca="1">SUM(R3:R15)</f>
        <v>5239.5899999999992</v>
      </c>
    </row>
    <row r="18" spans="2:18" x14ac:dyDescent="0.25">
      <c r="B18" s="3"/>
      <c r="C18" s="1" t="s">
        <v>127</v>
      </c>
      <c r="D18" s="1"/>
      <c r="E18" s="1"/>
      <c r="F18" s="1"/>
      <c r="G18" s="1"/>
      <c r="H18" s="1">
        <v>0</v>
      </c>
      <c r="I18" s="124">
        <f t="shared" ca="1" si="0"/>
        <v>0</v>
      </c>
    </row>
    <row r="19" spans="2:18" x14ac:dyDescent="0.25">
      <c r="B19" s="3"/>
      <c r="C19" s="1"/>
      <c r="D19" s="149" t="s">
        <v>128</v>
      </c>
      <c r="E19" s="1"/>
      <c r="F19" s="1"/>
      <c r="G19" s="1"/>
      <c r="H19" s="49">
        <v>302.07</v>
      </c>
      <c r="I19" s="124">
        <f t="shared" ca="1" si="0"/>
        <v>394.76</v>
      </c>
    </row>
    <row r="20" spans="2:18" x14ac:dyDescent="0.25">
      <c r="B20" s="3"/>
      <c r="C20" s="1" t="s">
        <v>116</v>
      </c>
      <c r="D20" s="1"/>
      <c r="E20" s="1"/>
      <c r="F20" s="1"/>
      <c r="G20" s="1"/>
      <c r="H20" s="1">
        <v>0</v>
      </c>
      <c r="I20" s="124">
        <f t="shared" ca="1" si="0"/>
        <v>0</v>
      </c>
    </row>
    <row r="21" spans="2:18" x14ac:dyDescent="0.25">
      <c r="B21" s="3"/>
      <c r="C21" s="318"/>
      <c r="D21" s="1" t="s">
        <v>138</v>
      </c>
      <c r="E21" s="1"/>
      <c r="F21" s="1"/>
      <c r="G21" s="1"/>
      <c r="H21" s="49">
        <v>49.33</v>
      </c>
      <c r="I21" s="124">
        <f t="shared" ca="1" si="0"/>
        <v>12.18</v>
      </c>
    </row>
    <row r="22" spans="2:18" x14ac:dyDescent="0.25">
      <c r="B22" s="3"/>
      <c r="C22" s="318"/>
      <c r="D22" s="1" t="s">
        <v>61</v>
      </c>
      <c r="E22" s="1"/>
      <c r="F22" s="1"/>
      <c r="G22" s="1"/>
      <c r="H22" s="49">
        <v>48.87</v>
      </c>
      <c r="I22" s="124">
        <f t="shared" ca="1" si="0"/>
        <v>48.22</v>
      </c>
    </row>
    <row r="23" spans="2:18" x14ac:dyDescent="0.25">
      <c r="B23" s="3"/>
      <c r="C23" s="318"/>
      <c r="D23" s="1" t="s">
        <v>117</v>
      </c>
      <c r="E23" s="1"/>
      <c r="F23" s="1"/>
      <c r="G23" s="1"/>
      <c r="H23" s="49">
        <v>5.25</v>
      </c>
      <c r="I23" s="124">
        <f t="shared" ca="1" si="0"/>
        <v>7.66</v>
      </c>
    </row>
    <row r="24" spans="2:18" x14ac:dyDescent="0.25">
      <c r="B24" s="3"/>
      <c r="C24" s="1" t="str">
        <f>'New Mortgage look'!B8</f>
        <v>Property4</v>
      </c>
      <c r="D24" s="1"/>
      <c r="E24" s="1"/>
      <c r="F24" s="1"/>
      <c r="G24" s="1"/>
      <c r="H24" s="1">
        <v>0</v>
      </c>
      <c r="I24" s="124">
        <f t="shared" ca="1" si="0"/>
        <v>0</v>
      </c>
    </row>
    <row r="25" spans="2:18" ht="15.75" thickBot="1" x14ac:dyDescent="0.3">
      <c r="B25" s="3"/>
      <c r="C25" s="318"/>
      <c r="D25" s="258" t="s">
        <v>229</v>
      </c>
      <c r="E25" s="1"/>
      <c r="F25" s="1"/>
      <c r="G25" s="1"/>
      <c r="H25" s="49">
        <v>35.14</v>
      </c>
      <c r="I25" s="124">
        <f t="shared" ca="1" si="0"/>
        <v>6.95</v>
      </c>
    </row>
    <row r="26" spans="2:18" x14ac:dyDescent="0.25">
      <c r="B26" s="3"/>
      <c r="C26" s="318"/>
      <c r="D26" s="1" t="s">
        <v>115</v>
      </c>
      <c r="E26" s="1"/>
      <c r="F26" s="1"/>
      <c r="G26" s="1"/>
      <c r="H26" s="49">
        <v>118.59</v>
      </c>
      <c r="I26" s="124">
        <f t="shared" ca="1" si="0"/>
        <v>55.8</v>
      </c>
    </row>
    <row r="27" spans="2:18" x14ac:dyDescent="0.25">
      <c r="B27" s="3"/>
      <c r="C27" s="318"/>
      <c r="D27" s="257" t="s">
        <v>32</v>
      </c>
      <c r="E27" s="1"/>
      <c r="F27" s="1"/>
      <c r="G27" s="1"/>
      <c r="H27" s="49">
        <v>71.16</v>
      </c>
      <c r="I27" s="124">
        <f t="shared" ca="1" si="0"/>
        <v>38.39</v>
      </c>
    </row>
    <row r="28" spans="2:18" x14ac:dyDescent="0.25">
      <c r="B28" s="3"/>
      <c r="C28" s="318"/>
      <c r="D28" s="1" t="s">
        <v>136</v>
      </c>
      <c r="E28" s="1"/>
      <c r="F28" s="1"/>
      <c r="G28" s="1"/>
      <c r="H28" s="49">
        <v>2.4900000000000002</v>
      </c>
      <c r="I28" s="124">
        <f t="shared" ca="1" si="0"/>
        <v>0.86</v>
      </c>
    </row>
    <row r="29" spans="2:18" x14ac:dyDescent="0.25">
      <c r="B29" s="3"/>
      <c r="C29" s="318"/>
      <c r="D29" s="1" t="s">
        <v>137</v>
      </c>
      <c r="E29" s="1"/>
      <c r="F29" s="1"/>
      <c r="G29" s="1"/>
      <c r="H29" s="49">
        <v>34.32</v>
      </c>
      <c r="I29" s="124">
        <f t="shared" ca="1" si="0"/>
        <v>29.98</v>
      </c>
    </row>
    <row r="30" spans="2:18" x14ac:dyDescent="0.25">
      <c r="B30" s="3"/>
      <c r="C30" s="318"/>
      <c r="D30" s="152" t="s">
        <v>145</v>
      </c>
      <c r="E30" s="1"/>
      <c r="F30" s="1"/>
      <c r="G30" s="1"/>
      <c r="H30" s="49">
        <v>370.95</v>
      </c>
      <c r="I30" s="124">
        <f t="shared" ca="1" si="0"/>
        <v>331.44</v>
      </c>
    </row>
    <row r="31" spans="2:18" x14ac:dyDescent="0.25">
      <c r="B31" s="3"/>
      <c r="C31" s="1" t="str">
        <f>'New Mortgage look'!B7</f>
        <v>Property3</v>
      </c>
      <c r="D31" s="1"/>
      <c r="E31" s="1"/>
      <c r="F31" s="1"/>
      <c r="G31" s="1"/>
      <c r="H31" s="1">
        <v>0</v>
      </c>
      <c r="I31" s="124">
        <f t="shared" ca="1" si="0"/>
        <v>0</v>
      </c>
    </row>
    <row r="32" spans="2:18" x14ac:dyDescent="0.25">
      <c r="B32" s="3"/>
      <c r="C32" s="318"/>
      <c r="D32" s="1" t="s">
        <v>115</v>
      </c>
      <c r="E32" s="1"/>
      <c r="F32" s="1"/>
      <c r="G32" s="1"/>
      <c r="H32" s="49">
        <v>220.48</v>
      </c>
      <c r="I32" s="124">
        <f t="shared" ca="1" si="0"/>
        <v>103.48</v>
      </c>
    </row>
    <row r="33" spans="2:9" x14ac:dyDescent="0.25">
      <c r="B33" s="3"/>
      <c r="C33" s="318"/>
      <c r="D33" s="1" t="s">
        <v>118</v>
      </c>
      <c r="E33" s="1"/>
      <c r="F33" s="1"/>
      <c r="G33" s="1"/>
      <c r="H33" s="49">
        <v>20.12</v>
      </c>
      <c r="I33" s="124">
        <f t="shared" ca="1" si="0"/>
        <v>24</v>
      </c>
    </row>
    <row r="34" spans="2:9" x14ac:dyDescent="0.25">
      <c r="B34" s="3"/>
      <c r="C34" s="318"/>
      <c r="D34" s="1" t="s">
        <v>84</v>
      </c>
      <c r="E34" s="1"/>
      <c r="F34" s="1"/>
      <c r="G34" s="1"/>
      <c r="H34" s="49">
        <v>87.33</v>
      </c>
      <c r="I34" s="124">
        <f t="shared" ca="1" si="0"/>
        <v>62.29</v>
      </c>
    </row>
    <row r="35" spans="2:9" x14ac:dyDescent="0.25">
      <c r="B35" s="3"/>
      <c r="C35" s="1" t="str">
        <f>'New Mortgage look'!B6</f>
        <v>Propert2</v>
      </c>
      <c r="D35" s="1"/>
      <c r="E35" s="1"/>
      <c r="F35" s="1"/>
      <c r="G35" s="1"/>
      <c r="H35" s="1">
        <v>0</v>
      </c>
      <c r="I35" s="124">
        <f t="shared" ca="1" si="0"/>
        <v>0</v>
      </c>
    </row>
    <row r="36" spans="2:9" x14ac:dyDescent="0.25">
      <c r="B36" s="3"/>
      <c r="C36" s="318"/>
      <c r="D36" s="1" t="s">
        <v>115</v>
      </c>
      <c r="E36" s="1"/>
      <c r="F36" s="1"/>
      <c r="G36" s="1"/>
      <c r="H36" s="49">
        <v>28.77</v>
      </c>
      <c r="I36" s="124">
        <f t="shared" ca="1" si="0"/>
        <v>4.21</v>
      </c>
    </row>
    <row r="37" spans="2:9" x14ac:dyDescent="0.25">
      <c r="B37" s="3"/>
      <c r="C37" s="318"/>
      <c r="D37" s="1" t="s">
        <v>118</v>
      </c>
      <c r="E37" s="1"/>
      <c r="F37" s="1"/>
      <c r="G37" s="1"/>
      <c r="H37" s="49">
        <v>39.659999999999997</v>
      </c>
      <c r="I37" s="124">
        <f t="shared" ca="1" si="0"/>
        <v>51.6</v>
      </c>
    </row>
    <row r="38" spans="2:9" x14ac:dyDescent="0.25">
      <c r="B38" s="3"/>
      <c r="C38" s="318"/>
      <c r="D38" s="1" t="s">
        <v>84</v>
      </c>
      <c r="E38" s="1"/>
      <c r="F38" s="1"/>
      <c r="G38" s="1"/>
      <c r="H38" s="49">
        <v>22.28</v>
      </c>
      <c r="I38" s="124">
        <f t="shared" ca="1" si="0"/>
        <v>3.26</v>
      </c>
    </row>
    <row r="39" spans="2:9" x14ac:dyDescent="0.25">
      <c r="B39" s="3"/>
      <c r="C39" s="1" t="str">
        <f>'New Mortgage look'!B5</f>
        <v>Property1</v>
      </c>
      <c r="D39" s="1"/>
      <c r="E39" s="1"/>
      <c r="F39" s="1"/>
      <c r="G39" s="1"/>
      <c r="H39" s="1">
        <v>0</v>
      </c>
      <c r="I39" s="124">
        <f t="shared" ca="1" si="0"/>
        <v>0</v>
      </c>
    </row>
    <row r="40" spans="2:9" x14ac:dyDescent="0.25">
      <c r="B40" s="3"/>
      <c r="C40" s="318"/>
      <c r="D40" s="1" t="s">
        <v>115</v>
      </c>
      <c r="E40" s="1"/>
      <c r="F40" s="1"/>
      <c r="G40" s="1"/>
      <c r="H40" s="49">
        <v>196.74</v>
      </c>
      <c r="I40" s="124">
        <f t="shared" ca="1" si="0"/>
        <v>258.83999999999997</v>
      </c>
    </row>
    <row r="41" spans="2:9" x14ac:dyDescent="0.25">
      <c r="B41" s="3"/>
      <c r="C41" s="318"/>
      <c r="D41" s="1" t="s">
        <v>118</v>
      </c>
      <c r="E41" s="1"/>
      <c r="F41" s="1"/>
      <c r="G41" s="1"/>
      <c r="H41" s="49">
        <v>33.81</v>
      </c>
      <c r="I41" s="124">
        <f t="shared" ca="1" si="0"/>
        <v>5</v>
      </c>
    </row>
    <row r="42" spans="2:9" x14ac:dyDescent="0.25">
      <c r="B42" s="3"/>
      <c r="C42" s="318"/>
      <c r="D42" s="1" t="s">
        <v>84</v>
      </c>
      <c r="E42" s="1"/>
      <c r="F42" s="1"/>
      <c r="G42" s="1"/>
      <c r="H42" s="49">
        <v>0</v>
      </c>
      <c r="I42" s="124">
        <f t="shared" ca="1" si="0"/>
        <v>0</v>
      </c>
    </row>
    <row r="43" spans="2:9" x14ac:dyDescent="0.25">
      <c r="B43" s="3"/>
      <c r="C43" s="1" t="s">
        <v>129</v>
      </c>
      <c r="D43" s="1"/>
      <c r="E43" s="1"/>
      <c r="F43" s="1"/>
      <c r="G43" s="1"/>
      <c r="H43" s="1">
        <v>0</v>
      </c>
      <c r="I43" s="124">
        <f t="shared" ca="1" si="0"/>
        <v>0</v>
      </c>
    </row>
    <row r="44" spans="2:9" x14ac:dyDescent="0.25">
      <c r="B44" s="3"/>
      <c r="C44" s="1"/>
      <c r="D44" s="1" t="s">
        <v>130</v>
      </c>
      <c r="E44" s="1"/>
      <c r="F44" s="1"/>
      <c r="G44" s="1"/>
      <c r="H44" s="49">
        <v>217.83</v>
      </c>
      <c r="I44" s="124">
        <f t="shared" ca="1" si="0"/>
        <v>5.16</v>
      </c>
    </row>
    <row r="45" spans="2:9" x14ac:dyDescent="0.25">
      <c r="B45" s="3"/>
      <c r="C45" s="1"/>
      <c r="D45" s="1" t="s">
        <v>131</v>
      </c>
      <c r="E45" s="1"/>
      <c r="F45" s="1"/>
      <c r="G45" s="1"/>
      <c r="H45" s="49">
        <v>36.229999999999997</v>
      </c>
      <c r="I45" s="124">
        <f t="shared" ca="1" si="0"/>
        <v>32.74</v>
      </c>
    </row>
    <row r="46" spans="2:9" x14ac:dyDescent="0.25">
      <c r="B46" s="3"/>
      <c r="C46" s="1"/>
      <c r="D46" s="260" t="str">
        <f>'New Mortgage look'!E38</f>
        <v>Apple storage</v>
      </c>
      <c r="E46" s="1"/>
      <c r="F46" s="1"/>
      <c r="G46" s="1"/>
      <c r="H46" s="49">
        <v>47.68</v>
      </c>
      <c r="I46" s="124">
        <f t="shared" ca="1" si="0"/>
        <v>59.81</v>
      </c>
    </row>
    <row r="47" spans="2:9" x14ac:dyDescent="0.25">
      <c r="B47" s="3"/>
      <c r="C47" s="1"/>
      <c r="D47" s="259" t="str">
        <f>'New Mortgage look'!E39</f>
        <v>US Mobile</v>
      </c>
      <c r="E47" s="1"/>
      <c r="F47" s="1"/>
      <c r="G47" s="1"/>
      <c r="H47" s="49">
        <v>15.24</v>
      </c>
      <c r="I47" s="124">
        <f t="shared" ca="1" si="0"/>
        <v>3.05</v>
      </c>
    </row>
    <row r="48" spans="2:9" x14ac:dyDescent="0.25">
      <c r="B48" s="3"/>
      <c r="C48" s="1"/>
      <c r="D48" s="263" t="str">
        <f>'New Mortgage look'!E41</f>
        <v>MyRentCharge</v>
      </c>
      <c r="E48" s="1"/>
      <c r="F48" s="1"/>
      <c r="G48" s="1"/>
      <c r="H48" s="49">
        <v>81.61</v>
      </c>
      <c r="I48" s="124">
        <f t="shared" ca="1" si="0"/>
        <v>94.29</v>
      </c>
    </row>
    <row r="49" spans="2:9" x14ac:dyDescent="0.25">
      <c r="B49" s="3"/>
      <c r="C49" s="1"/>
      <c r="D49" s="263" t="str">
        <f>'New Mortgage look'!E37</f>
        <v>Immigration</v>
      </c>
      <c r="E49" s="1"/>
      <c r="F49" s="1"/>
      <c r="G49" s="1"/>
      <c r="H49" s="49">
        <v>231.82</v>
      </c>
      <c r="I49" s="124">
        <f t="shared" ca="1" si="0"/>
        <v>133.96</v>
      </c>
    </row>
    <row r="50" spans="2:9" x14ac:dyDescent="0.25">
      <c r="B50" s="3"/>
      <c r="C50" s="1"/>
      <c r="D50" s="150" t="str">
        <f>'New Mortgage look'!E36</f>
        <v>Other Expenses</v>
      </c>
      <c r="E50" s="1"/>
      <c r="F50" s="1"/>
      <c r="G50" s="1"/>
      <c r="H50" s="49">
        <v>27.16</v>
      </c>
      <c r="I50" s="124">
        <f t="shared" ca="1" si="0"/>
        <v>12.31</v>
      </c>
    </row>
    <row r="51" spans="2:9" x14ac:dyDescent="0.25">
      <c r="B51" s="3"/>
      <c r="C51" s="1" t="s">
        <v>132</v>
      </c>
      <c r="D51" s="1"/>
      <c r="E51" s="1"/>
      <c r="F51" s="1"/>
      <c r="G51" s="1"/>
      <c r="H51" s="1">
        <v>0</v>
      </c>
      <c r="I51" s="124">
        <f t="shared" ca="1" si="0"/>
        <v>0</v>
      </c>
    </row>
    <row r="52" spans="2:9" x14ac:dyDescent="0.25">
      <c r="B52" s="3"/>
      <c r="C52" s="1"/>
      <c r="D52" s="1" t="str">
        <f>'New Mortgage look'!B20</f>
        <v>Credit Card-KiwiBank-SAM</v>
      </c>
      <c r="E52" s="1"/>
      <c r="F52" s="1"/>
      <c r="G52" s="1"/>
      <c r="H52" s="2">
        <v>0</v>
      </c>
      <c r="I52" s="124">
        <f t="shared" ca="1" si="0"/>
        <v>0</v>
      </c>
    </row>
    <row r="53" spans="2:9" x14ac:dyDescent="0.25">
      <c r="B53" s="3"/>
      <c r="C53" s="1"/>
      <c r="D53" s="1" t="str">
        <f>'New Mortgage look'!B21</f>
        <v>Credit Card-KiwiBank-SAM</v>
      </c>
      <c r="E53" s="1"/>
      <c r="F53" s="1"/>
      <c r="G53" s="1"/>
      <c r="H53" s="2">
        <v>0</v>
      </c>
      <c r="I53" s="124">
        <f t="shared" ca="1" si="0"/>
        <v>0</v>
      </c>
    </row>
    <row r="54" spans="2:9" x14ac:dyDescent="0.25">
      <c r="B54" s="3"/>
      <c r="C54" s="1"/>
      <c r="D54" s="1" t="str">
        <f>'New Mortgage look'!B22</f>
        <v>Credit Card-ASB-MJ</v>
      </c>
      <c r="E54" s="1"/>
      <c r="F54" s="1"/>
      <c r="G54" s="1"/>
      <c r="H54" s="2">
        <v>0</v>
      </c>
      <c r="I54" s="124">
        <f t="shared" ca="1" si="0"/>
        <v>0</v>
      </c>
    </row>
    <row r="55" spans="2:9" x14ac:dyDescent="0.25">
      <c r="B55" s="3"/>
      <c r="C55" s="1"/>
      <c r="D55" s="1" t="s">
        <v>133</v>
      </c>
      <c r="E55" s="1"/>
      <c r="F55" s="1"/>
      <c r="G55" s="1"/>
      <c r="H55" s="49">
        <v>261.19</v>
      </c>
      <c r="I55" s="124">
        <f t="shared" ca="1" si="0"/>
        <v>3.94</v>
      </c>
    </row>
    <row r="56" spans="2:9" x14ac:dyDescent="0.25">
      <c r="B56" s="3"/>
      <c r="C56" s="1"/>
      <c r="D56" s="1" t="s">
        <v>135</v>
      </c>
      <c r="E56" s="1"/>
      <c r="F56" s="1"/>
      <c r="G56" s="1"/>
      <c r="H56" s="49">
        <v>191.26</v>
      </c>
      <c r="I56" s="124">
        <f t="shared" ca="1" si="0"/>
        <v>20.39</v>
      </c>
    </row>
    <row r="57" spans="2:9" x14ac:dyDescent="0.25">
      <c r="B57" s="3"/>
      <c r="C57" s="1"/>
      <c r="D57" s="1" t="s">
        <v>134</v>
      </c>
      <c r="E57" s="1"/>
      <c r="F57" s="1"/>
      <c r="G57" s="1"/>
      <c r="H57" s="49">
        <v>329.31</v>
      </c>
      <c r="I57" s="124">
        <f t="shared" ca="1" si="0"/>
        <v>9.16</v>
      </c>
    </row>
    <row r="58" spans="2:9" ht="15.75" thickBot="1" x14ac:dyDescent="0.3">
      <c r="B58" s="5"/>
      <c r="C58" s="6"/>
      <c r="D58" s="6" t="s">
        <v>230</v>
      </c>
      <c r="E58" s="6"/>
      <c r="F58" s="6"/>
      <c r="G58" s="6"/>
      <c r="H58" s="125">
        <v>126.1</v>
      </c>
      <c r="I58" s="124">
        <f t="shared" ca="1" si="0"/>
        <v>75.209999999999994</v>
      </c>
    </row>
    <row r="59" spans="2:9" ht="15.75" thickBot="1" x14ac:dyDescent="0.3"/>
    <row r="60" spans="2:9" ht="15.75" thickBot="1" x14ac:dyDescent="0.3">
      <c r="B60" s="123" t="s">
        <v>11</v>
      </c>
      <c r="C60" s="273"/>
      <c r="D60" s="273"/>
      <c r="E60" s="273"/>
      <c r="F60" s="273"/>
      <c r="G60" s="273"/>
      <c r="H60" s="128">
        <f>SUM(H4:H58)</f>
        <v>6116.7099999999991</v>
      </c>
      <c r="I60" s="127"/>
    </row>
  </sheetData>
  <mergeCells count="8">
    <mergeCell ref="C32:C34"/>
    <mergeCell ref="C36:C38"/>
    <mergeCell ref="C40:C42"/>
    <mergeCell ref="C6:C7"/>
    <mergeCell ref="C11:C14"/>
    <mergeCell ref="C16:C17"/>
    <mergeCell ref="C21:C23"/>
    <mergeCell ref="C25:C3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E8DAD-78AA-4D89-A492-2BDA337C5604}">
  <sheetPr codeName="Sheet7"/>
  <dimension ref="A1:J37"/>
  <sheetViews>
    <sheetView zoomScaleNormal="100" workbookViewId="0">
      <selection activeCell="G5" sqref="G5"/>
    </sheetView>
  </sheetViews>
  <sheetFormatPr defaultRowHeight="15" x14ac:dyDescent="0.25"/>
  <cols>
    <col min="1" max="1" width="10.28515625" bestFit="1" customWidth="1"/>
    <col min="2" max="2" width="31" bestFit="1" customWidth="1"/>
    <col min="3" max="3" width="13.85546875" bestFit="1" customWidth="1"/>
    <col min="4" max="4" width="13.5703125" bestFit="1" customWidth="1"/>
    <col min="5" max="5" width="19" bestFit="1" customWidth="1"/>
    <col min="6" max="6" width="27.85546875" bestFit="1" customWidth="1"/>
    <col min="7" max="7" width="14.42578125" bestFit="1" customWidth="1"/>
    <col min="8" max="8" width="18.7109375" bestFit="1" customWidth="1"/>
    <col min="9" max="9" width="21.85546875" bestFit="1" customWidth="1"/>
    <col min="10" max="10" width="13.7109375" bestFit="1" customWidth="1"/>
  </cols>
  <sheetData>
    <row r="1" spans="1:7" x14ac:dyDescent="0.25">
      <c r="A1" s="193" t="str">
        <f>Income!B3</f>
        <v>Income</v>
      </c>
      <c r="B1" s="176"/>
      <c r="C1" s="177" t="str">
        <f>Income!G4</f>
        <v>(gross)/month</v>
      </c>
      <c r="E1" s="193" t="str">
        <f>Expenses!B2</f>
        <v>Expenses</v>
      </c>
      <c r="F1" s="176"/>
      <c r="G1" s="177" t="s">
        <v>47</v>
      </c>
    </row>
    <row r="2" spans="1:7" x14ac:dyDescent="0.25">
      <c r="A2" s="311"/>
      <c r="B2" s="191" t="str">
        <f>Income!C21</f>
        <v>Salary MJ</v>
      </c>
      <c r="C2" s="124">
        <f>Income!G21</f>
        <v>4062.5</v>
      </c>
      <c r="E2" s="3"/>
      <c r="F2" s="191" t="str">
        <f>Expenses!M3</f>
        <v>Groceries</v>
      </c>
      <c r="G2" s="124">
        <f>Expenses!Q3</f>
        <v>387.64</v>
      </c>
    </row>
    <row r="3" spans="1:7" x14ac:dyDescent="0.25">
      <c r="A3" s="312"/>
      <c r="B3" s="191" t="str">
        <f>Income!C22</f>
        <v>Salary SAM</v>
      </c>
      <c r="C3" s="124">
        <f>Income!G22</f>
        <v>3020.8333333333335</v>
      </c>
      <c r="E3" s="3"/>
      <c r="F3" s="191" t="str">
        <f>Expenses!M4</f>
        <v>Personal Care</v>
      </c>
      <c r="G3" s="124">
        <f>Expenses!Q4</f>
        <v>421.05</v>
      </c>
    </row>
    <row r="4" spans="1:7" x14ac:dyDescent="0.25">
      <c r="A4" s="312"/>
      <c r="B4" s="191" t="str">
        <f>Income!C23</f>
        <v>Rental Income Property3</v>
      </c>
      <c r="C4" s="124">
        <f>Income!G23</f>
        <v>808.88888888888891</v>
      </c>
      <c r="E4" s="3"/>
      <c r="F4" s="191" t="str">
        <f>Expenses!M5</f>
        <v>Medical</v>
      </c>
      <c r="G4" s="124">
        <f>Expenses!Q5</f>
        <v>13.16</v>
      </c>
    </row>
    <row r="5" spans="1:7" ht="15.75" thickBot="1" x14ac:dyDescent="0.3">
      <c r="A5" s="313"/>
      <c r="B5" s="192" t="str">
        <f>Income!C24</f>
        <v>Rental IncomePropert2</v>
      </c>
      <c r="C5" s="126">
        <f>Income!G24</f>
        <v>1315.7894736842104</v>
      </c>
      <c r="E5" s="3"/>
      <c r="F5" s="191" t="str">
        <f>Expenses!M6</f>
        <v>Recreational &amp; Entertainment</v>
      </c>
      <c r="G5" s="124">
        <f>Expenses!Q6</f>
        <v>1999.34</v>
      </c>
    </row>
    <row r="6" spans="1:7" ht="15.75" thickBot="1" x14ac:dyDescent="0.3">
      <c r="B6" s="192" t="str">
        <f>Income!C25</f>
        <v>Rental IncomeProperty1</v>
      </c>
      <c r="C6" s="126">
        <f>Income!G25</f>
        <v>0</v>
      </c>
      <c r="E6" s="3"/>
      <c r="F6" s="191" t="str">
        <f>Expenses!M7</f>
        <v>Telephone &amp; Internet</v>
      </c>
      <c r="G6" s="124">
        <f>Expenses!Q7</f>
        <v>42.73</v>
      </c>
    </row>
    <row r="7" spans="1:7" ht="15.75" thickBot="1" x14ac:dyDescent="0.3">
      <c r="A7" s="172" t="s">
        <v>11</v>
      </c>
      <c r="B7" s="173"/>
      <c r="C7" s="174">
        <f>SUM(C2:C6)</f>
        <v>9208.0116959064326</v>
      </c>
      <c r="E7" s="3"/>
      <c r="F7" s="191" t="str">
        <f>Expenses!M8</f>
        <v>Transport</v>
      </c>
      <c r="G7" s="124">
        <f>Expenses!Q8</f>
        <v>302.07</v>
      </c>
    </row>
    <row r="8" spans="1:7" x14ac:dyDescent="0.25">
      <c r="E8" s="3"/>
      <c r="F8" s="191" t="str">
        <f>Expenses!M9</f>
        <v>Insurance</v>
      </c>
      <c r="G8" s="124">
        <f>Expenses!Q9</f>
        <v>103.44999999999999</v>
      </c>
    </row>
    <row r="9" spans="1:7" x14ac:dyDescent="0.25">
      <c r="E9" s="3"/>
      <c r="F9" s="191" t="str">
        <f>Expenses!M10</f>
        <v>Property4</v>
      </c>
      <c r="G9" s="124">
        <f>Expenses!Q10</f>
        <v>632.65000000000009</v>
      </c>
    </row>
    <row r="10" spans="1:7" ht="15.75" thickBot="1" x14ac:dyDescent="0.3">
      <c r="E10" s="3"/>
      <c r="F10" s="191" t="str">
        <f>Expenses!M11</f>
        <v>Property3</v>
      </c>
      <c r="G10" s="124">
        <f>Expenses!Q11</f>
        <v>327.93</v>
      </c>
    </row>
    <row r="11" spans="1:7" x14ac:dyDescent="0.25">
      <c r="A11" s="193" t="str">
        <f>Assets!B3</f>
        <v>Assets</v>
      </c>
      <c r="B11" s="178"/>
      <c r="C11" s="179"/>
      <c r="E11" s="3"/>
      <c r="F11" s="191" t="str">
        <f>Expenses!M12</f>
        <v>Propert2</v>
      </c>
      <c r="G11" s="124">
        <f>Expenses!Q12</f>
        <v>90.71</v>
      </c>
    </row>
    <row r="12" spans="1:7" x14ac:dyDescent="0.25">
      <c r="A12" s="265"/>
      <c r="B12" s="191" t="str">
        <f>Assets!C27</f>
        <v>Saving &amp; Cash</v>
      </c>
      <c r="C12" s="124">
        <f>Assets!G27</f>
        <v>26500</v>
      </c>
      <c r="E12" s="3"/>
      <c r="F12" s="191" t="str">
        <f>Expenses!M13</f>
        <v>Property1</v>
      </c>
      <c r="G12" s="124">
        <f>Expenses!Q13</f>
        <v>230.55</v>
      </c>
    </row>
    <row r="13" spans="1:7" x14ac:dyDescent="0.25">
      <c r="A13" s="265"/>
      <c r="B13" s="191" t="str">
        <f>Assets!C28</f>
        <v>Superannuation</v>
      </c>
      <c r="C13" s="124">
        <f>Assets!G28</f>
        <v>80000</v>
      </c>
      <c r="E13" s="3"/>
      <c r="F13" s="191" t="str">
        <f>Expenses!M14</f>
        <v>Other</v>
      </c>
      <c r="G13" s="124">
        <f>Expenses!Q14</f>
        <v>657.57</v>
      </c>
    </row>
    <row r="14" spans="1:7" x14ac:dyDescent="0.25">
      <c r="A14" s="265"/>
      <c r="B14" s="191" t="str">
        <f>Assets!C29</f>
        <v>Property</v>
      </c>
      <c r="C14" s="124">
        <f>Assets!G29</f>
        <v>600000</v>
      </c>
      <c r="E14" s="3"/>
      <c r="F14" s="191" t="str">
        <f>Expenses!M15</f>
        <v>Loans and Liabilities</v>
      </c>
      <c r="G14" s="124">
        <f>Expenses!Q15</f>
        <v>907.86</v>
      </c>
    </row>
    <row r="15" spans="1:7" x14ac:dyDescent="0.25">
      <c r="A15" s="265"/>
      <c r="B15" s="191" t="str">
        <f>Assets!C30</f>
        <v>Vehicle</v>
      </c>
      <c r="C15" s="124">
        <f>Assets!G30</f>
        <v>20000</v>
      </c>
      <c r="E15" s="3"/>
      <c r="F15" s="191" t="str">
        <f>'New Mortgage look'!H18</f>
        <v>Salary- ACC</v>
      </c>
      <c r="G15" s="124">
        <f>'New Mortgage look'!I18</f>
        <v>103.60499999999999</v>
      </c>
    </row>
    <row r="16" spans="1:7" ht="15.75" thickBot="1" x14ac:dyDescent="0.3">
      <c r="A16" s="266"/>
      <c r="B16" s="192" t="str">
        <f>Assets!C31</f>
        <v>Contents</v>
      </c>
      <c r="C16" s="124">
        <f>Assets!G31</f>
        <v>20000</v>
      </c>
      <c r="E16" s="5"/>
      <c r="F16" s="192" t="str">
        <f>'New Mortgage look'!H19</f>
        <v>Salary - Tax</v>
      </c>
      <c r="G16" s="126">
        <f>'New Mortgage look'!I19</f>
        <v>1934.48</v>
      </c>
    </row>
    <row r="17" spans="1:10" ht="15.75" thickBot="1" x14ac:dyDescent="0.3">
      <c r="A17" s="172" t="s">
        <v>11</v>
      </c>
      <c r="B17" s="173"/>
      <c r="C17" s="174">
        <f>SUM(C12:C16)</f>
        <v>746500</v>
      </c>
      <c r="E17" s="182" t="s">
        <v>11</v>
      </c>
      <c r="F17" s="183"/>
      <c r="G17" s="184">
        <f>SUM(G2:G16)</f>
        <v>8154.7950000000001</v>
      </c>
    </row>
    <row r="18" spans="1:10" ht="15.75" thickBot="1" x14ac:dyDescent="0.3"/>
    <row r="19" spans="1:10" ht="15.75" thickBot="1" x14ac:dyDescent="0.3">
      <c r="E19" s="123" t="s">
        <v>167</v>
      </c>
      <c r="F19" s="189"/>
      <c r="G19" s="190">
        <f>C7-G17</f>
        <v>1053.2166959064325</v>
      </c>
    </row>
    <row r="20" spans="1:10" ht="15.75" thickBot="1" x14ac:dyDescent="0.3"/>
    <row r="21" spans="1:10" x14ac:dyDescent="0.25">
      <c r="A21" s="193" t="str">
        <f>Liabilities!B3</f>
        <v>Liabilities</v>
      </c>
      <c r="B21" s="178"/>
      <c r="C21" s="179"/>
    </row>
    <row r="22" spans="1:10" x14ac:dyDescent="0.25">
      <c r="A22" s="265"/>
      <c r="B22" s="191" t="str">
        <f>Liabilities!C35</f>
        <v>Credit Cards</v>
      </c>
      <c r="C22" s="124">
        <f>Liabilities!H35</f>
        <v>1502</v>
      </c>
    </row>
    <row r="23" spans="1:10" x14ac:dyDescent="0.25">
      <c r="A23" s="265"/>
      <c r="B23" s="191" t="str">
        <f>Liabilities!C36</f>
        <v>Mortgage1-Property3</v>
      </c>
      <c r="C23" s="124">
        <f>Liabilities!H36</f>
        <v>200000</v>
      </c>
    </row>
    <row r="24" spans="1:10" x14ac:dyDescent="0.25">
      <c r="A24" s="265"/>
      <c r="B24" s="191" t="str">
        <f>Liabilities!C37</f>
        <v>Mortgage2-Propert2</v>
      </c>
      <c r="C24" s="124">
        <f>Liabilities!H37</f>
        <v>90000</v>
      </c>
    </row>
    <row r="25" spans="1:10" ht="15.75" thickBot="1" x14ac:dyDescent="0.3">
      <c r="A25" s="266"/>
      <c r="B25" s="192" t="str">
        <f>Liabilities!C38</f>
        <v>Mortgage3-Property4</v>
      </c>
      <c r="C25" s="124">
        <f>Liabilities!H38</f>
        <v>200000</v>
      </c>
    </row>
    <row r="26" spans="1:10" ht="15.75" thickBot="1" x14ac:dyDescent="0.3">
      <c r="A26" s="266"/>
      <c r="B26" s="192" t="str">
        <f>Liabilities!C39</f>
        <v>Mortgage4-Property1</v>
      </c>
      <c r="C26" s="124">
        <f>Liabilities!H39</f>
        <v>60000</v>
      </c>
    </row>
    <row r="27" spans="1:10" ht="15.75" thickBot="1" x14ac:dyDescent="0.3">
      <c r="A27" s="172" t="s">
        <v>11</v>
      </c>
      <c r="B27" s="173"/>
      <c r="C27" s="174">
        <f>SUM(C22:C26)</f>
        <v>551502</v>
      </c>
    </row>
    <row r="29" spans="1:10" ht="15.75" thickBot="1" x14ac:dyDescent="0.3"/>
    <row r="30" spans="1:10" x14ac:dyDescent="0.25">
      <c r="A30" s="175" t="s">
        <v>166</v>
      </c>
      <c r="B30" s="176"/>
      <c r="C30" s="176" t="s">
        <v>0</v>
      </c>
      <c r="D30" s="176" t="s">
        <v>2</v>
      </c>
      <c r="E30" s="176" t="s">
        <v>162</v>
      </c>
      <c r="F30" s="176" t="s">
        <v>77</v>
      </c>
      <c r="G30" s="176" t="s">
        <v>163</v>
      </c>
      <c r="H30" s="176" t="s">
        <v>164</v>
      </c>
      <c r="I30" s="176" t="s">
        <v>165</v>
      </c>
      <c r="J30" s="177" t="s">
        <v>81</v>
      </c>
    </row>
    <row r="31" spans="1:10" x14ac:dyDescent="0.25">
      <c r="A31" s="293"/>
      <c r="B31" s="1" t="str">
        <f>'New Mortgage look'!B8</f>
        <v>Property4</v>
      </c>
      <c r="C31" s="49">
        <f>'New Mortgage look'!C8</f>
        <v>180000</v>
      </c>
      <c r="D31" s="49">
        <f>'New Mortgage look'!D8</f>
        <v>200000</v>
      </c>
      <c r="E31" s="49">
        <f>'New Mortgage look'!K8*52/12</f>
        <v>585</v>
      </c>
      <c r="F31" s="49">
        <f>'New Mortgage look'!O8*52/12</f>
        <v>0</v>
      </c>
      <c r="G31" s="49">
        <f>'New Mortgage look'!S8*52/12</f>
        <v>250</v>
      </c>
      <c r="H31" s="49">
        <f>'New Mortgage look'!W8*52/12</f>
        <v>50</v>
      </c>
      <c r="I31" s="49">
        <f>'New Mortgage look'!I8*52/12</f>
        <v>0</v>
      </c>
      <c r="J31" s="124">
        <f>I31-SUM(E31:H31)</f>
        <v>-885</v>
      </c>
    </row>
    <row r="32" spans="1:10" x14ac:dyDescent="0.25">
      <c r="A32" s="293"/>
      <c r="B32" s="1" t="str">
        <f>'New Mortgage look'!B7</f>
        <v>Property3</v>
      </c>
      <c r="C32" s="49">
        <f>'New Mortgage look'!C7</f>
        <v>170000</v>
      </c>
      <c r="D32" s="49">
        <f>'New Mortgage look'!D7</f>
        <v>200000</v>
      </c>
      <c r="E32" s="49">
        <f>'New Mortgage look'!K7*52/12</f>
        <v>260</v>
      </c>
      <c r="F32" s="49">
        <f>'New Mortgage look'!O7*52/12</f>
        <v>112.76600000000001</v>
      </c>
      <c r="G32" s="49">
        <f>'New Mortgage look'!S7*52/12</f>
        <v>291.66666666666669</v>
      </c>
      <c r="H32" s="49">
        <f>'New Mortgage look'!W7*52/12</f>
        <v>39.999999999999993</v>
      </c>
      <c r="I32" s="49">
        <f>'New Mortgage look'!I7*52/12</f>
        <v>2600</v>
      </c>
      <c r="J32" s="124">
        <f t="shared" ref="J32:J33" si="0">I32-SUM(E32:H32)</f>
        <v>1895.5673333333334</v>
      </c>
    </row>
    <row r="33" spans="1:10" ht="15.75" thickBot="1" x14ac:dyDescent="0.3">
      <c r="A33" s="294"/>
      <c r="B33" s="6" t="str">
        <f>'New Mortgage look'!B6</f>
        <v>Propert2</v>
      </c>
      <c r="C33" s="125">
        <f>'New Mortgage look'!C6</f>
        <v>150000</v>
      </c>
      <c r="D33" s="125">
        <f>'New Mortgage look'!D6</f>
        <v>90000</v>
      </c>
      <c r="E33" s="125">
        <f>'New Mortgage look'!K6*52/12</f>
        <v>173.33333333333334</v>
      </c>
      <c r="F33" s="125">
        <f>'New Mortgage look'!O6*52/12</f>
        <v>135.16166666666666</v>
      </c>
      <c r="G33" s="125">
        <f>'New Mortgage look'!S6*52/12</f>
        <v>166.66666666666666</v>
      </c>
      <c r="H33" s="125">
        <f>'New Mortgage look'!W6*52/12</f>
        <v>50</v>
      </c>
      <c r="I33" s="125">
        <f>'New Mortgage look'!I6*52/12</f>
        <v>2166.6666666666665</v>
      </c>
      <c r="J33" s="126">
        <f t="shared" si="0"/>
        <v>1641.5049999999999</v>
      </c>
    </row>
    <row r="34" spans="1:10" ht="15.75" thickBot="1" x14ac:dyDescent="0.3">
      <c r="B34" s="6" t="str">
        <f>'New Mortgage look'!B5</f>
        <v>Property1</v>
      </c>
      <c r="C34" s="125">
        <f>'New Mortgage look'!C5</f>
        <v>100000</v>
      </c>
      <c r="D34" s="125">
        <f>'New Mortgage look'!D5</f>
        <v>60000</v>
      </c>
      <c r="E34" s="125">
        <f>'New Mortgage look'!K5*52/12</f>
        <v>433.33333333333331</v>
      </c>
      <c r="F34" s="125">
        <f>'New Mortgage look'!O5*52/12</f>
        <v>0</v>
      </c>
      <c r="G34" s="125">
        <f>'New Mortgage look'!S5*52/12</f>
        <v>166.66666666666666</v>
      </c>
      <c r="H34" s="125">
        <f>'New Mortgage look'!W5*52/12</f>
        <v>60</v>
      </c>
      <c r="I34" s="125">
        <f>'New Mortgage look'!I5*52/12</f>
        <v>433.33333333333331</v>
      </c>
      <c r="J34" s="126">
        <f t="shared" ref="J34" si="1">I34-SUM(E34:H34)</f>
        <v>-226.66666666666669</v>
      </c>
    </row>
    <row r="35" spans="1:10" ht="15.75" thickBot="1" x14ac:dyDescent="0.3">
      <c r="A35" s="185" t="s">
        <v>11</v>
      </c>
      <c r="B35" s="186"/>
      <c r="C35" s="187">
        <f t="shared" ref="C35:I35" si="2">SUM(C31:C33)</f>
        <v>500000</v>
      </c>
      <c r="D35" s="187">
        <f t="shared" si="2"/>
        <v>490000</v>
      </c>
      <c r="E35" s="187">
        <f t="shared" si="2"/>
        <v>1018.3333333333334</v>
      </c>
      <c r="F35" s="187">
        <f t="shared" si="2"/>
        <v>247.92766666666665</v>
      </c>
      <c r="G35" s="187">
        <f t="shared" si="2"/>
        <v>708.33333333333337</v>
      </c>
      <c r="H35" s="187">
        <f t="shared" si="2"/>
        <v>140</v>
      </c>
      <c r="I35" s="187">
        <f t="shared" si="2"/>
        <v>4766.6666666666661</v>
      </c>
      <c r="J35" s="188">
        <f>SUM(J31:J34)</f>
        <v>2425.405666666667</v>
      </c>
    </row>
    <row r="37" spans="1:10" x14ac:dyDescent="0.25">
      <c r="J37" s="62"/>
    </row>
  </sheetData>
  <mergeCells count="2">
    <mergeCell ref="A2:A5"/>
    <mergeCell ref="A31:A33"/>
  </mergeCells>
  <hyperlinks>
    <hyperlink ref="B2" location="Income!G21" display="Income!G21" xr:uid="{C402EE5C-BA5C-43C9-B5F7-2EFF2B5AAC93}"/>
    <hyperlink ref="B3" location="Income!G22" display="Income!G22" xr:uid="{85B225E2-B192-4A11-A5C0-7BAFB356BC12}"/>
    <hyperlink ref="B4" location="Income!G8" display="Income!G8" xr:uid="{E83308F5-A1E4-4810-8A3E-F08F19F581A4}"/>
    <hyperlink ref="B5" location="Income!G9" display="Income!G9" xr:uid="{06F954AB-D060-4EAA-9B80-2EEE8CBF7D9A}"/>
    <hyperlink ref="A1" location="Income!A1" display="Income!A1" xr:uid="{EC1EE343-CE1A-42A5-B327-4BBFE3FE4091}"/>
    <hyperlink ref="A11" location="Assets!A1" display="Assets!A1" xr:uid="{D5610845-F4B6-497A-A585-5D3DD03DBFD3}"/>
    <hyperlink ref="B12" location="Assets!G27" display="Assets!G27" xr:uid="{ABB6D1CA-2694-4ACE-BB85-780312DC35D6}"/>
    <hyperlink ref="B13" location="Assets!G28" display="Assets!G28" xr:uid="{47274E1C-D69F-455D-A4B0-C4BE7FD36441}"/>
    <hyperlink ref="B14" location="Assets!G29" display="Assets!G29" xr:uid="{BACE4FE8-4095-4DFC-9F97-68D0E889D712}"/>
    <hyperlink ref="B15" location="Assets!G30" display="Assets!G30" xr:uid="{C19AE86B-5CCF-4BDE-973A-C4737A702547}"/>
    <hyperlink ref="B16" location="Assets!G31" display="Assets!G31" xr:uid="{93F3D195-8D11-486A-88E6-7E62D279675B}"/>
    <hyperlink ref="A21" location="Liabilities!A1" display="Liabilities!A1" xr:uid="{0E923677-BEE0-466D-BC59-357FA1ED0F4B}"/>
    <hyperlink ref="B22" location="Liabilities!H35" display="Liabilities!H35" xr:uid="{88FD3293-B70A-4C90-A506-627145B85E41}"/>
    <hyperlink ref="B23" location="Liabilities!H36" display="Liabilities!H36" xr:uid="{EE02E331-34B1-42BE-BD6E-43CC7DC4F59C}"/>
    <hyperlink ref="B24" location="Liabilities!H37" display="Liabilities!H37" xr:uid="{F429E3F9-DE86-479A-A561-93080866065E}"/>
    <hyperlink ref="B25" location="Liabilities!H38" display="Liabilities!H38" xr:uid="{2942EC5E-0059-4E46-B13F-8869258BDA1F}"/>
    <hyperlink ref="E1" location="Expenses!A1" display="Expenses!A1" xr:uid="{D55F1DA6-850D-41DC-B052-02541D1656FF}"/>
    <hyperlink ref="F2" location="Expenses!Q3" display="Expenses!Q3" xr:uid="{D4694EAD-37E7-4E0E-BE9D-01B8452C6061}"/>
    <hyperlink ref="F3" location="Expenses!Q4" display="Expenses!Q4" xr:uid="{F265CC76-82C4-4B52-B156-DAF88BF5F7DF}"/>
    <hyperlink ref="F4" location="Expenses!Q5" display="Expenses!Q5" xr:uid="{209976EC-9A3D-4953-8AE8-B084E633A9BA}"/>
    <hyperlink ref="F5" location="Expenses!Q6" display="Expenses!Q6" xr:uid="{D5F94460-E632-4CB3-A859-D663BB751AA2}"/>
    <hyperlink ref="F6" location="Expenses!Q7" display="Expenses!Q7" xr:uid="{86F5D13B-AB42-4102-B774-52E767916D0F}"/>
    <hyperlink ref="F7" location="Expenses!Q8" display="Expenses!Q8" xr:uid="{D0030137-DAD5-47F6-AB43-DA4FD5E55CD2}"/>
    <hyperlink ref="F8" location="Expenses!Q9" display="Expenses!Q9" xr:uid="{5CE12FC2-2321-486E-AB46-9DA9C11C2055}"/>
    <hyperlink ref="F9" location="Expenses!Q10" display="Expenses!Q10" xr:uid="{F7835B10-3502-457F-A53D-009ADDB95D28}"/>
    <hyperlink ref="F10" location="Expenses!Q11" display="Expenses!Q11" xr:uid="{0203E787-E548-485A-9FC7-95C074D1F546}"/>
    <hyperlink ref="F11" location="Expenses!Q12" display="Expenses!Q12" xr:uid="{CD15B2DD-B1E3-4368-A4D7-BAD0B8389784}"/>
    <hyperlink ref="F13" location="Expenses!Q14" display="Expenses!Q14" xr:uid="{777BE272-D873-456D-BA49-C862DE66F5A1}"/>
    <hyperlink ref="F14" location="Expenses!Q15" display="Expenses!Q15" xr:uid="{84F023EB-99CA-42D4-8FB3-71BBEAB2ECD3}"/>
    <hyperlink ref="F15" location="'New Mortgage look'!I18" display="'New Mortgage look'!I18" xr:uid="{2D14FE4E-F7DB-4B8F-A770-9534CA223741}"/>
    <hyperlink ref="F16" location="'New Mortgage look'!I19" display="'New Mortgage look'!I19" xr:uid="{939B032F-8B15-4AEE-A003-FCFE5B956A05}"/>
    <hyperlink ref="B6" location="Income!G10" display="Income!G10" xr:uid="{D2F40EF6-9C48-440B-9E32-330593176250}"/>
    <hyperlink ref="F12" location="Expenses!Q13" display="Expenses!Q13" xr:uid="{0CC1BE22-7F72-444E-B918-4FA87867CE96}"/>
    <hyperlink ref="B26" location="Liabilities!H39" display="Liabilities!H39" xr:uid="{46DEDB60-69E6-4532-ADF3-0E042780A773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New Mortgage look</vt:lpstr>
      <vt:lpstr>Expense</vt:lpstr>
      <vt:lpstr>Assets</vt:lpstr>
      <vt:lpstr>Liabilities</vt:lpstr>
      <vt:lpstr>Income</vt:lpstr>
      <vt:lpstr>Expenses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 Alavi</dc:creator>
  <cp:lastModifiedBy>MJ Alavi</cp:lastModifiedBy>
  <dcterms:created xsi:type="dcterms:W3CDTF">2015-06-05T18:17:20Z</dcterms:created>
  <dcterms:modified xsi:type="dcterms:W3CDTF">2026-02-14T05:35:47Z</dcterms:modified>
</cp:coreProperties>
</file>