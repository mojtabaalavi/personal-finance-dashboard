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MJ.Alavi\Downloads\finan\Y2024-2025\"/>
    </mc:Choice>
  </mc:AlternateContent>
  <xr:revisionPtr revIDLastSave="0" documentId="13_ncr:1_{43A4A7E2-C398-4D4E-AEA7-E1C728057F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ll Banks FY2023-2024" sheetId="1" r:id="rId1"/>
    <sheet name="Sheet1" sheetId="2" r:id="rId2"/>
  </sheets>
  <externalReferences>
    <externalReference r:id="rId3"/>
  </externalReferences>
  <definedNames>
    <definedName name="_xlnm._FilterDatabase" localSheetId="0" hidden="1">'All Banks FY2023-2024'!$A$1:$I$4287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73" i="1" l="1"/>
  <c r="H1173" i="1"/>
  <c r="G1173" i="1"/>
  <c r="I1172" i="1"/>
  <c r="H1172" i="1"/>
  <c r="G1172" i="1"/>
  <c r="I1171" i="1"/>
  <c r="H1171" i="1"/>
  <c r="G1171" i="1"/>
  <c r="I1170" i="1"/>
  <c r="H1170" i="1"/>
  <c r="G1170" i="1"/>
  <c r="I1169" i="1"/>
  <c r="H1169" i="1"/>
  <c r="G1169" i="1"/>
  <c r="I1168" i="1"/>
  <c r="H1168" i="1"/>
  <c r="G1168" i="1"/>
  <c r="I1167" i="1"/>
  <c r="H1167" i="1"/>
  <c r="G1167" i="1"/>
  <c r="I1166" i="1"/>
  <c r="H1166" i="1"/>
  <c r="G1166" i="1"/>
  <c r="I1165" i="1"/>
  <c r="H1165" i="1"/>
  <c r="G1165" i="1"/>
  <c r="I1164" i="1"/>
  <c r="H1164" i="1"/>
  <c r="G1164" i="1"/>
  <c r="I1163" i="1"/>
  <c r="H1163" i="1"/>
  <c r="G1163" i="1"/>
  <c r="I1162" i="1"/>
  <c r="H1162" i="1"/>
  <c r="G1162" i="1"/>
  <c r="I1161" i="1"/>
  <c r="H1161" i="1"/>
  <c r="G1161" i="1"/>
  <c r="I1160" i="1"/>
  <c r="H1160" i="1"/>
  <c r="G1160" i="1"/>
  <c r="I1159" i="1"/>
  <c r="H1159" i="1"/>
  <c r="G1159" i="1"/>
  <c r="I1158" i="1"/>
  <c r="H1158" i="1"/>
  <c r="G1158" i="1"/>
  <c r="I1157" i="1"/>
  <c r="H1157" i="1"/>
  <c r="G1157" i="1"/>
  <c r="I1156" i="1"/>
  <c r="H1156" i="1"/>
  <c r="G1156" i="1"/>
  <c r="I1155" i="1"/>
  <c r="H1155" i="1"/>
  <c r="G1155" i="1"/>
  <c r="I1154" i="1"/>
  <c r="H1154" i="1"/>
  <c r="G1154" i="1"/>
  <c r="I1153" i="1"/>
  <c r="H1153" i="1"/>
  <c r="G1153" i="1"/>
  <c r="I1152" i="1"/>
  <c r="H1152" i="1"/>
  <c r="G1152" i="1"/>
  <c r="I1151" i="1"/>
  <c r="H1151" i="1"/>
  <c r="G1151" i="1"/>
  <c r="I1150" i="1"/>
  <c r="H1150" i="1"/>
  <c r="G1150" i="1"/>
  <c r="I1149" i="1"/>
  <c r="H1149" i="1"/>
  <c r="G1149" i="1"/>
  <c r="H1148" i="1"/>
  <c r="G1148" i="1"/>
  <c r="I1147" i="1"/>
  <c r="H1147" i="1"/>
  <c r="G1147" i="1"/>
  <c r="I1146" i="1"/>
  <c r="H1146" i="1"/>
  <c r="G1146" i="1"/>
  <c r="I1145" i="1"/>
  <c r="H1145" i="1"/>
  <c r="G1145" i="1"/>
  <c r="I1144" i="1"/>
  <c r="H1144" i="1"/>
  <c r="G1144" i="1"/>
  <c r="I1143" i="1"/>
  <c r="H1143" i="1"/>
  <c r="G1143" i="1"/>
  <c r="I1142" i="1"/>
  <c r="H1142" i="1"/>
  <c r="G1142" i="1"/>
  <c r="I1141" i="1"/>
  <c r="H1141" i="1"/>
  <c r="G1141" i="1"/>
  <c r="I1140" i="1"/>
  <c r="H1140" i="1"/>
  <c r="G1140" i="1"/>
  <c r="I1139" i="1"/>
  <c r="H1139" i="1"/>
  <c r="G1139" i="1"/>
  <c r="I1138" i="1"/>
  <c r="H1138" i="1"/>
  <c r="G1138" i="1"/>
  <c r="I1137" i="1"/>
  <c r="H1137" i="1"/>
  <c r="G1137" i="1"/>
  <c r="I1136" i="1"/>
  <c r="H1136" i="1"/>
  <c r="G1136" i="1"/>
  <c r="I1135" i="1"/>
  <c r="H1135" i="1"/>
  <c r="G1135" i="1"/>
  <c r="I1134" i="1"/>
  <c r="H1134" i="1"/>
  <c r="G1134" i="1"/>
  <c r="I1133" i="1"/>
  <c r="H1133" i="1"/>
  <c r="G1133" i="1"/>
  <c r="I1132" i="1"/>
  <c r="H1132" i="1"/>
  <c r="G1132" i="1"/>
  <c r="I1131" i="1"/>
  <c r="H1131" i="1"/>
  <c r="G1131" i="1"/>
  <c r="I1129" i="1"/>
  <c r="H1129" i="1"/>
  <c r="G1129" i="1"/>
  <c r="I1128" i="1"/>
  <c r="H1128" i="1"/>
  <c r="G1128" i="1"/>
  <c r="I1127" i="1"/>
  <c r="H1127" i="1"/>
  <c r="G1127" i="1"/>
  <c r="I1126" i="1"/>
  <c r="H1126" i="1"/>
  <c r="G1126" i="1"/>
  <c r="I1125" i="1"/>
  <c r="H1125" i="1"/>
  <c r="G1125" i="1"/>
  <c r="I1124" i="1"/>
  <c r="H1124" i="1"/>
  <c r="G1124" i="1"/>
  <c r="I1123" i="1"/>
  <c r="H1123" i="1"/>
  <c r="G1123" i="1"/>
  <c r="I1122" i="1"/>
  <c r="H1122" i="1"/>
  <c r="G1122" i="1"/>
  <c r="H1121" i="1"/>
  <c r="G1121" i="1"/>
  <c r="I1120" i="1"/>
  <c r="H1120" i="1"/>
  <c r="G1120" i="1"/>
  <c r="I1119" i="1"/>
  <c r="H1119" i="1"/>
  <c r="G1119" i="1"/>
  <c r="I1118" i="1"/>
  <c r="H1118" i="1"/>
  <c r="G1118" i="1"/>
  <c r="I1117" i="1"/>
  <c r="H1117" i="1"/>
  <c r="G1117" i="1"/>
  <c r="I1116" i="1"/>
  <c r="H1116" i="1"/>
  <c r="G1116" i="1"/>
  <c r="I1115" i="1"/>
  <c r="H1115" i="1"/>
  <c r="G1115" i="1"/>
  <c r="I1114" i="1"/>
  <c r="H1114" i="1"/>
  <c r="G1114" i="1"/>
  <c r="I1113" i="1"/>
  <c r="H1113" i="1"/>
  <c r="G1113" i="1"/>
  <c r="I1112" i="1"/>
  <c r="H1112" i="1"/>
  <c r="G1112" i="1"/>
  <c r="I1111" i="1"/>
  <c r="H1111" i="1"/>
  <c r="G1111" i="1"/>
  <c r="I1110" i="1"/>
  <c r="H1110" i="1"/>
  <c r="G1110" i="1"/>
  <c r="I1109" i="1"/>
  <c r="H1109" i="1"/>
  <c r="G1109" i="1"/>
  <c r="I1108" i="1"/>
  <c r="H1108" i="1"/>
  <c r="G1108" i="1"/>
  <c r="I1107" i="1"/>
  <c r="H1107" i="1"/>
  <c r="G1107" i="1"/>
  <c r="I1106" i="1"/>
  <c r="H1106" i="1"/>
  <c r="G1106" i="1"/>
  <c r="I1105" i="1"/>
  <c r="H1105" i="1"/>
  <c r="G1105" i="1"/>
  <c r="I1104" i="1"/>
  <c r="H1104" i="1"/>
  <c r="G1104" i="1"/>
  <c r="I1103" i="1"/>
  <c r="H1103" i="1"/>
  <c r="G1103" i="1"/>
  <c r="I1102" i="1"/>
  <c r="H1102" i="1"/>
  <c r="G1102" i="1"/>
  <c r="H1101" i="1"/>
  <c r="G1101" i="1"/>
  <c r="I1100" i="1"/>
  <c r="H1100" i="1"/>
  <c r="G1100" i="1"/>
  <c r="I1099" i="1"/>
  <c r="H1099" i="1"/>
  <c r="G1099" i="1"/>
  <c r="I1098" i="1"/>
  <c r="H1098" i="1"/>
  <c r="G1098" i="1"/>
  <c r="I1097" i="1"/>
  <c r="H1097" i="1"/>
  <c r="G1097" i="1"/>
  <c r="I1096" i="1"/>
  <c r="H1096" i="1"/>
  <c r="G1096" i="1"/>
  <c r="I1094" i="1"/>
  <c r="H1094" i="1"/>
  <c r="G1094" i="1"/>
  <c r="I1093" i="1"/>
  <c r="H1093" i="1"/>
  <c r="G1093" i="1"/>
  <c r="I1092" i="1"/>
  <c r="H1092" i="1"/>
  <c r="G1092" i="1"/>
  <c r="I1091" i="1"/>
  <c r="H1091" i="1"/>
  <c r="G1091" i="1"/>
  <c r="I1090" i="1"/>
  <c r="H1090" i="1"/>
  <c r="G1090" i="1"/>
  <c r="I1089" i="1"/>
  <c r="H1089" i="1"/>
  <c r="G1089" i="1"/>
  <c r="I1088" i="1"/>
  <c r="H1088" i="1"/>
  <c r="G1088" i="1"/>
  <c r="I1087" i="1"/>
  <c r="H1087" i="1"/>
  <c r="G1087" i="1"/>
  <c r="I1084" i="1"/>
  <c r="H1084" i="1"/>
  <c r="G1084" i="1"/>
  <c r="I1083" i="1"/>
  <c r="H1083" i="1"/>
  <c r="G1083" i="1"/>
  <c r="I1082" i="1"/>
  <c r="H1082" i="1"/>
  <c r="G1082" i="1"/>
  <c r="I1081" i="1"/>
  <c r="H1081" i="1"/>
  <c r="G1081" i="1"/>
  <c r="H1080" i="1"/>
  <c r="G1080" i="1"/>
  <c r="I1078" i="1"/>
  <c r="H1078" i="1"/>
  <c r="G1078" i="1"/>
  <c r="I1077" i="1"/>
  <c r="H1077" i="1"/>
  <c r="G1077" i="1"/>
  <c r="I1076" i="1"/>
  <c r="H1076" i="1"/>
  <c r="G1076" i="1"/>
  <c r="I1075" i="1"/>
  <c r="H1075" i="1"/>
  <c r="G1075" i="1"/>
  <c r="I1074" i="1"/>
  <c r="G1074" i="1"/>
  <c r="I1073" i="1"/>
  <c r="H1073" i="1"/>
  <c r="G1073" i="1"/>
  <c r="I1072" i="1"/>
  <c r="H1072" i="1"/>
  <c r="G1072" i="1"/>
  <c r="I1070" i="1"/>
  <c r="H1070" i="1"/>
  <c r="G1070" i="1"/>
  <c r="I1069" i="1"/>
  <c r="H1069" i="1"/>
  <c r="G1069" i="1"/>
  <c r="I1067" i="1"/>
  <c r="H1067" i="1"/>
  <c r="G1067" i="1"/>
  <c r="I1065" i="1"/>
  <c r="H1065" i="1"/>
  <c r="G1065" i="1"/>
  <c r="I1064" i="1"/>
  <c r="H1064" i="1"/>
  <c r="G1064" i="1"/>
  <c r="I1062" i="1"/>
  <c r="H1062" i="1"/>
  <c r="G1062" i="1"/>
  <c r="I1061" i="1"/>
  <c r="H1061" i="1"/>
  <c r="G1061" i="1"/>
  <c r="I1059" i="1"/>
  <c r="H1059" i="1"/>
  <c r="G1059" i="1"/>
  <c r="I1057" i="1"/>
  <c r="H1057" i="1"/>
  <c r="G1057" i="1"/>
  <c r="I1055" i="1"/>
  <c r="H1055" i="1"/>
  <c r="G1055" i="1"/>
  <c r="I1054" i="1"/>
  <c r="H1054" i="1"/>
  <c r="G1054" i="1"/>
  <c r="I1052" i="1"/>
  <c r="H1052" i="1"/>
  <c r="G1052" i="1"/>
  <c r="I1050" i="1"/>
  <c r="H1050" i="1"/>
  <c r="G1050" i="1"/>
  <c r="I1049" i="1"/>
  <c r="H1049" i="1"/>
  <c r="G1049" i="1"/>
  <c r="I1048" i="1"/>
  <c r="H1048" i="1"/>
  <c r="G1048" i="1"/>
  <c r="I1047" i="1"/>
  <c r="H1047" i="1"/>
  <c r="G1047" i="1"/>
  <c r="I1045" i="1"/>
  <c r="H1045" i="1"/>
  <c r="G1045" i="1"/>
  <c r="I1043" i="1"/>
  <c r="H1043" i="1"/>
  <c r="G1043" i="1"/>
  <c r="I1041" i="1"/>
  <c r="H1041" i="1"/>
  <c r="G1041" i="1"/>
  <c r="I1040" i="1"/>
  <c r="H1040" i="1"/>
  <c r="G1040" i="1"/>
  <c r="I1039" i="1"/>
  <c r="H1039" i="1"/>
  <c r="G1039" i="1"/>
  <c r="I1037" i="1"/>
  <c r="H1037" i="1"/>
  <c r="G1037" i="1"/>
  <c r="I1035" i="1"/>
  <c r="H1035" i="1"/>
  <c r="G1035" i="1"/>
  <c r="I1034" i="1"/>
  <c r="H1034" i="1"/>
  <c r="G1034" i="1"/>
  <c r="I1032" i="1"/>
  <c r="H1032" i="1"/>
  <c r="G1032" i="1"/>
  <c r="I1031" i="1"/>
  <c r="H1031" i="1"/>
  <c r="G1031" i="1"/>
  <c r="I1030" i="1"/>
  <c r="H1030" i="1"/>
  <c r="G1030" i="1"/>
  <c r="I1029" i="1"/>
  <c r="H1029" i="1"/>
  <c r="G1029" i="1"/>
  <c r="I1028" i="1"/>
  <c r="H1028" i="1"/>
  <c r="G1028" i="1"/>
  <c r="I1027" i="1"/>
  <c r="H1027" i="1"/>
  <c r="G1027" i="1"/>
  <c r="I1026" i="1"/>
  <c r="H1026" i="1"/>
  <c r="G1026" i="1"/>
  <c r="I1025" i="1"/>
  <c r="H1025" i="1"/>
  <c r="G1025" i="1"/>
  <c r="I1024" i="1"/>
  <c r="H1024" i="1"/>
  <c r="G1024" i="1"/>
  <c r="I1023" i="1"/>
  <c r="H1023" i="1"/>
  <c r="G1023" i="1"/>
  <c r="I1022" i="1"/>
  <c r="H1022" i="1"/>
  <c r="G1022" i="1"/>
  <c r="I1021" i="1"/>
  <c r="H1021" i="1"/>
  <c r="G1021" i="1"/>
  <c r="I1020" i="1"/>
  <c r="H1020" i="1"/>
  <c r="G1020" i="1"/>
  <c r="I1019" i="1"/>
  <c r="H1019" i="1"/>
  <c r="G1019" i="1"/>
  <c r="I1018" i="1"/>
  <c r="H1018" i="1"/>
  <c r="G1018" i="1"/>
  <c r="I1017" i="1"/>
  <c r="H1017" i="1"/>
  <c r="G1017" i="1"/>
  <c r="I1016" i="1"/>
  <c r="H1016" i="1"/>
  <c r="G1016" i="1"/>
  <c r="H1015" i="1"/>
  <c r="G1015" i="1"/>
  <c r="I1014" i="1"/>
  <c r="H1014" i="1"/>
  <c r="G1014" i="1"/>
  <c r="I1013" i="1"/>
  <c r="H1013" i="1"/>
  <c r="G1013" i="1"/>
  <c r="I1011" i="1"/>
  <c r="H1011" i="1"/>
  <c r="G1011" i="1"/>
  <c r="I1010" i="1"/>
  <c r="H1010" i="1"/>
  <c r="G1010" i="1"/>
  <c r="I1009" i="1"/>
  <c r="H1009" i="1"/>
  <c r="G1009" i="1"/>
  <c r="I1008" i="1"/>
  <c r="H1008" i="1"/>
  <c r="G1008" i="1"/>
  <c r="I1007" i="1"/>
  <c r="H1007" i="1"/>
  <c r="G1007" i="1"/>
  <c r="I1006" i="1"/>
  <c r="H1006" i="1"/>
  <c r="G1006" i="1"/>
  <c r="I1005" i="1"/>
  <c r="H1005" i="1"/>
  <c r="G1005" i="1"/>
  <c r="I1004" i="1"/>
  <c r="H1004" i="1"/>
  <c r="G1004" i="1"/>
  <c r="I1003" i="1"/>
  <c r="H1003" i="1"/>
  <c r="G1003" i="1"/>
  <c r="I1002" i="1"/>
  <c r="H1002" i="1"/>
  <c r="G1002" i="1"/>
  <c r="I1001" i="1"/>
  <c r="H1001" i="1"/>
  <c r="G1001" i="1"/>
  <c r="I1000" i="1"/>
  <c r="H1000" i="1"/>
  <c r="G1000" i="1"/>
  <c r="I999" i="1"/>
  <c r="H999" i="1"/>
  <c r="G999" i="1"/>
  <c r="I998" i="1"/>
  <c r="H998" i="1"/>
  <c r="G998" i="1"/>
  <c r="I997" i="1"/>
  <c r="H997" i="1"/>
  <c r="G997" i="1"/>
  <c r="I996" i="1"/>
  <c r="H996" i="1"/>
  <c r="G996" i="1"/>
  <c r="I995" i="1"/>
  <c r="H995" i="1"/>
  <c r="G995" i="1"/>
  <c r="I994" i="1"/>
  <c r="H994" i="1"/>
  <c r="G994" i="1"/>
  <c r="I993" i="1"/>
  <c r="H993" i="1"/>
  <c r="G993" i="1"/>
  <c r="I992" i="1"/>
  <c r="H992" i="1"/>
  <c r="G992" i="1"/>
  <c r="I991" i="1"/>
  <c r="H991" i="1"/>
  <c r="G991" i="1"/>
  <c r="I990" i="1"/>
  <c r="H990" i="1"/>
  <c r="G990" i="1"/>
  <c r="I989" i="1"/>
  <c r="H989" i="1"/>
  <c r="G989" i="1"/>
  <c r="H988" i="1"/>
  <c r="G988" i="1"/>
  <c r="I987" i="1"/>
  <c r="H987" i="1"/>
  <c r="G987" i="1"/>
  <c r="I986" i="1"/>
  <c r="H986" i="1"/>
  <c r="G986" i="1"/>
  <c r="I985" i="1"/>
  <c r="H985" i="1"/>
  <c r="G985" i="1"/>
  <c r="I984" i="1"/>
  <c r="H984" i="1"/>
  <c r="G984" i="1"/>
  <c r="I983" i="1"/>
  <c r="H983" i="1"/>
  <c r="G983" i="1"/>
  <c r="I982" i="1"/>
  <c r="H982" i="1"/>
  <c r="G982" i="1"/>
  <c r="I981" i="1"/>
  <c r="H981" i="1"/>
  <c r="G981" i="1"/>
  <c r="I980" i="1"/>
  <c r="H980" i="1"/>
  <c r="G980" i="1"/>
  <c r="I979" i="1"/>
  <c r="H979" i="1"/>
  <c r="G979" i="1"/>
  <c r="I978" i="1"/>
  <c r="H978" i="1"/>
  <c r="G978" i="1"/>
  <c r="I977" i="1"/>
  <c r="H977" i="1"/>
  <c r="G977" i="1"/>
  <c r="I976" i="1"/>
  <c r="H976" i="1"/>
  <c r="G976" i="1"/>
  <c r="I975" i="1"/>
  <c r="H975" i="1"/>
  <c r="G975" i="1"/>
  <c r="I974" i="1"/>
  <c r="H974" i="1"/>
  <c r="G974" i="1"/>
  <c r="I973" i="1"/>
  <c r="H973" i="1"/>
  <c r="G973" i="1"/>
  <c r="I972" i="1"/>
  <c r="G972" i="1"/>
  <c r="I971" i="1"/>
  <c r="H971" i="1"/>
  <c r="G971" i="1"/>
  <c r="I970" i="1"/>
  <c r="H970" i="1"/>
  <c r="G970" i="1"/>
  <c r="I969" i="1"/>
  <c r="H969" i="1"/>
  <c r="G969" i="1"/>
  <c r="I968" i="1"/>
  <c r="H968" i="1"/>
  <c r="G968" i="1"/>
  <c r="I967" i="1"/>
  <c r="G967" i="1"/>
  <c r="I966" i="1"/>
  <c r="G966" i="1"/>
  <c r="I965" i="1"/>
  <c r="H965" i="1"/>
  <c r="G965" i="1"/>
  <c r="I964" i="1"/>
  <c r="H964" i="1"/>
  <c r="G964" i="1"/>
  <c r="I963" i="1"/>
  <c r="H963" i="1"/>
  <c r="G963" i="1"/>
  <c r="I962" i="1"/>
  <c r="H962" i="1"/>
  <c r="G962" i="1"/>
  <c r="I961" i="1"/>
  <c r="G961" i="1"/>
  <c r="I959" i="1"/>
  <c r="H959" i="1"/>
  <c r="G959" i="1"/>
  <c r="I958" i="1"/>
  <c r="H958" i="1"/>
  <c r="G958" i="1"/>
  <c r="I957" i="1"/>
  <c r="H957" i="1"/>
  <c r="G957" i="1"/>
  <c r="I956" i="1"/>
  <c r="H956" i="1"/>
  <c r="G956" i="1"/>
  <c r="I955" i="1"/>
  <c r="H955" i="1"/>
  <c r="G955" i="1"/>
  <c r="I954" i="1"/>
  <c r="H954" i="1"/>
  <c r="G954" i="1"/>
  <c r="I953" i="1"/>
  <c r="H953" i="1"/>
  <c r="G953" i="1"/>
  <c r="I951" i="1"/>
  <c r="H951" i="1"/>
  <c r="G951" i="1"/>
  <c r="I950" i="1"/>
  <c r="H950" i="1"/>
  <c r="G950" i="1"/>
  <c r="I949" i="1"/>
  <c r="H949" i="1"/>
  <c r="G949" i="1"/>
  <c r="I948" i="1"/>
  <c r="H948" i="1"/>
  <c r="G948" i="1"/>
  <c r="I947" i="1"/>
  <c r="H947" i="1"/>
  <c r="G947" i="1"/>
  <c r="I946" i="1"/>
  <c r="H946" i="1"/>
  <c r="G946" i="1"/>
  <c r="I945" i="1"/>
  <c r="H945" i="1"/>
  <c r="G945" i="1"/>
  <c r="I944" i="1"/>
  <c r="H944" i="1"/>
  <c r="G944" i="1"/>
  <c r="I943" i="1"/>
  <c r="H943" i="1"/>
  <c r="G943" i="1"/>
  <c r="I942" i="1"/>
  <c r="H942" i="1"/>
  <c r="G942" i="1"/>
  <c r="I941" i="1"/>
  <c r="H941" i="1"/>
  <c r="G941" i="1"/>
  <c r="I940" i="1"/>
  <c r="H940" i="1"/>
  <c r="G940" i="1"/>
  <c r="I939" i="1"/>
  <c r="H939" i="1"/>
  <c r="G939" i="1"/>
  <c r="I938" i="1"/>
  <c r="H938" i="1"/>
  <c r="G938" i="1"/>
  <c r="I937" i="1"/>
  <c r="H937" i="1"/>
  <c r="G937" i="1"/>
  <c r="I936" i="1"/>
  <c r="H936" i="1"/>
  <c r="G936" i="1"/>
  <c r="I935" i="1"/>
  <c r="H935" i="1"/>
  <c r="G935" i="1"/>
  <c r="I934" i="1"/>
  <c r="H934" i="1"/>
  <c r="G934" i="1"/>
  <c r="I933" i="1"/>
  <c r="H933" i="1"/>
  <c r="G933" i="1"/>
  <c r="I932" i="1"/>
  <c r="H932" i="1"/>
  <c r="G932" i="1"/>
  <c r="I931" i="1"/>
  <c r="H931" i="1"/>
  <c r="G931" i="1"/>
  <c r="I930" i="1"/>
  <c r="H930" i="1"/>
  <c r="G930" i="1"/>
  <c r="I929" i="1"/>
  <c r="H929" i="1"/>
  <c r="G929" i="1"/>
  <c r="I928" i="1"/>
  <c r="H928" i="1"/>
  <c r="G928" i="1"/>
  <c r="I927" i="1"/>
  <c r="H927" i="1"/>
  <c r="G927" i="1"/>
  <c r="I925" i="1"/>
  <c r="H925" i="1"/>
  <c r="G925" i="1"/>
  <c r="I924" i="1"/>
  <c r="H924" i="1"/>
  <c r="G924" i="1"/>
  <c r="I923" i="1"/>
  <c r="H923" i="1"/>
  <c r="G923" i="1"/>
  <c r="I922" i="1"/>
  <c r="H922" i="1"/>
  <c r="G922" i="1"/>
  <c r="I921" i="1"/>
  <c r="H921" i="1"/>
  <c r="G921" i="1"/>
  <c r="I920" i="1"/>
  <c r="H920" i="1"/>
  <c r="G920" i="1"/>
  <c r="I919" i="1"/>
  <c r="H919" i="1"/>
  <c r="G919" i="1"/>
  <c r="I918" i="1"/>
  <c r="H918" i="1"/>
  <c r="G918" i="1"/>
  <c r="I917" i="1"/>
  <c r="H917" i="1"/>
  <c r="G917" i="1"/>
  <c r="I916" i="1"/>
  <c r="H916" i="1"/>
  <c r="G916" i="1"/>
  <c r="I915" i="1"/>
  <c r="H915" i="1"/>
  <c r="G915" i="1"/>
  <c r="I914" i="1"/>
  <c r="H914" i="1"/>
  <c r="G914" i="1"/>
  <c r="I913" i="1"/>
  <c r="H913" i="1"/>
  <c r="G913" i="1"/>
  <c r="I912" i="1"/>
  <c r="H912" i="1"/>
  <c r="G912" i="1"/>
  <c r="I911" i="1"/>
  <c r="H911" i="1"/>
  <c r="G911" i="1"/>
  <c r="I910" i="1"/>
  <c r="H910" i="1"/>
  <c r="G910" i="1"/>
  <c r="I909" i="1"/>
  <c r="H909" i="1"/>
  <c r="G909" i="1"/>
  <c r="I908" i="1"/>
  <c r="H908" i="1"/>
  <c r="G908" i="1"/>
  <c r="I907" i="1"/>
  <c r="H907" i="1"/>
  <c r="G907" i="1"/>
  <c r="I906" i="1"/>
  <c r="H906" i="1"/>
  <c r="G906" i="1"/>
  <c r="I905" i="1"/>
  <c r="H905" i="1"/>
  <c r="G905" i="1"/>
  <c r="I904" i="1"/>
  <c r="H904" i="1"/>
  <c r="G904" i="1"/>
  <c r="I903" i="1"/>
  <c r="H903" i="1"/>
  <c r="G903" i="1"/>
  <c r="I902" i="1"/>
  <c r="H902" i="1"/>
  <c r="G902" i="1"/>
  <c r="I901" i="1"/>
  <c r="H901" i="1"/>
  <c r="G901" i="1"/>
  <c r="I900" i="1"/>
  <c r="H900" i="1"/>
  <c r="G900" i="1"/>
  <c r="I899" i="1"/>
  <c r="H899" i="1"/>
  <c r="G899" i="1"/>
  <c r="I898" i="1"/>
  <c r="H898" i="1"/>
  <c r="G898" i="1"/>
  <c r="I897" i="1"/>
  <c r="H897" i="1"/>
  <c r="G897" i="1"/>
  <c r="I896" i="1"/>
  <c r="H896" i="1"/>
  <c r="G896" i="1"/>
  <c r="I895" i="1"/>
  <c r="H895" i="1"/>
  <c r="G895" i="1"/>
  <c r="I894" i="1"/>
  <c r="H894" i="1"/>
  <c r="G894" i="1"/>
  <c r="I893" i="1"/>
  <c r="H893" i="1"/>
  <c r="G893" i="1"/>
  <c r="I892" i="1"/>
  <c r="H892" i="1"/>
  <c r="G892" i="1"/>
  <c r="I891" i="1"/>
  <c r="H891" i="1"/>
  <c r="G891" i="1"/>
  <c r="I890" i="1"/>
  <c r="H890" i="1"/>
  <c r="G890" i="1"/>
  <c r="I889" i="1"/>
  <c r="H889" i="1"/>
  <c r="G889" i="1"/>
  <c r="I888" i="1"/>
  <c r="H888" i="1"/>
  <c r="G888" i="1"/>
  <c r="I887" i="1"/>
  <c r="H887" i="1"/>
  <c r="G887" i="1"/>
  <c r="I886" i="1"/>
  <c r="H886" i="1"/>
  <c r="G886" i="1"/>
  <c r="I885" i="1"/>
  <c r="H885" i="1"/>
  <c r="G885" i="1"/>
  <c r="I884" i="1"/>
  <c r="H884" i="1"/>
  <c r="G884" i="1"/>
  <c r="I883" i="1"/>
  <c r="H883" i="1"/>
  <c r="G883" i="1"/>
  <c r="I882" i="1"/>
  <c r="H882" i="1"/>
  <c r="G882" i="1"/>
  <c r="H881" i="1"/>
  <c r="G881" i="1"/>
  <c r="I880" i="1"/>
  <c r="H880" i="1"/>
  <c r="G880" i="1"/>
  <c r="I879" i="1"/>
  <c r="H879" i="1"/>
  <c r="G879" i="1"/>
  <c r="I878" i="1"/>
  <c r="H878" i="1"/>
  <c r="G878" i="1"/>
  <c r="I877" i="1"/>
  <c r="H877" i="1"/>
  <c r="G877" i="1"/>
  <c r="I876" i="1"/>
  <c r="H876" i="1"/>
  <c r="G876" i="1"/>
  <c r="I875" i="1"/>
  <c r="H875" i="1"/>
  <c r="G875" i="1"/>
  <c r="I873" i="1"/>
  <c r="H873" i="1"/>
  <c r="G873" i="1"/>
  <c r="I868" i="1"/>
  <c r="H868" i="1"/>
  <c r="G868" i="1"/>
  <c r="I867" i="1"/>
  <c r="H867" i="1"/>
  <c r="G867" i="1"/>
  <c r="I866" i="1"/>
  <c r="H866" i="1"/>
  <c r="G866" i="1"/>
  <c r="I865" i="1"/>
  <c r="H865" i="1"/>
  <c r="G865" i="1"/>
  <c r="I864" i="1"/>
  <c r="H864" i="1"/>
  <c r="G864" i="1"/>
  <c r="I862" i="1"/>
  <c r="H862" i="1"/>
  <c r="G862" i="1"/>
  <c r="I861" i="1"/>
  <c r="H861" i="1"/>
  <c r="G861" i="1"/>
  <c r="I860" i="1"/>
  <c r="H860" i="1"/>
  <c r="G860" i="1"/>
  <c r="I859" i="1"/>
  <c r="H859" i="1"/>
  <c r="G859" i="1"/>
  <c r="I858" i="1"/>
  <c r="H858" i="1"/>
  <c r="G858" i="1"/>
  <c r="I857" i="1"/>
  <c r="H857" i="1"/>
  <c r="G857" i="1"/>
  <c r="H856" i="1"/>
  <c r="G856" i="1"/>
  <c r="I855" i="1"/>
  <c r="H855" i="1"/>
  <c r="G855" i="1"/>
  <c r="I854" i="1"/>
  <c r="H854" i="1"/>
  <c r="G854" i="1"/>
  <c r="I853" i="1"/>
  <c r="H853" i="1"/>
  <c r="G853" i="1"/>
  <c r="H852" i="1"/>
  <c r="G852" i="1"/>
  <c r="I849" i="1"/>
  <c r="H849" i="1"/>
  <c r="G849" i="1"/>
  <c r="I848" i="1"/>
  <c r="H848" i="1"/>
  <c r="G848" i="1"/>
  <c r="I847" i="1"/>
  <c r="H847" i="1"/>
  <c r="G847" i="1"/>
  <c r="I846" i="1"/>
  <c r="H846" i="1"/>
  <c r="G846" i="1"/>
  <c r="I845" i="1"/>
  <c r="H845" i="1"/>
  <c r="G845" i="1"/>
  <c r="I844" i="1"/>
  <c r="H844" i="1"/>
  <c r="G844" i="1"/>
  <c r="I843" i="1"/>
  <c r="H843" i="1"/>
  <c r="G843" i="1"/>
  <c r="I842" i="1"/>
  <c r="H842" i="1"/>
  <c r="G842" i="1"/>
  <c r="I841" i="1"/>
  <c r="H841" i="1"/>
  <c r="G841" i="1"/>
  <c r="I840" i="1"/>
  <c r="H840" i="1"/>
  <c r="G840" i="1"/>
  <c r="I839" i="1"/>
  <c r="H839" i="1"/>
  <c r="G839" i="1"/>
  <c r="I838" i="1"/>
  <c r="H838" i="1"/>
  <c r="G838" i="1"/>
  <c r="I837" i="1"/>
  <c r="H837" i="1"/>
  <c r="G837" i="1"/>
  <c r="I836" i="1"/>
  <c r="H836" i="1"/>
  <c r="G836" i="1"/>
  <c r="I835" i="1"/>
  <c r="H835" i="1"/>
  <c r="G835" i="1"/>
  <c r="I834" i="1"/>
  <c r="H834" i="1"/>
  <c r="G834" i="1"/>
  <c r="I833" i="1"/>
  <c r="H833" i="1"/>
  <c r="G833" i="1"/>
  <c r="I832" i="1"/>
  <c r="H832" i="1"/>
  <c r="G832" i="1"/>
  <c r="I831" i="1"/>
  <c r="H831" i="1"/>
  <c r="G831" i="1"/>
  <c r="I830" i="1"/>
  <c r="H830" i="1"/>
  <c r="G830" i="1"/>
  <c r="I829" i="1"/>
  <c r="H829" i="1"/>
  <c r="G829" i="1"/>
  <c r="I828" i="1"/>
  <c r="H828" i="1"/>
  <c r="G828" i="1"/>
  <c r="I827" i="1"/>
  <c r="H827" i="1"/>
  <c r="G827" i="1"/>
  <c r="I826" i="1"/>
  <c r="H826" i="1"/>
  <c r="G826" i="1"/>
  <c r="I825" i="1"/>
  <c r="H825" i="1"/>
  <c r="G825" i="1"/>
  <c r="I824" i="1"/>
  <c r="H824" i="1"/>
  <c r="G824" i="1"/>
  <c r="I823" i="1"/>
  <c r="H823" i="1"/>
  <c r="G823" i="1"/>
  <c r="I822" i="1"/>
  <c r="H822" i="1"/>
  <c r="G822" i="1"/>
  <c r="I821" i="1"/>
  <c r="H821" i="1"/>
  <c r="G821" i="1"/>
  <c r="I820" i="1"/>
  <c r="H820" i="1"/>
  <c r="G820" i="1"/>
  <c r="I819" i="1"/>
  <c r="H819" i="1"/>
  <c r="G819" i="1"/>
  <c r="I818" i="1"/>
  <c r="H818" i="1"/>
  <c r="G818" i="1"/>
  <c r="I817" i="1"/>
  <c r="H817" i="1"/>
  <c r="G817" i="1"/>
  <c r="I816" i="1"/>
  <c r="H816" i="1"/>
  <c r="G816" i="1"/>
  <c r="I815" i="1"/>
  <c r="H815" i="1"/>
  <c r="G815" i="1"/>
  <c r="I814" i="1"/>
  <c r="H814" i="1"/>
  <c r="G814" i="1"/>
  <c r="I813" i="1"/>
  <c r="H813" i="1"/>
  <c r="G813" i="1"/>
  <c r="I812" i="1"/>
  <c r="H812" i="1"/>
  <c r="G812" i="1"/>
  <c r="I811" i="1"/>
  <c r="H811" i="1"/>
  <c r="G811" i="1"/>
  <c r="I810" i="1"/>
  <c r="H810" i="1"/>
  <c r="G810" i="1"/>
  <c r="I809" i="1"/>
  <c r="H809" i="1"/>
  <c r="G809" i="1"/>
  <c r="I808" i="1"/>
  <c r="H808" i="1"/>
  <c r="G808" i="1"/>
  <c r="I807" i="1"/>
  <c r="H807" i="1"/>
  <c r="G807" i="1"/>
  <c r="I806" i="1"/>
  <c r="H806" i="1"/>
  <c r="G806" i="1"/>
  <c r="I805" i="1"/>
  <c r="H805" i="1"/>
  <c r="G805" i="1"/>
  <c r="I804" i="1"/>
  <c r="H804" i="1"/>
  <c r="G804" i="1"/>
  <c r="I803" i="1"/>
  <c r="H803" i="1"/>
  <c r="G803" i="1"/>
  <c r="I802" i="1"/>
  <c r="H802" i="1"/>
  <c r="G802" i="1"/>
  <c r="I801" i="1"/>
  <c r="H801" i="1"/>
  <c r="G801" i="1"/>
  <c r="I800" i="1"/>
  <c r="H800" i="1"/>
  <c r="G800" i="1"/>
  <c r="I798" i="1"/>
  <c r="H798" i="1"/>
  <c r="G798" i="1"/>
  <c r="I796" i="1"/>
  <c r="H796" i="1"/>
  <c r="G796" i="1"/>
  <c r="I795" i="1"/>
  <c r="H795" i="1"/>
  <c r="G795" i="1"/>
  <c r="I793" i="1"/>
  <c r="H793" i="1"/>
  <c r="G793" i="1"/>
  <c r="I792" i="1"/>
  <c r="H792" i="1"/>
  <c r="G792" i="1"/>
  <c r="I791" i="1"/>
  <c r="H791" i="1"/>
  <c r="G791" i="1"/>
  <c r="I790" i="1"/>
  <c r="H790" i="1"/>
  <c r="G790" i="1"/>
  <c r="I789" i="1"/>
  <c r="H789" i="1"/>
  <c r="G789" i="1"/>
  <c r="I788" i="1"/>
  <c r="H788" i="1"/>
  <c r="G788" i="1"/>
  <c r="I786" i="1"/>
  <c r="H786" i="1"/>
  <c r="G786" i="1"/>
  <c r="I785" i="1"/>
  <c r="H785" i="1"/>
  <c r="G785" i="1"/>
  <c r="I783" i="1"/>
  <c r="H783" i="1"/>
  <c r="G783" i="1"/>
  <c r="I782" i="1"/>
  <c r="H782" i="1"/>
  <c r="G782" i="1"/>
  <c r="I781" i="1"/>
  <c r="H781" i="1"/>
  <c r="G781" i="1"/>
  <c r="I780" i="1"/>
  <c r="H780" i="1"/>
  <c r="G780" i="1"/>
  <c r="I778" i="1"/>
  <c r="H778" i="1"/>
  <c r="G778" i="1"/>
  <c r="I777" i="1"/>
  <c r="H777" i="1"/>
  <c r="G777" i="1"/>
  <c r="I776" i="1"/>
  <c r="H776" i="1"/>
  <c r="G776" i="1"/>
  <c r="I775" i="1"/>
  <c r="H775" i="1"/>
  <c r="G775" i="1"/>
  <c r="I774" i="1"/>
  <c r="H774" i="1"/>
  <c r="G774" i="1"/>
  <c r="I773" i="1"/>
  <c r="H773" i="1"/>
  <c r="G773" i="1"/>
  <c r="I772" i="1"/>
  <c r="G772" i="1"/>
  <c r="I771" i="1"/>
  <c r="H771" i="1"/>
  <c r="G771" i="1"/>
  <c r="I770" i="1"/>
  <c r="H770" i="1"/>
  <c r="G770" i="1"/>
  <c r="I769" i="1"/>
  <c r="H769" i="1"/>
  <c r="G769" i="1"/>
  <c r="I768" i="1"/>
  <c r="H768" i="1"/>
  <c r="G768" i="1"/>
  <c r="I767" i="1"/>
  <c r="H767" i="1"/>
  <c r="G767" i="1"/>
  <c r="I766" i="1"/>
  <c r="H766" i="1"/>
  <c r="G766" i="1"/>
  <c r="I765" i="1"/>
  <c r="H765" i="1"/>
  <c r="G765" i="1"/>
  <c r="I764" i="1"/>
  <c r="H764" i="1"/>
  <c r="G764" i="1"/>
  <c r="I763" i="1"/>
  <c r="H763" i="1"/>
  <c r="G763" i="1"/>
  <c r="I762" i="1"/>
  <c r="H762" i="1"/>
  <c r="G762" i="1"/>
  <c r="I761" i="1"/>
  <c r="H761" i="1"/>
  <c r="G761" i="1"/>
  <c r="H760" i="1"/>
  <c r="G760" i="1"/>
  <c r="I759" i="1"/>
  <c r="H759" i="1"/>
  <c r="G759" i="1"/>
  <c r="I758" i="1"/>
  <c r="G758" i="1"/>
  <c r="I757" i="1"/>
  <c r="H757" i="1"/>
  <c r="G757" i="1"/>
  <c r="I756" i="1"/>
  <c r="H756" i="1"/>
  <c r="G756" i="1"/>
  <c r="I755" i="1"/>
  <c r="H755" i="1"/>
  <c r="G755" i="1"/>
  <c r="I754" i="1"/>
  <c r="H754" i="1"/>
  <c r="G754" i="1"/>
  <c r="I753" i="1"/>
  <c r="H753" i="1"/>
  <c r="G753" i="1"/>
  <c r="I752" i="1"/>
  <c r="H752" i="1"/>
  <c r="G752" i="1"/>
  <c r="I751" i="1"/>
  <c r="H751" i="1"/>
  <c r="G751" i="1"/>
  <c r="I750" i="1"/>
  <c r="H750" i="1"/>
  <c r="G750" i="1"/>
  <c r="I749" i="1"/>
  <c r="H749" i="1"/>
  <c r="G749" i="1"/>
  <c r="I747" i="1"/>
  <c r="H747" i="1"/>
  <c r="G747" i="1"/>
  <c r="I746" i="1"/>
  <c r="H746" i="1"/>
  <c r="G746" i="1"/>
  <c r="I745" i="1"/>
  <c r="H745" i="1"/>
  <c r="G745" i="1"/>
  <c r="I744" i="1"/>
  <c r="H744" i="1"/>
  <c r="G744" i="1"/>
  <c r="I743" i="1"/>
  <c r="H743" i="1"/>
  <c r="G743" i="1"/>
  <c r="I742" i="1"/>
  <c r="H742" i="1"/>
  <c r="G742" i="1"/>
  <c r="I740" i="1"/>
  <c r="H740" i="1"/>
  <c r="G740" i="1"/>
  <c r="I739" i="1"/>
  <c r="H739" i="1"/>
  <c r="G739" i="1"/>
  <c r="I738" i="1"/>
  <c r="H738" i="1"/>
  <c r="G738" i="1"/>
  <c r="I736" i="1"/>
  <c r="H736" i="1"/>
  <c r="G736" i="1"/>
  <c r="I735" i="1"/>
  <c r="H735" i="1"/>
  <c r="G735" i="1"/>
  <c r="I733" i="1"/>
  <c r="H733" i="1"/>
  <c r="G733" i="1"/>
  <c r="I732" i="1"/>
  <c r="H732" i="1"/>
  <c r="G732" i="1"/>
  <c r="I731" i="1"/>
  <c r="H731" i="1"/>
  <c r="G731" i="1"/>
  <c r="I730" i="1"/>
  <c r="H730" i="1"/>
  <c r="G730" i="1"/>
  <c r="H729" i="1"/>
  <c r="G729" i="1"/>
  <c r="I728" i="1"/>
  <c r="H728" i="1"/>
  <c r="G728" i="1"/>
  <c r="I727" i="1"/>
  <c r="H727" i="1"/>
  <c r="G727" i="1"/>
  <c r="I725" i="1"/>
  <c r="H725" i="1"/>
  <c r="G725" i="1"/>
  <c r="I724" i="1"/>
  <c r="H724" i="1"/>
  <c r="G724" i="1"/>
  <c r="I723" i="1"/>
  <c r="H723" i="1"/>
  <c r="G723" i="1"/>
  <c r="I722" i="1"/>
  <c r="H722" i="1"/>
  <c r="G722" i="1"/>
  <c r="I721" i="1"/>
  <c r="H721" i="1"/>
  <c r="G721" i="1"/>
  <c r="I720" i="1"/>
  <c r="H720" i="1"/>
  <c r="G720" i="1"/>
  <c r="I719" i="1"/>
  <c r="H719" i="1"/>
  <c r="G719" i="1"/>
  <c r="I718" i="1"/>
  <c r="H718" i="1"/>
  <c r="G718" i="1"/>
  <c r="I717" i="1"/>
  <c r="H717" i="1"/>
  <c r="G717" i="1"/>
  <c r="I716" i="1"/>
  <c r="H716" i="1"/>
  <c r="G716" i="1"/>
  <c r="I715" i="1"/>
  <c r="H715" i="1"/>
  <c r="G715" i="1"/>
  <c r="I714" i="1"/>
  <c r="H714" i="1"/>
  <c r="G714" i="1"/>
  <c r="I712" i="1"/>
  <c r="H712" i="1"/>
  <c r="G712" i="1"/>
  <c r="I711" i="1"/>
  <c r="H711" i="1"/>
  <c r="G711" i="1"/>
  <c r="I709" i="1"/>
  <c r="H709" i="1"/>
  <c r="G709" i="1"/>
  <c r="I708" i="1"/>
  <c r="H708" i="1"/>
  <c r="G708" i="1"/>
  <c r="I707" i="1"/>
  <c r="H707" i="1"/>
  <c r="G707" i="1"/>
  <c r="I706" i="1"/>
  <c r="H706" i="1"/>
  <c r="G706" i="1"/>
  <c r="I705" i="1"/>
  <c r="H705" i="1"/>
  <c r="G705" i="1"/>
  <c r="I704" i="1"/>
  <c r="H704" i="1"/>
  <c r="G704" i="1"/>
  <c r="I703" i="1"/>
  <c r="H703" i="1"/>
  <c r="G703" i="1"/>
  <c r="I702" i="1"/>
  <c r="H702" i="1"/>
  <c r="G702" i="1"/>
  <c r="I701" i="1"/>
  <c r="H701" i="1"/>
  <c r="G701" i="1"/>
  <c r="I700" i="1"/>
  <c r="H700" i="1"/>
  <c r="G700" i="1"/>
  <c r="I699" i="1"/>
  <c r="H699" i="1"/>
  <c r="G699" i="1"/>
  <c r="I698" i="1"/>
  <c r="H698" i="1"/>
  <c r="G698" i="1"/>
  <c r="I697" i="1"/>
  <c r="H697" i="1"/>
  <c r="G697" i="1"/>
  <c r="I696" i="1"/>
  <c r="H696" i="1"/>
  <c r="G696" i="1"/>
  <c r="I695" i="1"/>
  <c r="H695" i="1"/>
  <c r="G695" i="1"/>
  <c r="I694" i="1"/>
  <c r="H694" i="1"/>
  <c r="G694" i="1"/>
  <c r="I693" i="1"/>
  <c r="H693" i="1"/>
  <c r="G693" i="1"/>
  <c r="I692" i="1"/>
  <c r="H692" i="1"/>
  <c r="G692" i="1"/>
  <c r="I691" i="1"/>
  <c r="H691" i="1"/>
  <c r="G691" i="1"/>
  <c r="I690" i="1"/>
  <c r="H690" i="1"/>
  <c r="G690" i="1"/>
  <c r="I689" i="1"/>
  <c r="H689" i="1"/>
  <c r="G689" i="1"/>
  <c r="I687" i="1"/>
  <c r="H687" i="1"/>
  <c r="G687" i="1"/>
  <c r="I686" i="1"/>
  <c r="H686" i="1"/>
  <c r="G686" i="1"/>
  <c r="I685" i="1"/>
  <c r="H685" i="1"/>
  <c r="G685" i="1"/>
  <c r="I684" i="1"/>
  <c r="H684" i="1"/>
  <c r="G684" i="1"/>
  <c r="I683" i="1"/>
  <c r="H683" i="1"/>
  <c r="G683" i="1"/>
  <c r="I682" i="1"/>
  <c r="H682" i="1"/>
  <c r="G682" i="1"/>
  <c r="I681" i="1"/>
  <c r="H681" i="1"/>
  <c r="G681" i="1"/>
  <c r="I680" i="1"/>
  <c r="H680" i="1"/>
  <c r="G680" i="1"/>
  <c r="I679" i="1"/>
  <c r="H679" i="1"/>
  <c r="G679" i="1"/>
  <c r="I678" i="1"/>
  <c r="H678" i="1"/>
  <c r="G678" i="1"/>
  <c r="I677" i="1"/>
  <c r="H677" i="1"/>
  <c r="G677" i="1"/>
  <c r="I676" i="1"/>
  <c r="H676" i="1"/>
  <c r="G676" i="1"/>
  <c r="I675" i="1"/>
  <c r="H675" i="1"/>
  <c r="G675" i="1"/>
  <c r="I674" i="1"/>
  <c r="H674" i="1"/>
  <c r="G674" i="1"/>
  <c r="I673" i="1"/>
  <c r="H673" i="1"/>
  <c r="G673" i="1"/>
  <c r="I672" i="1"/>
  <c r="H672" i="1"/>
  <c r="G672" i="1"/>
  <c r="I671" i="1"/>
  <c r="G671" i="1"/>
  <c r="I670" i="1"/>
  <c r="H670" i="1"/>
  <c r="G670" i="1"/>
  <c r="I669" i="1"/>
  <c r="H669" i="1"/>
  <c r="G669" i="1"/>
  <c r="I668" i="1"/>
  <c r="H668" i="1"/>
  <c r="G668" i="1"/>
  <c r="I667" i="1"/>
  <c r="H667" i="1"/>
  <c r="G667" i="1"/>
  <c r="I666" i="1"/>
  <c r="H666" i="1"/>
  <c r="G666" i="1"/>
  <c r="I665" i="1"/>
  <c r="H665" i="1"/>
  <c r="G665" i="1"/>
  <c r="I664" i="1"/>
  <c r="H664" i="1"/>
  <c r="G664" i="1"/>
  <c r="I663" i="1"/>
  <c r="H663" i="1"/>
  <c r="G663" i="1"/>
  <c r="I662" i="1"/>
  <c r="H662" i="1"/>
  <c r="G662" i="1"/>
  <c r="I661" i="1"/>
  <c r="H661" i="1"/>
  <c r="G661" i="1"/>
  <c r="I660" i="1"/>
  <c r="H660" i="1"/>
  <c r="G660" i="1"/>
  <c r="I659" i="1"/>
  <c r="H659" i="1"/>
  <c r="G659" i="1"/>
  <c r="I658" i="1"/>
  <c r="H658" i="1"/>
  <c r="G658" i="1"/>
  <c r="I656" i="1"/>
  <c r="H656" i="1"/>
  <c r="G656" i="1"/>
  <c r="I655" i="1"/>
  <c r="H655" i="1"/>
  <c r="G655" i="1"/>
</calcChain>
</file>

<file path=xl/sharedStrings.xml><?xml version="1.0" encoding="utf-8"?>
<sst xmlns="http://schemas.openxmlformats.org/spreadsheetml/2006/main" count="28734" uniqueCount="797">
  <si>
    <t>Date</t>
  </si>
  <si>
    <t>Bank</t>
  </si>
  <si>
    <t>Account</t>
  </si>
  <si>
    <t>Amount</t>
  </si>
  <si>
    <t>Description</t>
  </si>
  <si>
    <t>Categories</t>
  </si>
  <si>
    <t>SubCategories</t>
  </si>
  <si>
    <t>DetailsCategories</t>
  </si>
  <si>
    <t>MJ 8Denning TowerContent Insurance</t>
  </si>
  <si>
    <t>MJ Apple Cloud Storage</t>
  </si>
  <si>
    <t>MJ ANZ</t>
  </si>
  <si>
    <t>Water  MJ 8Denning</t>
  </si>
  <si>
    <t>MJ Mobile US Phone Sam</t>
  </si>
  <si>
    <t>akps3180168l 24PanoramaRo Rent myRent</t>
  </si>
  <si>
    <t>AIA Insurance SamMJ</t>
  </si>
  <si>
    <t>mam dad ticket perth</t>
  </si>
  <si>
    <t>Mobile MJ Skinny</t>
  </si>
  <si>
    <t>FC12-3017-0491145-51 bowlingMJ</t>
  </si>
  <si>
    <t>MJ 8Denning TowerHouse Insurance</t>
  </si>
  <si>
    <t>MJ 5B Tower H&amp;C Insurance</t>
  </si>
  <si>
    <t>24 Panorama Tower H&amp;C Insurance</t>
  </si>
  <si>
    <t>Electricity ContactEnrgy MJ 8Denning</t>
  </si>
  <si>
    <t>queenstown</t>
  </si>
  <si>
    <t>MJ ASB NetFlix 8Denning</t>
  </si>
  <si>
    <t>Mobile Sam Skinny</t>
  </si>
  <si>
    <t>EFTPOS</t>
  </si>
  <si>
    <t>akp65110y3cb 24PanoramaRo Rent myRent</t>
  </si>
  <si>
    <t>akpi80505007 24PanoramaRo Rent myRent</t>
  </si>
  <si>
    <t>akpp5050ia80 24PanoramaRo Rent myRent</t>
  </si>
  <si>
    <t>Council Rate 8Denning</t>
  </si>
  <si>
    <t>Council Rate 24 Panorama</t>
  </si>
  <si>
    <t>Rate MJ 5B</t>
  </si>
  <si>
    <t>akpsh1c0io6s 24PanoramaRo Rent myRent</t>
  </si>
  <si>
    <t>akpc60d0ik9c 24PanoramaRo Rent myRent</t>
  </si>
  <si>
    <t>akpme200aimr 24PanoramaRo Rent myRent</t>
  </si>
  <si>
    <t>IMT AUD 1744.00 GoldCoast  Ali</t>
  </si>
  <si>
    <t>akpw60l0lwp7 24PanoramaRo Rent myRent</t>
  </si>
  <si>
    <t>akphp0q0299v 24PanoramaRo Rent myRent</t>
  </si>
  <si>
    <t>akpuh050mary 24PanoramaRo Rent myRent</t>
  </si>
  <si>
    <t xml:space="preserve"> SkinnyMobile 0220215566 01428115-af7</t>
  </si>
  <si>
    <t>SeyedAlavi K88359840190 K88359840190</t>
  </si>
  <si>
    <t>TO CARD 1588  THANK YOU</t>
  </si>
  <si>
    <t>akpot0k0s53z 24PanoramaRo Rent myRent</t>
  </si>
  <si>
    <t>akph10806ts8 24PanoramaRo Rent myRent</t>
  </si>
  <si>
    <t>SeyedAlavi K55897677604 K55897677604</t>
  </si>
  <si>
    <t>akpht070n92j 24PanoramaRo Rent myRent</t>
  </si>
  <si>
    <t>FC31-2840-0034296-01 996537920414 mj mj</t>
  </si>
  <si>
    <t>akp6w070o5hw 24PanoramaRo Rent myRent</t>
  </si>
  <si>
    <t>akp5r2m0h08b 24PanoramaRo Rent myRent</t>
  </si>
  <si>
    <t>BY Seyed ALAVI TO CARD 1588</t>
  </si>
  <si>
    <t>FC01-0451-0097059-00 StatementNo 2635832 WM1211508</t>
  </si>
  <si>
    <t>akpi4060fbtd 24PanoramaRo Rent myRent</t>
  </si>
  <si>
    <t>BILL PAYMENT TO Sam KiwiBank</t>
  </si>
  <si>
    <t>akpxz0c0yz57 24PanoramaRo Rent myRent</t>
  </si>
  <si>
    <t>akp0x0h08x06 24PanoramaRo Rent myRent</t>
  </si>
  <si>
    <t>akphi040jwmu 24PanoramaRo Rent myRent</t>
  </si>
  <si>
    <t>akpua2o07dxl 24PanoramaRo Rent myRent</t>
  </si>
  <si>
    <t>IMT USD 250.00 BOA  Sam Taebi</t>
  </si>
  <si>
    <t>NTRFFEE  240110003840</t>
  </si>
  <si>
    <t>BILL PAYMENT TO StaffBidone MJ Alavi 64170</t>
  </si>
  <si>
    <t>D/D IIT 111811989 252205952</t>
  </si>
  <si>
    <t>akpt522058ic 24PanoramaRo Rent myRent</t>
  </si>
  <si>
    <t>BILL PAYMENT TO somaye taebi</t>
  </si>
  <si>
    <t>akpwl0n0aw57 24PanoramaRo Rent myRent</t>
  </si>
  <si>
    <t>akpep050b8aj 24PanoramaRo Rent myRent</t>
  </si>
  <si>
    <t>akp6l010qt7r 24PanoramaRo Rent myRent</t>
  </si>
  <si>
    <t>akpoi120mtpj 24PanoramaRo Rent myRent</t>
  </si>
  <si>
    <t>akpws0h069w3 24PanoramaRo Rent myRent</t>
  </si>
  <si>
    <t>Groceries</t>
  </si>
  <si>
    <t>Grocery</t>
  </si>
  <si>
    <t>Internal Transactions</t>
  </si>
  <si>
    <t>ASB</t>
  </si>
  <si>
    <t xml:space="preserve">Internal </t>
  </si>
  <si>
    <t xml:space="preserve">24 Panorama Road </t>
  </si>
  <si>
    <t>Income</t>
  </si>
  <si>
    <t>Rent</t>
  </si>
  <si>
    <t>Recreational &amp; Entertainment</t>
  </si>
  <si>
    <t>Entertainment</t>
  </si>
  <si>
    <t>Event</t>
  </si>
  <si>
    <t xml:space="preserve">8 Denning Place </t>
  </si>
  <si>
    <t>Water</t>
  </si>
  <si>
    <t>Electricity &amp; Gas</t>
  </si>
  <si>
    <t xml:space="preserve">Travel </t>
  </si>
  <si>
    <t>Travel</t>
  </si>
  <si>
    <t>Other</t>
  </si>
  <si>
    <t xml:space="preserve">Other Expenses </t>
  </si>
  <si>
    <t>OFFSHORE SERVICE MARGINS</t>
  </si>
  <si>
    <t xml:space="preserve">Dining Out </t>
  </si>
  <si>
    <t>Dinning</t>
  </si>
  <si>
    <t>Transport</t>
  </si>
  <si>
    <t xml:space="preserve">Petrol </t>
  </si>
  <si>
    <t>Transport - Car</t>
  </si>
  <si>
    <t>Telephone &amp; Internet</t>
  </si>
  <si>
    <t xml:space="preserve">Mobile phone </t>
  </si>
  <si>
    <t>Mobile</t>
  </si>
  <si>
    <t>8Denning-HouseInsurance</t>
  </si>
  <si>
    <t>Home Expense</t>
  </si>
  <si>
    <t>IRD</t>
  </si>
  <si>
    <t>Transport - Fuel</t>
  </si>
  <si>
    <t>Type</t>
  </si>
  <si>
    <t>Saving</t>
  </si>
  <si>
    <t>COUNTDOWN GREENLANE AUCKLAND</t>
  </si>
  <si>
    <t>BP CONNECT BOULEVARD AUCKLAND</t>
  </si>
  <si>
    <t>US MOBILE  US MOBILE WWW.USMOBILE. NY 9.07 US DOLLAR at a Conversion Rate  of 0.6212 (NZ$14.60)</t>
  </si>
  <si>
    <t xml:space="preserve">US Mobile </t>
  </si>
  <si>
    <t>DREAMERS CAFE EPSOM</t>
  </si>
  <si>
    <t>SKINNY AUCKLAND</t>
  </si>
  <si>
    <t>LE PETITE FOURCHETTE AUCKLAND</t>
  </si>
  <si>
    <t>PAYMENT RECEIVED THANK YOU</t>
  </si>
  <si>
    <t>Sprint Fit Newton</t>
  </si>
  <si>
    <t>Beach Cafe Pukekohe</t>
  </si>
  <si>
    <t>DBS Jetts Remuera North Harbour</t>
  </si>
  <si>
    <t>TOWER INSURANCE - EIS 093692079</t>
  </si>
  <si>
    <t>APPLE.COM/BILL SYDNEY</t>
  </si>
  <si>
    <t>Kings Plant Barn Mount Welling</t>
  </si>
  <si>
    <t>MYRENT AUCKLAND</t>
  </si>
  <si>
    <t>VICTORY CHRISTIAN CHURCH AUCKLAND</t>
  </si>
  <si>
    <t>MKT ROAD KITCHEN AUCKLAND</t>
  </si>
  <si>
    <t>www.aliexpress.com WWW.ALIEXPRES</t>
  </si>
  <si>
    <t>HESARISUPERMARKETPANMURE AUCKLAND</t>
  </si>
  <si>
    <t>PONSONBY CENTRAL CARPARK AUCKLAND</t>
  </si>
  <si>
    <t>AIA NEW ZEALAND AUCKLAND</t>
  </si>
  <si>
    <t>PAK N SAVE SYLVIA PARK AUCKLAND</t>
  </si>
  <si>
    <t>PAYPAL  AIRBNB  HMN5PT 35314369001</t>
  </si>
  <si>
    <t>PARKMATE NZ AUCKLAND</t>
  </si>
  <si>
    <t>Akl Airport Carpark Auckland</t>
  </si>
  <si>
    <t>MODERENTALS AUCKLAND</t>
  </si>
  <si>
    <t>Qldc Parking Queenstown</t>
  </si>
  <si>
    <t>Transport - Parking</t>
  </si>
  <si>
    <t>211 Remarks Road Entry Queenstown</t>
  </si>
  <si>
    <t>FOUR SQUARE QUEENSTOWN QUEENSTOWN</t>
  </si>
  <si>
    <t>THE LODGE BAR AUCKLAND</t>
  </si>
  <si>
    <t>Fergbaker Queenstown</t>
  </si>
  <si>
    <t>BP CONNECT QUEENSTOWN QUEENSTOWN</t>
  </si>
  <si>
    <t>US MOBILE  US MOBILE WWW.USMOBILE. NY 9.07 US DOLLAR at a Conversion Rate  of 0.6120 (NZ$14.82)</t>
  </si>
  <si>
    <t>GULL MARUA ROAD AUCKLAND</t>
  </si>
  <si>
    <t>PATAGONIA CHOCOLATES QUEENSTOWN</t>
  </si>
  <si>
    <t>LITTLE LUSCIOUS CAFE AUCKLAND</t>
  </si>
  <si>
    <t>ELLERSLIE CENTRAL POST SH AUCKLAND</t>
  </si>
  <si>
    <t>NEW WORLD STONEFIELDS AUCKLAND NZ</t>
  </si>
  <si>
    <t>Downtown Car Park Auckland</t>
  </si>
  <si>
    <t>TSUJIRI AUCKLAND</t>
  </si>
  <si>
    <t>WILSON P27 FORT AUCKLAND</t>
  </si>
  <si>
    <t>ALTEZANO SNICKEL LANE WHANGAREI</t>
  </si>
  <si>
    <t>AT Parking Auckland</t>
  </si>
  <si>
    <t>BAKLAWA CAFE AUCKLAND</t>
  </si>
  <si>
    <t>MyGoodnessGiftBaskets 6494158868</t>
  </si>
  <si>
    <t>Unichem Wynyard Pharmcy Auckland</t>
  </si>
  <si>
    <t>aliexpress London</t>
  </si>
  <si>
    <t>MEGA CAFE MT WGTN AUCKLAND</t>
  </si>
  <si>
    <t>MITRE 10 MEGA MT WTGN MOUNT WELLING</t>
  </si>
  <si>
    <t>GOODFOR LUNN AVE AUCKLAND</t>
  </si>
  <si>
    <t>MCDONALDS MT WELLINGTON AUCKLAND</t>
  </si>
  <si>
    <t>BAT (NEW ZEALAND) LIMITED VENDOR_INVOIC</t>
  </si>
  <si>
    <t>MINT CAKERY AUCKLAND</t>
  </si>
  <si>
    <t>FALSE CREEK FERRIES VANCOUVER BC 36.00 CANADIAN DOLLAR at a Conversion Rate  of 0.8077 (NZ$44.57)</t>
  </si>
  <si>
    <t>FRESHLY SQUEEZED VAUGH VAUGHAN ON 7.63 CANADIAN DOLLAR at a Conversion Rate  of 0.8091 (NZ$9.43)</t>
  </si>
  <si>
    <t>STARBUCKS 00157 VANCOUVER BC 7.09 CANADIAN DOLLAR at a Conversion Rate  of 0.8039 (NZ$8.82)</t>
  </si>
  <si>
    <t>MINK A CHOCOLATE CAFE VANCOUVER BC 36.49 CANADIAN DOLLAR at a Conversion Rate  of 0.8036 (NZ$45.41)</t>
  </si>
  <si>
    <t>0836-VAN RELAY W'ILLY RICHMOND BC 1.18 CANADIAN DOLLAR at a Conversion Rate  of 0.8027 (NZ$1.47)</t>
  </si>
  <si>
    <t>Philip Morris New Zealan Auckland</t>
  </si>
  <si>
    <t>PONSONBY FRIENDS AUCKLAND</t>
  </si>
  <si>
    <t>PAPA TASTY KEBABS AUCKLAND</t>
  </si>
  <si>
    <t>SPRINT FIT AUCKLAND</t>
  </si>
  <si>
    <t>Watercare Online Remuera</t>
  </si>
  <si>
    <t>TOPDOG NUTRITION WAIRAU VALLEY</t>
  </si>
  <si>
    <t>PAYPAL  TEMU 35314369001</t>
  </si>
  <si>
    <t>FIFA SYDNEY</t>
  </si>
  <si>
    <t>RIPE DELI EPSOM AUCKLAND</t>
  </si>
  <si>
    <t>Deadshot Grey Lynn</t>
  </si>
  <si>
    <t>READING CINEMAS WELLINGTON</t>
  </si>
  <si>
    <t>PASTRAMI   RYE AUCKLAND</t>
  </si>
  <si>
    <t>MOBIL PANMURE AUCKLAND</t>
  </si>
  <si>
    <t>SOUL BAR AUCKLAND</t>
  </si>
  <si>
    <t>DBS Jetts Remuera Auckland</t>
  </si>
  <si>
    <t>MOBIL AVONDALE AUCKLAND</t>
  </si>
  <si>
    <t>HESARI BAKERY LIMITED AUCKLAND</t>
  </si>
  <si>
    <t>COUNTDOWN GREEN/326 GREAT GREENLANE</t>
  </si>
  <si>
    <t>WAIRAKEI TERRACES TAUPO</t>
  </si>
  <si>
    <t>2 MILE BAY LAKE TAUPO TAUPO</t>
  </si>
  <si>
    <t>COUNTDOWN TAUPO/SPA ROAD TAUPO</t>
  </si>
  <si>
    <t>HUKA HONEY HIVE TAUPO</t>
  </si>
  <si>
    <t>RUAPEHU ALPINE LIFTS LTD MT RUAPEHU</t>
  </si>
  <si>
    <t>MOBIL TAUPO TAUPO</t>
  </si>
  <si>
    <t>KFC GREENLANE - 604 GREENLANE</t>
  </si>
  <si>
    <t>BBB Stonefields Stonefields</t>
  </si>
  <si>
    <t>Witchery NZ - Newmarket Auckland</t>
  </si>
  <si>
    <t>SRI MAKHOTA MALAYSIAN AUCKLAND</t>
  </si>
  <si>
    <t>NZAA ALBERT STREET AUCKLAND</t>
  </si>
  <si>
    <t>CHOICE RETAIL AUCKLAND</t>
  </si>
  <si>
    <t>ANDREW SIMMS MITSUBI AUCKLAND</t>
  </si>
  <si>
    <t>Watercare Services Ltd Remuera</t>
  </si>
  <si>
    <t>PITA HOUSE PAKURANGA AUCKLAND</t>
  </si>
  <si>
    <t>PIKUNIKU AUCKLAND</t>
  </si>
  <si>
    <t>GUMRD.COM  MICHAEL SHP HTTPSGUMROAD. CA 44.00 US DOLLAR at a Conversion Rate  of 0.5826 (NZ$75.52)</t>
  </si>
  <si>
    <t>Personal</t>
  </si>
  <si>
    <t>Washpod 06 Mt Wellington</t>
  </si>
  <si>
    <t>THE CABBAGE TREE PAIHIA</t>
  </si>
  <si>
    <t>AK 849248 BAY OF ISL</t>
  </si>
  <si>
    <t>GULL REEVES ROAD AUCKLAND</t>
  </si>
  <si>
    <t>GRAND HOTEL MANAGEMENT MELBOURNE 30.00 AUSTRALIAN DOLLAR at a Conversion Rate  of 0.9259 (NZ$32.40)</t>
  </si>
  <si>
    <t>ZLR MOBO MOGA Melbourne Air 18.25 AUSTRALIAN DOLLAR at a Conversion Rate  of 0.9259 (NZ$19.71)</t>
  </si>
  <si>
    <t>WOOLWORTHS/GOLD COAST HWY SURFERS PDISE 4.80 AUSTRALIAN DOLLAR at a Conversion Rate  of 0.9266 (NZ$5.18)</t>
  </si>
  <si>
    <t>CHEMIST WAREHOUSE WERRIBEE 22.49 AUSTRALIAN DOLLAR at a Conversion Rate  of 0.9259 (NZ$24.29)</t>
  </si>
  <si>
    <t>DUMPLING NOODLE CIRC SURFERS PARAD 38.00 AUSTRALIAN DOLLAR at a Conversion Rate  of 0.9259 (NZ$41.04)</t>
  </si>
  <si>
    <t>WOOLWORTHS/GOLD COAST HWY SURFERS PDISE 20.61 AUSTRALIAN DOLLAR at a Conversion Rate  of 0.9234 (NZ$22.32)</t>
  </si>
  <si>
    <t>DELAWARE NORTH RETAI MELBOURNE AIR 15.20 AUSTRALIAN DOLLAR at a Conversion Rate  of 0.9263 (NZ$16.41)</t>
  </si>
  <si>
    <t>DUMPLING NOODLE CIRC SURFERS PARAD 3.55 AUSTRALIAN DOLLAR at a Conversion Rate  of 0.9221 (NZ$3.85)</t>
  </si>
  <si>
    <t>Hungry Jacks Surfers Parad 18.20 AUSTRALIAN DOLLAR at a Conversion Rate  of 0.9234 (NZ$19.71)</t>
  </si>
  <si>
    <t>SMP Dominos  Surfers S Surfers Parad 15.23 AUSTRALIAN DOLLAR at a Conversion Rate  of 0.9230 (NZ$16.50)</t>
  </si>
  <si>
    <t>SQ  SAIGON BAGUETTE Surfers Parad 10.00 AUSTRALIAN DOLLAR at a Conversion Rate  of 0.9225 (NZ$10.84)</t>
  </si>
  <si>
    <t>TGI FRIDAYS SURFERS P Surfers Parad 66.59 AUSTRALIAN DOLLAR at a Conversion Rate  of 0.9280 (NZ$71.76)</t>
  </si>
  <si>
    <t>Personal Care</t>
  </si>
  <si>
    <t>Clothing &amp; Footwear</t>
  </si>
  <si>
    <t>Shopping</t>
  </si>
  <si>
    <t>CASTAWAY COFFEE BAR SURFERS PARAD 8.13 AUSTRALIAN DOLLAR at a Conversion Rate  of 0.9281 (NZ$8.76)</t>
  </si>
  <si>
    <t>SURFERS PARADISE MID SURFERS PARAD 14.99 AUSTRALIAN DOLLAR at a Conversion Rate  of 0.9282 (NZ$16.15)</t>
  </si>
  <si>
    <t>SHIRAZ PERSIAN RESTAUR SURFERS PARAD 96.33 AUSTRALIAN DOLLAR at a Conversion Rate  of 0.9279 (NZ$103.81)</t>
  </si>
  <si>
    <t>Kogan.com K7C4HDDZ Auckland</t>
  </si>
  <si>
    <t>GST Tourist Refund Sydney</t>
  </si>
  <si>
    <t>HARRIS ROAD SUPERETT AUCKLAND</t>
  </si>
  <si>
    <t>EB  Succeed in Propert 801-413-7200</t>
  </si>
  <si>
    <t>Pakihi Marine Farms Papakura</t>
  </si>
  <si>
    <t>Z Karaka Papakura</t>
  </si>
  <si>
    <t>DR BUCHA'S LIVING DRINKS KATIKATI</t>
  </si>
  <si>
    <t>TART BAKERY AUCKLAND</t>
  </si>
  <si>
    <t>AT Hop Auckland Ellerslie</t>
  </si>
  <si>
    <t>COBRA LIQUOR AUCKLAND</t>
  </si>
  <si>
    <t>Forever New Sylvia Park</t>
  </si>
  <si>
    <t>xxxx-xxxx-xxxx-1588</t>
  </si>
  <si>
    <t>Credit</t>
  </si>
  <si>
    <t>ANZ</t>
  </si>
  <si>
    <t>Automatic Payment Mj Asb Mj Asb Netflix 8Denning</t>
  </si>
  <si>
    <t>Automatic Payment Mj Asb Mobile Sam Skinny</t>
  </si>
  <si>
    <t xml:space="preserve">Payment Sam Kiwibank Sam Kiwibank  </t>
  </si>
  <si>
    <t>Automatic Payment Mj Asb Electricity Contactenrgy Mj 8Denning</t>
  </si>
  <si>
    <t>Direct Credit Bidfood Limited   Bidfood</t>
  </si>
  <si>
    <t>Automatic Payment Mj Asb Mj 8Denning Towerhouse Insurance</t>
  </si>
  <si>
    <t>Automatic Payment Mj Asb 24 Panorama Tower H&amp;C Insurance</t>
  </si>
  <si>
    <t>Automatic Payment Mj Asb Mj 5B Tower H&amp;C Insurance</t>
  </si>
  <si>
    <t>Automatic Payment Mj Asb Mobile Mj Skinny</t>
  </si>
  <si>
    <t>Automatic Payment Mj Asb Aia Insurance Sammj</t>
  </si>
  <si>
    <t>Automatic Payment Mj Asb Water  Mj 8Denning</t>
  </si>
  <si>
    <t>Automatic Payment Mj Asb Mj Mobile Us Phone Sam</t>
  </si>
  <si>
    <t xml:space="preserve">Payment Mj Asb Mj Asb  </t>
  </si>
  <si>
    <t>Automatic Payment Mj Asb Mj 8Denning Towercontent Insurance</t>
  </si>
  <si>
    <t>Automatic Payment Mj Asb Mj Apple Cloud Storage</t>
  </si>
  <si>
    <t>Direct Debit Inland Revenue Dept Iit 111811989Inc 1805564544</t>
  </si>
  <si>
    <t>Bill Payment S Taebi Mj  Ird</t>
  </si>
  <si>
    <t>Payment Contact Energy 916029Dpsa2A Contact Ener 501461545</t>
  </si>
  <si>
    <t>Automatic Payment Mj Asb Council Rate 8Denning</t>
  </si>
  <si>
    <t>Automatic Payment Mj Asb Council Rate 24 Panorama</t>
  </si>
  <si>
    <t>Automatic Payment Mj Asb  Rate Mj 5B</t>
  </si>
  <si>
    <t xml:space="preserve">Bill Payment S Taebi Rate Council </t>
  </si>
  <si>
    <t>Direct Debit Inland Revenue Dept Iit 111811989Inc 404348032</t>
  </si>
  <si>
    <t xml:space="preserve">Bill Payment S Taebi   </t>
  </si>
  <si>
    <t>Salary</t>
  </si>
  <si>
    <t>MJ</t>
  </si>
  <si>
    <t>Loan</t>
  </si>
  <si>
    <t>Loan Payment</t>
  </si>
  <si>
    <t>Loan Interest</t>
  </si>
  <si>
    <t xml:space="preserve">Mortgage </t>
  </si>
  <si>
    <t>RePayment</t>
  </si>
  <si>
    <t>Interest</t>
  </si>
  <si>
    <t>KiwiBank</t>
  </si>
  <si>
    <t>TRF 4833481054851016 ;</t>
  </si>
  <si>
    <t>PAY subtlesweetness.nz ;SamTaebi</t>
  </si>
  <si>
    <t>TRANSFER FROM S TAEBI - 01 ;</t>
  </si>
  <si>
    <t>Direct Credit MJ ASB MR S M ALAVI ;Ref: MJ ASB MR S M ALAVI</t>
  </si>
  <si>
    <t>TRANSFER TO S TAEBI - 01 ;</t>
  </si>
  <si>
    <t>TRF 4327420538275015 ;</t>
  </si>
  <si>
    <t>AP#18495353 TO S TAEBI  S M ALAVI ;Transfer to S TAEBI  S M ALAVI - 06</t>
  </si>
  <si>
    <t>AP#18495354 TO S TAEBI  S M ALAVI ;Transfer to S TAEBI  S M ALAVI - 07</t>
  </si>
  <si>
    <t>AP#20595693 TO S TAEBI  S M ALAVI ;Transfer to S TAEBI  S M ALAVI - 08</t>
  </si>
  <si>
    <t>Salary KIWIBANK FORTNIGHT ;</t>
  </si>
  <si>
    <t>Bill Payment MJ ANZ ALAVI SEYED M ;Ref: MJ ANZ ALAVI SEYED M</t>
  </si>
  <si>
    <t>AP#18696077 TO HSBC ;HSBC 5B-Cleary</t>
  </si>
  <si>
    <t>PAY MJ ASB ;mam dad ticket perth</t>
  </si>
  <si>
    <t>Direct Debit -SOUTHERN CROSS MEDICAL CARE SOCIETY ;Ref: 23284297 000 029648197</t>
  </si>
  <si>
    <t>Spotify P226DD34E7 Stockholm ;</t>
  </si>
  <si>
    <t>PAY MJ ASB ;queenstown</t>
  </si>
  <si>
    <t>Direct Debit -SOUTHERN CROSS MEDICAL CARE SOCIETY ;Ref: 23284297 000 029780294</t>
  </si>
  <si>
    <t>PAY ANZ MJ ;</t>
  </si>
  <si>
    <t>Direct Debit -INLAND REVENUE DEPARTMENT ;Ref: 1239391360 I IT 113165197 INC</t>
  </si>
  <si>
    <t>Direct Debit -SOUTHERN CROSS MEDICAL CARE SOCIETY ;Ref: 23284297 000 029915150</t>
  </si>
  <si>
    <t>PAY mina ;</t>
  </si>
  <si>
    <t>PAY MJ ASB ;</t>
  </si>
  <si>
    <t>Spotify P231A9FC00 Stockholm ;</t>
  </si>
  <si>
    <t>PAY ANZ MJ ;rate council</t>
  </si>
  <si>
    <t>Direct Debit -SOUTHERN CROSS MEDICAL CARE SOCIETY ;Ref: 23284297 000 030050831</t>
  </si>
  <si>
    <t>Direct Credit rates MJ ASB MR S M ALAVI ;Ref: rates MJ ASB MR S M ALAVI</t>
  </si>
  <si>
    <t>Direct Credit Pckg RefundCS3405206 Kiwibank B C CONTINGENCY ACCO ;Ref: Pckg RefundCS3405206 Kiwibank B C CONTINGENCY ACCO</t>
  </si>
  <si>
    <t>Direct Debit -SOUTHERN CROSS MEDICAL CARE SOCIETY ;Ref: 23284297 000 030184860</t>
  </si>
  <si>
    <t>Spotify P23BCFC316 Stockholm ;</t>
  </si>
  <si>
    <t>Direct Debit -SOUTHERN CROSS MEDICAL CARE SOCIETY ;Ref: 23284297 000 030318383</t>
  </si>
  <si>
    <t>Direct Debit -SOUTHERN CROSS MEDICAL CARE SOCIETY ;Ref: 23284297 000 030453529</t>
  </si>
  <si>
    <t>Spotify P245E5BD94 Stockholm ;</t>
  </si>
  <si>
    <t>Direct Debit -SOUTHERN CROSS MEDICAL CARE SOCIETY ;Ref: 23284297 000 030584168</t>
  </si>
  <si>
    <t>INTEREST DEBIT ;</t>
  </si>
  <si>
    <t>ACCOUNT OUT OF ORDER FEE ;</t>
  </si>
  <si>
    <t>Direct Debit -SOUTHERN CROSS MEDICAL CARE SOCIETY ;Ref: 23284297 000 030719249</t>
  </si>
  <si>
    <t>REPLACEMENT VISA DEBIT CARD#VISADEBITFEE15082023112202 ;</t>
  </si>
  <si>
    <t>TRF 4833481054851040 ;</t>
  </si>
  <si>
    <t>Direct Debit -SOUTHERN CROSS MEDICAL CARE SOCIETY ;Ref: 23284297 000 030848922</t>
  </si>
  <si>
    <t>TRF 4833481054851032 ;</t>
  </si>
  <si>
    <t>TRANSFER FROM S TAEBI - 01 ;MJ IRD</t>
  </si>
  <si>
    <t>PAY ANZ MJ ;MJ IRD</t>
  </si>
  <si>
    <t>PAY AklCouncil ;228965DpsA2A AklCouncil 12345853594</t>
  </si>
  <si>
    <t>Direct Debit -INLAND REVENUE DEPARTMENT ;Ref: 2124987008 I IT 113165197 INC</t>
  </si>
  <si>
    <t>Direct Debit -SOUTHERN CROSS MEDICAL CARE SOCIETY ;Ref: 23284297 000 030983164</t>
  </si>
  <si>
    <t>TRANSFER TO S M ALAVI  S TAEBI - 00 ;</t>
  </si>
  <si>
    <t>Direct Debit -SOUTHERN CROSS MEDICAL CARE SOCIETY ;Ref: 23284297 000 031116966</t>
  </si>
  <si>
    <t>Direct Credit 00105706023900051988883ENTRUST NEW ENTRUST NEW ZEALAND ;Ref: 00105706023900051988883ENTRUST NEW ENTRUST NEW ZEALAND</t>
  </si>
  <si>
    <t>Direct Debit -SOUTHERN CROSS MEDICAL CARE SOCIETY ;Ref: 23284297 000 031248332</t>
  </si>
  <si>
    <t>Direct Debit -SOUTHERN CROSS MEDICAL CARE SOCIETY ;Ref: 23284297 000 031380392</t>
  </si>
  <si>
    <t>Bill Payment NAZERI Y ;</t>
  </si>
  <si>
    <t>Direct Debit -SOUTHERN CROSS MEDICAL CARE SOCIETY ;Ref: 23284297 000 031511058</t>
  </si>
  <si>
    <t>PAY yasi ;ornament ornament</t>
  </si>
  <si>
    <t>Direct Credit EFT000146932 MARRAM MARRAM COM OPER ;Ref: EFT000146932 MARRAM MARRAM COM OPER</t>
  </si>
  <si>
    <t>FROM S M ALAVI  S TAEBI ;</t>
  </si>
  <si>
    <t>TRANSFER TO S M ALAVI  S TAEBI - 00 ;Mortgage 5B Cleary</t>
  </si>
  <si>
    <t>Direct Debit -SOUTHERN CROSS MEDICAL CARE SOCIETY ;Ref: 23284297 000 031642746</t>
  </si>
  <si>
    <t>AP#22653868 TO S M ALAVI  S TAEBI ;Pay S M ALAVI  S TAEBI</t>
  </si>
  <si>
    <t>Direct Debit -SOUTHERN CROSS MEDICAL CARE SOCIETY ;Ref: 23284297 000 031771385</t>
  </si>
  <si>
    <t>Direct Debit -SOUTHERN CROSS MEDICAL CARE SOCIETY ;Ref: 23284297 000 031904046</t>
  </si>
  <si>
    <t>PAY farah-hairstylist ;rang</t>
  </si>
  <si>
    <t>DD DISHONOUR ;</t>
  </si>
  <si>
    <t>For $19.27 to Southern Cross Healt 22 DEC 23 ;</t>
  </si>
  <si>
    <t>Direct Debit -SOUTHERN CROSS MEDICAL CARE SOCIETY ;Ref: 23284297 000 032154513</t>
  </si>
  <si>
    <t>Direct Debit -INLAND REVENUE DEPARTMENT ;Ref: 1788615552 I IT 113165197</t>
  </si>
  <si>
    <t>Direct Debit -SOUTHERN CROSS MEDICAL CARE SOCIETY ;Ref: 23284297 000 032283833</t>
  </si>
  <si>
    <t>Direct Debit -SOUTHERN CROSS MEDICAL CARE SOCIETY ;Ref: 23284297 000 032413466</t>
  </si>
  <si>
    <t>PAY teamTe ;</t>
  </si>
  <si>
    <t>Direct Debit -SOUTHERN CROSS MEDICAL CARE SOCIETY ;Ref: 23284297 000 032542056</t>
  </si>
  <si>
    <t>PAY M P BARTON ;</t>
  </si>
  <si>
    <t>Direct Debit -SOUTHERN CROSS MEDICAL CARE SOCIETY ;Ref: 23284297 000 032673191</t>
  </si>
  <si>
    <t>PAY veg ;</t>
  </si>
  <si>
    <t>PAY bluberry ;</t>
  </si>
  <si>
    <t>Direct Credit Arianna MR P S NORFOLK AND ;Ref: Arianna MR P S NORFOLK AND</t>
  </si>
  <si>
    <t>PAY eggplant ;</t>
  </si>
  <si>
    <t>Direct Debit -SOUTHERN CROSS MEDICAL CARE SOCIETY ;Ref: 23284297 000 032802710</t>
  </si>
  <si>
    <t>Direct Debit -MEMBERSHIP SERVICES LTD ;Ref: MEMBERSHIP SERVICES LTD SL CACI W134</t>
  </si>
  <si>
    <t>DD SET-UP FEE #1223759 ;</t>
  </si>
  <si>
    <t>Direct Debit -SOUTHERN CROSS MEDICAL CARE SOCIETY ;Ref: 23284297 000 032934898</t>
  </si>
  <si>
    <t>Bill Payment Lunch NAZERI Y ;Ref: Lunch NAZERI Y</t>
  </si>
  <si>
    <t>PAY honey ;</t>
  </si>
  <si>
    <t>SAM</t>
  </si>
  <si>
    <t>Insurance</t>
  </si>
  <si>
    <t xml:space="preserve">Health Insurance-SAM </t>
  </si>
  <si>
    <t xml:space="preserve">Internet </t>
  </si>
  <si>
    <t xml:space="preserve">5B Cleary Road </t>
  </si>
  <si>
    <t>Property Tax</t>
  </si>
  <si>
    <t xml:space="preserve">Council Rates </t>
  </si>
  <si>
    <t>HairCut</t>
  </si>
  <si>
    <t>TRANSFER TO S TAEBI - 00 ;</t>
  </si>
  <si>
    <t>TRANSFER FROM S TAEBI - 00 ;</t>
  </si>
  <si>
    <t>Bill Payment Rent myRentakp2a110go9e5BClearyRoad MYRENT LTD ;Ref: Rent myRentakp2a110go9e5BClearyRoad MYRENT LTD</t>
  </si>
  <si>
    <t>Bill Payment Rent myRentakpoa0g05cgh5BClearyRoad MYRENT LTD ;Ref: Rent myRentakpoa0g05cgh5BClearyRoad MYRENT LTD</t>
  </si>
  <si>
    <t>Bill Payment Rent myRentakprt1c0kkma5BClearyRoad MYRENT LTD ;Ref: Rent myRentakprt1c0kkma5BClearyRoad MYRENT LTD</t>
  </si>
  <si>
    <t>INTEREST CREDIT ;</t>
  </si>
  <si>
    <t>IRD WITHHOLDING TAX 17.500% ;</t>
  </si>
  <si>
    <t>Bill Payment Rent myRentakp1e0k0expr5BClearyRoad MYRENT LTD ;Ref: Rent myRentakp1e0k0expr5BClearyRoad MYRENT LTD</t>
  </si>
  <si>
    <t>Bill Payment Rent myRentakp610b0hgcu5BClearyRoad MYRENT LTD ;Ref: Rent myRentakp610b0hgcu5BClearyRoad MYRENT LTD</t>
  </si>
  <si>
    <t>Bill Payment Rent myRentakpil2g025zw5BClearyRoad MYRENT LTD ;Ref: Rent myRentakpil2g025zw5BClearyRoad MYRENT LTD</t>
  </si>
  <si>
    <t>Bill Payment Rent myRentakpir0z01bcn5BClearyRoad MYRENT LTD ;Ref: Rent myRentakpir0z01bcn5BClearyRoad MYRENT LTD</t>
  </si>
  <si>
    <t>Bill Payment Rent myRentakpm5240k3eg5BClearyRoad MYRENT LTD ;Ref: Rent myRentakpm5240k3eg5BClearyRoad MYRENT LTD</t>
  </si>
  <si>
    <t>Bill Payment Rent myRentakpgm0u0x8s65BClearyRoad MYRENT LTD ;Ref: Rent myRentakpgm0u0x8s65BClearyRoad MYRENT LTD</t>
  </si>
  <si>
    <t>Bill Payment Rent myRentakpm50o0knrf5BClearyRoad MYRENT LTD ;Ref: Rent myRentakpm50o0knrf5BClearyRoad MYRENT LTD</t>
  </si>
  <si>
    <t>Bill Payment Rent myRentakpwp1o02mai5BClearyRoad MYRENT LTD ;Ref: Rent myRentakpwp1o02mai5BClearyRoad MYRENT LTD</t>
  </si>
  <si>
    <t>Bill Payment Rent myRentakpk60q0qr205BClearyRoad MYRENT LTD ;Ref: Rent myRentakpk60q0qr205BClearyRoad MYRENT LTD</t>
  </si>
  <si>
    <t>TRANSFER TO S TAEBI - 00 ;MJ IRD</t>
  </si>
  <si>
    <t>TRANSFER TO S TAEBI - 00 ;rates</t>
  </si>
  <si>
    <t>Bill Payment Rent myRentakpia0m08nzv5BClearyRoad MYRENT LTD ;Ref: Rent myRentakpia0m08nzv5BClearyRoad MYRENT LTD</t>
  </si>
  <si>
    <t>Bill Payment Rent myRentakpbl0z0tqkl5BClearyRoad MYRENT LTD ;Ref: Rent myRentakpbl0z0tqkl5BClearyRoad MYRENT LTD</t>
  </si>
  <si>
    <t>Bill Payment Rent myRentakpk70e06n225BClearyRoad MYRENT LTD ;Ref: Rent myRentakpk70e06n225BClearyRoad MYRENT LTD</t>
  </si>
  <si>
    <t>Bill Payment Rent myRentakp6g0f0t0dv5BClearyRoad MYRENT LTD ;Ref: Rent myRentakp6g0f0t0dv5BClearyRoad MYRENT LTD</t>
  </si>
  <si>
    <t>Bill Payment Rent myRentakpdo0k0in2a5BClearyRoad MYRENT LTD ;Ref: Rent myRentakpdo0k0in2a5BClearyRoad MYRENT LTD</t>
  </si>
  <si>
    <t>Bill Payment Rent myRentakpm80l0eu135BClearyRoad MYRENT LTD ;Ref: Rent myRentakpm80l0eu135BClearyRoad MYRENT LTD</t>
  </si>
  <si>
    <t>Bill Payment Rent myRentakp0d0x0a04p5BClearyRoad MYRENT LTD ;Ref: Rent myRentakp0d0x0a04p5BClearyRoad MYRENT LTD</t>
  </si>
  <si>
    <t>TFR FROM 1811371I9 ;</t>
  </si>
  <si>
    <t>Direct Credit HSBC HSBC HSBC TAEBI S ;Ref: HSBC HSBC HSBC TAEBI S</t>
  </si>
  <si>
    <t>Bill Payment Rent myRentakpwi1r01uf45BClearyRoad MYRENT LTD ;Ref: Rent myRentakpwi1r01uf45BClearyRoad MYRENT LTD</t>
  </si>
  <si>
    <t>Bill Payment Rent myRentakpyi0l0yyjs5BClearyRoad MYRENT LTD ;Ref: Rent myRentakpyi0l0yyjs5BClearyRoad MYRENT LTD</t>
  </si>
  <si>
    <t>Bill Payment Rent myRentakpba0e0klsv5BClearyRoad MYRENT LTD ;Ref: Rent myRentakpba0e0klsv5BClearyRoad MYRENT LTD</t>
  </si>
  <si>
    <t>Bill Payment Rent myRentakpay0p0ej045BClearyRoad MYRENT LTD ;Ref: Rent myRentakpay0p0ej045BClearyRoad MYRENT LTD</t>
  </si>
  <si>
    <t>TRANSFER TO S TAEBI - 11 ;Term deposit</t>
  </si>
  <si>
    <t>Bill Payment Rent myRentakpjb020au435BClearyRoad MYRENT LTD ;Ref: Rent myRentakpjb020au435BClearyRoad MYRENT LTD</t>
  </si>
  <si>
    <t>Bill Payment Rent myRentakpgv020921a5BClearyRoad MYRENT LTD ;Ref: Rent myRentakpgv020921a5BClearyRoad MYRENT LTD</t>
  </si>
  <si>
    <t>Bill Payment Rent myRentakphr0s09hmv5BClearyRoad MYRENT LTD ;Ref: Rent myRentakphr0s09hmv5BClearyRoad MYRENT LTD</t>
  </si>
  <si>
    <t>Bill Payment Rent myRentakpbj2702mfn5BClearyRoad MYRENT LTD ;Ref: Rent myRentakpbj2702mfn5BClearyRoad MYRENT LTD</t>
  </si>
  <si>
    <t>Bill Payment Rent myRentakpl11c0tuwi5BClearyRoad MYRENT LTD ;Ref: Rent myRentakpl11c0tuwi5BClearyRoad MYRENT LTD</t>
  </si>
  <si>
    <t>Bill Payment Rent myRentakpn80l0nsvn5BClearyRoad MYRENT LTD ;Ref: Rent myRentakpn80l0nsvn5BClearyRoad MYRENT LTD</t>
  </si>
  <si>
    <t>Bill Payment Rent myRentakplw280wlc75BClearyRoad MYRENT LTD ;Ref: Rent myRentakplw280wlc75BClearyRoad MYRENT LTD</t>
  </si>
  <si>
    <t>TRANSFER FROM S TAEBI - 01 ;Term deposit</t>
  </si>
  <si>
    <t>#761738 $50000 Due 06JAN25 6.15% ;</t>
  </si>
  <si>
    <t>Fixed Rate Lock Option ;</t>
  </si>
  <si>
    <t>CASH CONTRIBUTION ;</t>
  </si>
  <si>
    <t>SHORTFALL ;</t>
  </si>
  <si>
    <t>PAY S TAEBI ;</t>
  </si>
  <si>
    <t>TRANSFER FROM S TAEBI - 00 ;Mortgage 5B Cleary</t>
  </si>
  <si>
    <t>AP#22653868 FROM S TAEBI ;Payment from S TAEBI</t>
  </si>
  <si>
    <t>AP#22653655 TO S TAEBI  S M ALAVI ;Pay S TAEBI  S M ALAVI</t>
  </si>
  <si>
    <t>Mortgage</t>
  </si>
  <si>
    <t>Loan Expense</t>
  </si>
  <si>
    <t>Lump Sum Payment</t>
  </si>
  <si>
    <t>SHORTFALL</t>
  </si>
  <si>
    <t>LOAN INTEREST ;</t>
  </si>
  <si>
    <t>AP#18495353 FROM S TAEBI ;Transfer from S TAEBI - 00</t>
  </si>
  <si>
    <t>REMEDIATION NOT TOWARDS 5% NA ;</t>
  </si>
  <si>
    <t>Rate 8.500% (V) loaded ;</t>
  </si>
  <si>
    <t>From 8.500% (V) to 6.540% (F) ;</t>
  </si>
  <si>
    <t>From 6.140% (F) to 6.540% (F) ;</t>
  </si>
  <si>
    <t>From 1372.65 to 1424.98 due 23FEB2024 ;</t>
  </si>
  <si>
    <t>AP#18495354 FROM S TAEBI ;Transfer from S TAEBI - 00</t>
  </si>
  <si>
    <t>AP#20595693 FROM S TAEBI ;Transfer from S TAEBI - 00</t>
  </si>
  <si>
    <t>6.540% P.A. ;</t>
  </si>
  <si>
    <t>TFR TO 1068S94.3 ;</t>
  </si>
  <si>
    <t>AP#22653655 FROM S M ALAVI  S TAEBI ;Payment from S M ALAVI  S TAEBI</t>
  </si>
  <si>
    <t>Loans and Liabilities</t>
  </si>
  <si>
    <t>Mortgage-5BCleary</t>
  </si>
  <si>
    <t>4327-42__-____-5015</t>
  </si>
  <si>
    <t xml:space="preserve">HESARI BAKERY LIMITED AUCKLAND </t>
  </si>
  <si>
    <t xml:space="preserve">PAYMENT THANKYOU . </t>
  </si>
  <si>
    <t xml:space="preserve">BUOY CAFE &amp; EATERY AUCKLAND </t>
  </si>
  <si>
    <t xml:space="preserve">HESARISUPERMARKETPANMURE AUCKLAND </t>
  </si>
  <si>
    <t xml:space="preserve">LE PETITE FOURCHETTE AUCKLAND </t>
  </si>
  <si>
    <t xml:space="preserve">COUNTDOWN HALSE/100 HALSE HALSEY STREET </t>
  </si>
  <si>
    <t>4833-48__-____-1032</t>
  </si>
  <si>
    <t xml:space="preserve">PAK N SAVE SYLVIA PARK AUCKLAND </t>
  </si>
  <si>
    <t xml:space="preserve">OPEN CAFE AND CATERING AUCKLAND </t>
  </si>
  <si>
    <t xml:space="preserve">AKL AIRPORT CARPARK AUCKLAND </t>
  </si>
  <si>
    <t xml:space="preserve">Bistro Box Auckland </t>
  </si>
  <si>
    <t xml:space="preserve">PITA HOUSE PAKURANGA AUCKLAND </t>
  </si>
  <si>
    <t xml:space="preserve">TAIPING ASIAN SUPERMARKET AUCKLAND </t>
  </si>
  <si>
    <t xml:space="preserve">Nandos Auckland </t>
  </si>
  <si>
    <t>Gift</t>
  </si>
  <si>
    <t xml:space="preserve">COUNTDOWN PAKURANGA AUCKLAND </t>
  </si>
  <si>
    <t xml:space="preserve">ARCHIE BROTHERS AUCKLAND </t>
  </si>
  <si>
    <t xml:space="preserve">NEW WORLD STONEFIELDS AUCKLAND NZ </t>
  </si>
  <si>
    <t xml:space="preserve">Briscoes Panmure Mt Wellington </t>
  </si>
  <si>
    <t xml:space="preserve">GULL REEVES ROAD AUCKLAND </t>
  </si>
  <si>
    <t xml:space="preserve">The Warehouse 114 Pakuranga </t>
  </si>
  <si>
    <t xml:space="preserve">FIRST MILLENIUM HAIR DSGN AUCKLAND </t>
  </si>
  <si>
    <t xml:space="preserve">MITRE 10 MEGA MT WTGN MOUNT WELLING </t>
  </si>
  <si>
    <t xml:space="preserve">SHAHJI SPICES LTD AUCKLAND </t>
  </si>
  <si>
    <t xml:space="preserve">FOREIGN CURRENCY TXN FEE  </t>
  </si>
  <si>
    <t xml:space="preserve">CURRENCY CONV ASSESSMENT  </t>
  </si>
  <si>
    <t>AIR CAN*    0142171375713 AIRCANADA.COM MB;540.66 CANADIAN DOLLAR at 0.8304</t>
  </si>
  <si>
    <t>AIR CAN*    0142171375712 AIRCANADA.COM MB;540.66 CANADIAN DOLLAR at 0.8304</t>
  </si>
  <si>
    <t xml:space="preserve">SNO CAFE AUCKLAND </t>
  </si>
  <si>
    <t xml:space="preserve">Pak N Save Queenstown Frankton </t>
  </si>
  <si>
    <t xml:space="preserve">Fergbaker Queenstown </t>
  </si>
  <si>
    <t xml:space="preserve">Mrs Ferg Queenstown </t>
  </si>
  <si>
    <t xml:space="preserve">Little Blackwood Queenstown </t>
  </si>
  <si>
    <t xml:space="preserve">Fergburger Queenstown </t>
  </si>
  <si>
    <t xml:space="preserve">ACCOUNT FEE CREDIT  </t>
  </si>
  <si>
    <t xml:space="preserve"> +ACCOUNT FEE  </t>
  </si>
  <si>
    <t xml:space="preserve">KMART QUEENSTOWN </t>
  </si>
  <si>
    <t xml:space="preserve">WOLF COFFEE CAFE ARROWTOWN </t>
  </si>
  <si>
    <t xml:space="preserve">Postmasters Arrowtown </t>
  </si>
  <si>
    <t xml:space="preserve">DF SOUVENIRS QN.TOWN QUEENSTOWN </t>
  </si>
  <si>
    <t xml:space="preserve">MOBIL QUEENSTOWN QUEENSTOWN </t>
  </si>
  <si>
    <t xml:space="preserve">THE TRADING POST GLENORCHY </t>
  </si>
  <si>
    <t xml:space="preserve">Qldc Parking Queenstown </t>
  </si>
  <si>
    <t xml:space="preserve">BOLD PEAK LODGE GLENORCHY </t>
  </si>
  <si>
    <t xml:space="preserve">CW Sylvia Park Glen Innes </t>
  </si>
  <si>
    <t xml:space="preserve">Fraser Smith Lowe Denti Pakuranga AK </t>
  </si>
  <si>
    <t>Medical</t>
  </si>
  <si>
    <t xml:space="preserve">Medical &amp; Health </t>
  </si>
  <si>
    <t xml:space="preserve">DAPHNES BAR TAVERNA AUCKLAND </t>
  </si>
  <si>
    <t xml:space="preserve">INLAND REVENUE WELLINGTON </t>
  </si>
  <si>
    <t xml:space="preserve">IRD Conv Fee AUCKLAND </t>
  </si>
  <si>
    <t xml:space="preserve">CW Wstfield Newmarket Auckland </t>
  </si>
  <si>
    <t xml:space="preserve">AT Hop Auckland Henderson </t>
  </si>
  <si>
    <t>Transport -Taxi - Bus</t>
  </si>
  <si>
    <t xml:space="preserve">SKINNY AUCKLAND </t>
  </si>
  <si>
    <t>US MOBILE* US MOBILE WWW.USMOBILE. NY;4.34 US DOLLAR  $ at 0.6327</t>
  </si>
  <si>
    <t xml:space="preserve">Mecca Commercial Bay Auckland </t>
  </si>
  <si>
    <t>Makeup</t>
  </si>
  <si>
    <t xml:space="preserve">Downtown Car Park Auckland </t>
  </si>
  <si>
    <t xml:space="preserve">AIA NEW ZEALAND AUCKLAND </t>
  </si>
  <si>
    <t xml:space="preserve">GONG CHA WESTFIELD NEWMAR AUCKLAND </t>
  </si>
  <si>
    <t xml:space="preserve">TSUJIRI AUCKLAND </t>
  </si>
  <si>
    <t xml:space="preserve">DBS*Jetts Remuera North Harbour </t>
  </si>
  <si>
    <t xml:space="preserve">Gym </t>
  </si>
  <si>
    <t>GYM</t>
  </si>
  <si>
    <t xml:space="preserve">TOWER INSURANCE - EIS 093692079 </t>
  </si>
  <si>
    <t>House Insurance</t>
  </si>
  <si>
    <t xml:space="preserve">FLEXI BIN AUCKLAND </t>
  </si>
  <si>
    <t xml:space="preserve">KMART AUCKLAND </t>
  </si>
  <si>
    <t xml:space="preserve">AKL COUNCIL ONLINE AUCKLAND </t>
  </si>
  <si>
    <t xml:space="preserve">Auckland Council Conv Fee AUCKLAND </t>
  </si>
  <si>
    <t xml:space="preserve">Pak N Save Royal Oak Royal Oak </t>
  </si>
  <si>
    <t xml:space="preserve">NEW WORLD MT ROSKILL AUCKLAND </t>
  </si>
  <si>
    <t xml:space="preserve">BAKLAWA CAFE AUCKLAND </t>
  </si>
  <si>
    <t xml:space="preserve">AA IDP ONLINE AUCKLAND </t>
  </si>
  <si>
    <t>NZAA</t>
  </si>
  <si>
    <t>US MOBILE* US MOBILE WWW.USMOBILE. NY;8.57 US DOLLAR  $ at 0.6031</t>
  </si>
  <si>
    <t xml:space="preserve">FMK EPSOM AUCKLAND </t>
  </si>
  <si>
    <t xml:space="preserve">CORNWALL PARK CAFE AUCKLAND </t>
  </si>
  <si>
    <t xml:space="preserve">Harris Road Pharmacy Auckland </t>
  </si>
  <si>
    <t xml:space="preserve">Mecca Sylvia Park Mt Wellington </t>
  </si>
  <si>
    <t xml:space="preserve">WHITCOULLS 284 AUCKLAND </t>
  </si>
  <si>
    <t xml:space="preserve">AELIA DUTY FREE DEPARTURE AUCKLAND </t>
  </si>
  <si>
    <t xml:space="preserve">BETTER BURGER AUCKLAND </t>
  </si>
  <si>
    <t xml:space="preserve">OLA HELP.OLA.CO.NZ AUCKLAND </t>
  </si>
  <si>
    <t xml:space="preserve">UBER   *TRIP HELP.UBER.COM </t>
  </si>
  <si>
    <t>REX BAKERY North Vancouv BC;25.28 CANADIAN DOLLAR at 0.8077</t>
  </si>
  <si>
    <t xml:space="preserve">TEA GARDENS AUCKLAND </t>
  </si>
  <si>
    <t xml:space="preserve">APPLE.COM/BILL SYDNEY </t>
  </si>
  <si>
    <t>AppleStorage</t>
  </si>
  <si>
    <t>US MOBILE* US MOBILE WWW.USMOBILE. NY;3.50 US DOLLAR  $ at 0.6034</t>
  </si>
  <si>
    <t>8Denning-ContentsInsurance</t>
  </si>
  <si>
    <t>UBER* TRIP TORONTO ON;7.56 CANADIAN DOLLAR at 0.8025</t>
  </si>
  <si>
    <t>UBER CANADA/UBERTRIP TORONTO ON;19.12 CANADIAN DOLLAR at 0.8085</t>
  </si>
  <si>
    <t>UBER* TRIP TORONTO ON;30.67 CANADIAN DOLLAR at 0.8086</t>
  </si>
  <si>
    <t>UBER CANADA/UBERTRIP TORONTO ON;23.03 CANADIAN DOLLAR at 0.8146</t>
  </si>
  <si>
    <t xml:space="preserve">MARRAM COMMUNITY TRUST WELLINGTON </t>
  </si>
  <si>
    <t xml:space="preserve">NZ EXHIBITION AND EVENTS AUCKLAND </t>
  </si>
  <si>
    <t>US MOBILE* US MOBILE WWW.USMOBILE. NY;8.57 US DOLLAR  $ at 0.6135</t>
  </si>
  <si>
    <t xml:space="preserve">MAJESTICTEABARSYLVIAPARK AUCKLAND </t>
  </si>
  <si>
    <t xml:space="preserve">ZARA AUCKLAND </t>
  </si>
  <si>
    <t xml:space="preserve">QANTAS AIR  0812339490666 NSW </t>
  </si>
  <si>
    <t xml:space="preserve">QANTAS AIR  0812339490665 NSW </t>
  </si>
  <si>
    <t xml:space="preserve">VICTORY CHRISTIAN CHURCH AUCKLAND </t>
  </si>
  <si>
    <t xml:space="preserve">JAPAN MART SYLVIA PARK AUCKLAND </t>
  </si>
  <si>
    <t xml:space="preserve">Themarket.Com Takapuna </t>
  </si>
  <si>
    <t xml:space="preserve">BLOSSOM COURT AUCKLAND </t>
  </si>
  <si>
    <t xml:space="preserve">THE CONSERVATORY AUCKLAND </t>
  </si>
  <si>
    <t xml:space="preserve">MARTHA'S BACKYARD GLEN INNES </t>
  </si>
  <si>
    <t xml:space="preserve">Postie Sylvia Galleria Mt Wellington </t>
  </si>
  <si>
    <t xml:space="preserve">AT Parking Auckland </t>
  </si>
  <si>
    <t xml:space="preserve">TART BAKERY AUCKLAND </t>
  </si>
  <si>
    <t xml:space="preserve">GULL MARUA ROAD AUCKLAND </t>
  </si>
  <si>
    <t xml:space="preserve">CONTACT ENERGY WELLINGTON </t>
  </si>
  <si>
    <t xml:space="preserve">Farro Fresh Mt Wellingt Mt Wellington </t>
  </si>
  <si>
    <t xml:space="preserve">Iti Drinks and Bites Auckland </t>
  </si>
  <si>
    <t xml:space="preserve">COUNTDOWN NEWMA/277 BROAD NEWMARKET </t>
  </si>
  <si>
    <t xml:space="preserve">GLENGARRY WINES AUCKLAND </t>
  </si>
  <si>
    <t>Liquor</t>
  </si>
  <si>
    <t xml:space="preserve">NEW WORLD VICTORIA PARK AUCKLAND </t>
  </si>
  <si>
    <t xml:space="preserve">JACQUI E I51 MT WELLINGTON </t>
  </si>
  <si>
    <t>US MOBILE* US MOBILE WWW.USMOBILE. NY;8.57 US DOLLAR  $ at 0.6174</t>
  </si>
  <si>
    <t xml:space="preserve">Kings Plant Barn Mount Welling </t>
  </si>
  <si>
    <t xml:space="preserve">PASTRAMI &amp; RYE AUCKLAND </t>
  </si>
  <si>
    <t xml:space="preserve">WET &amp; FORGET MT WELLING AUCKLAND </t>
  </si>
  <si>
    <t xml:space="preserve">GOODFOR LUNN AVE AUCKLAND </t>
  </si>
  <si>
    <t xml:space="preserve">QT AUCKLAND AUCKLAND </t>
  </si>
  <si>
    <t xml:space="preserve">Sudima AuckCity Restau Auckland </t>
  </si>
  <si>
    <t xml:space="preserve">IPPUDO Sylvia Park Mount Welling </t>
  </si>
  <si>
    <t xml:space="preserve">SP THEA MATCHA HOWICK </t>
  </si>
  <si>
    <t xml:space="preserve">PARK HYATT PANTRY AUCKLAND </t>
  </si>
  <si>
    <t xml:space="preserve">KMART ONLINE AUCKLAND </t>
  </si>
  <si>
    <t xml:space="preserve">AUCKLAND STADIUM AUCKLAND </t>
  </si>
  <si>
    <t xml:space="preserve">Chemist Warehouse NZ Onli Auckland </t>
  </si>
  <si>
    <t xml:space="preserve">COUNTDOWN GREEN/326 GREAT GREENLANE </t>
  </si>
  <si>
    <t xml:space="preserve">DBS*Jetts Remuera Auckland </t>
  </si>
  <si>
    <t xml:space="preserve">PAGANI NEWMARKET </t>
  </si>
  <si>
    <t>eBay O*16-10431-30868 Toronto ON;8.69 CANADIAN DOLLAR at 0.7987</t>
  </si>
  <si>
    <t>Shopping - Online</t>
  </si>
  <si>
    <t xml:space="preserve">Tai Ping Newmarket Auckland </t>
  </si>
  <si>
    <t>US MOBILE* US MOBILE WWW.USMOBILE. NY;8.57 US DOLLAR  $ at 0.5882</t>
  </si>
  <si>
    <t xml:space="preserve">TRYBOOKING* DP ENTERTA AUCKLAND </t>
  </si>
  <si>
    <t xml:space="preserve">MAISON DES LYS AUCKLAND </t>
  </si>
  <si>
    <t xml:space="preserve">BAT (NEW ZEALAND) LIMITED VENDOR_INVOIC </t>
  </si>
  <si>
    <t>Vape</t>
  </si>
  <si>
    <t xml:space="preserve">Watercare Online Remuera </t>
  </si>
  <si>
    <t xml:space="preserve">Watercare Services Ltd Remuera </t>
  </si>
  <si>
    <t>Vehicle Insurance</t>
  </si>
  <si>
    <t xml:space="preserve">VIATOR LONDON </t>
  </si>
  <si>
    <t xml:space="preserve">RUAPEHU ALPINE LIFTS LTD MT RUAPEHU </t>
  </si>
  <si>
    <t xml:space="preserve">WAIRAKEI TERRACES TAUPO </t>
  </si>
  <si>
    <t xml:space="preserve">CRATERS OF THE MOON TR TAUPO </t>
  </si>
  <si>
    <t xml:space="preserve">COUNTDOWN TAUPO/SPA ROAD TAUPO </t>
  </si>
  <si>
    <t xml:space="preserve">BP CONNECT TIRAU TIRAU </t>
  </si>
  <si>
    <t xml:space="preserve">MYRENT AUCKLAND </t>
  </si>
  <si>
    <t xml:space="preserve">MyRentCharge </t>
  </si>
  <si>
    <t xml:space="preserve">Cafe Baku Taupo </t>
  </si>
  <si>
    <t xml:space="preserve">THEA LTD AUCKLAND </t>
  </si>
  <si>
    <t xml:space="preserve">YUM CHA RESTAURANT AUCKLAND </t>
  </si>
  <si>
    <t xml:space="preserve">SAMSONITE AUSTRALIA PT 1800331690 </t>
  </si>
  <si>
    <t xml:space="preserve">IHERB IHERB.COM PXs2e iherb.com </t>
  </si>
  <si>
    <t xml:space="preserve">Nike Auckland Onehunga </t>
  </si>
  <si>
    <t xml:space="preserve">Unichem Wynyard Pharmcy Auckland </t>
  </si>
  <si>
    <t>US MOBILE* US MOBILE WWW.USMOBILE. NY;8.57 US DOLLAR  $ at 0.5939</t>
  </si>
  <si>
    <t xml:space="preserve">BUNNINGS ONLINE 3 AUCKLAND </t>
  </si>
  <si>
    <t xml:space="preserve">DAVID JONES AUCKLAND </t>
  </si>
  <si>
    <t xml:space="preserve">Mecca Newmarket Auckland </t>
  </si>
  <si>
    <t xml:space="preserve">RUMI RESTAURANT AUCKLAND </t>
  </si>
  <si>
    <t xml:space="preserve">TD AKL SHOWROOM AUCKLAND </t>
  </si>
  <si>
    <t xml:space="preserve">H&amp;M AUCKLAND </t>
  </si>
  <si>
    <t xml:space="preserve">Marketplace WWW.ALIEXPRES </t>
  </si>
  <si>
    <t xml:space="preserve">MINISO AUCKLAND </t>
  </si>
  <si>
    <t xml:space="preserve">Washpod 06 Mt Wellington </t>
  </si>
  <si>
    <t xml:space="preserve">TOWER INSURANCE - EIS AUCKLAND </t>
  </si>
  <si>
    <t xml:space="preserve">Modere New Zealand Lim 64 09 828 901 </t>
  </si>
  <si>
    <t xml:space="preserve">Good George NW North Wharf </t>
  </si>
  <si>
    <t>US MOBILE* US MOBILE WWW.USMOBILE. NY;8.57 US DOLLAR  $ at 0.5798</t>
  </si>
  <si>
    <t xml:space="preserve">BP CONNECT BOULEVARD AUCKLAND </t>
  </si>
  <si>
    <t xml:space="preserve">Global Beverages Nz Li Taupo </t>
  </si>
  <si>
    <t xml:space="preserve">WHOLESALE PRODUCE AUCKLAND </t>
  </si>
  <si>
    <t xml:space="preserve">YOYOSO SYLVIA PARK AUCKLAND </t>
  </si>
  <si>
    <t xml:space="preserve">SYNERGY HAIR NEWMARKET AUCKLAND </t>
  </si>
  <si>
    <t xml:space="preserve">JAPAN MART NEW MARKET AUCKLAND </t>
  </si>
  <si>
    <t xml:space="preserve">BUNNINGS - 9493 MT WELLINGTON </t>
  </si>
  <si>
    <t>Bulk Nutrients 61362664725 ;348.78 AUSTRALIAN DOLLAR at 0.9154</t>
  </si>
  <si>
    <t>AMAZON RETA* AMAZON AU SYDNEY SOUTH ;64.25 AUSTRALIAN DOLLAR at 0.9167</t>
  </si>
  <si>
    <t xml:space="preserve">Onceit Newmarket </t>
  </si>
  <si>
    <t xml:space="preserve">SKINNY MOBILE (3) AUCKLAND </t>
  </si>
  <si>
    <t xml:space="preserve">SKINNY MOBILE (1) AUCKLAND </t>
  </si>
  <si>
    <t xml:space="preserve">Skycity Entertainmen Auckland </t>
  </si>
  <si>
    <t xml:space="preserve">Dick Smith RH7PKXBL Auckland </t>
  </si>
  <si>
    <t xml:space="preserve">THE COSMETIC CLINIC AUCKLAND </t>
  </si>
  <si>
    <t xml:space="preserve">THE HOTEL BRITOMART AUCKLAND </t>
  </si>
  <si>
    <t xml:space="preserve">H&amp;M COMMERCIAL BAY AUCKLAND </t>
  </si>
  <si>
    <t xml:space="preserve">TRADE DEPOT LIMITED AUCKLAND </t>
  </si>
  <si>
    <t xml:space="preserve">The Whitening Co Auckland </t>
  </si>
  <si>
    <t xml:space="preserve">Crispy Eatery Auckland </t>
  </si>
  <si>
    <t xml:space="preserve">UBER* TRIP CHRISTCHURCH </t>
  </si>
  <si>
    <t xml:space="preserve">Mighty APE Limited Millwater </t>
  </si>
  <si>
    <t xml:space="preserve">SP NIO TEAS ZURICH </t>
  </si>
  <si>
    <t xml:space="preserve">SP FOXTROT HOME WAIPUKURAU </t>
  </si>
  <si>
    <t xml:space="preserve">SP LUMOGLOW AUCKLAND </t>
  </si>
  <si>
    <t xml:space="preserve">MECCA SYLVIA PARK AUCKLAND </t>
  </si>
  <si>
    <t xml:space="preserve">FARMERS AUCKLAND </t>
  </si>
  <si>
    <t xml:space="preserve">SHERIDAN ONEHUNGA AUCKLAND </t>
  </si>
  <si>
    <t xml:space="preserve">R&amp;G DRESSMART AUCKLAND </t>
  </si>
  <si>
    <t xml:space="preserve">WILD FERNS NEW ZEALAND AUCKLAND </t>
  </si>
  <si>
    <t xml:space="preserve">CUE ONEHUNGA AUCKLAND </t>
  </si>
  <si>
    <t>US MOBILE* US MOBILE WWW.USMOBILE. NY;8.57 US DOLLAR  $ at 0.6035</t>
  </si>
  <si>
    <t xml:space="preserve">Decjuba Onehunga Onehunga </t>
  </si>
  <si>
    <t xml:space="preserve">QUIKSILVER OUTLET ONEHNGA ONEHUNGA </t>
  </si>
  <si>
    <t>AMZN Mktp US*810AS3MC3 Amzn.com/bill WA</t>
  </si>
  <si>
    <t xml:space="preserve">LEXINIC AUCKLAND </t>
  </si>
  <si>
    <t>SP MAKEUP CARTEL BUNDALL ;133.88 AUSTRALIAN DOLLAR at 0.9214</t>
  </si>
  <si>
    <t xml:space="preserve">Caltex Waitangi Paihia </t>
  </si>
  <si>
    <t xml:space="preserve">COUNTDOWN PAIHI/9 BLACKBR WAITANGI </t>
  </si>
  <si>
    <t xml:space="preserve">NEW WORLD KERIKERI KERIKERI </t>
  </si>
  <si>
    <t xml:space="preserve">ETHOS RUSSELL </t>
  </si>
  <si>
    <t xml:space="preserve">HONE'S GARDEN RUSSELL </t>
  </si>
  <si>
    <t xml:space="preserve">HELL HOLE RUSSELL LTD RUSSELL </t>
  </si>
  <si>
    <t xml:space="preserve">Bookme.Co.Nz New Zealand </t>
  </si>
  <si>
    <t xml:space="preserve">Northland Ferries Pahia </t>
  </si>
  <si>
    <t xml:space="preserve">Makana Confections Kerikeri </t>
  </si>
  <si>
    <t xml:space="preserve">The Old Packhouse Kerikeri </t>
  </si>
  <si>
    <t xml:space="preserve">Cotton On 9932 9932 -S Mt Wellington </t>
  </si>
  <si>
    <t xml:space="preserve">BBB Stonefields Stonefields </t>
  </si>
  <si>
    <t xml:space="preserve">COUNTDOWN MT WE/PENROSE R MT WELLINGTON </t>
  </si>
  <si>
    <t xml:space="preserve">Chemist Warehouse Sylvia Park </t>
  </si>
  <si>
    <t xml:space="preserve">H&amp;M NEWMARKET AUCKLAND </t>
  </si>
  <si>
    <t xml:space="preserve">Lexinic Auckland </t>
  </si>
  <si>
    <t xml:space="preserve">TAI PING PAKURANGA AUCKLAND </t>
  </si>
  <si>
    <t xml:space="preserve">Luna Bakehouse Auckland </t>
  </si>
  <si>
    <t xml:space="preserve">HARRIS ROAD SUPERETT AUCKLAND </t>
  </si>
  <si>
    <t xml:space="preserve">SARDINE AKL AUCKLAND </t>
  </si>
  <si>
    <t xml:space="preserve">LEBANESE GROCER AUCKLAND </t>
  </si>
  <si>
    <t xml:space="preserve">FREEDOM FURNITURE 82 AUCKLAND </t>
  </si>
  <si>
    <t xml:space="preserve">Melba Vulcan Lane Auckland </t>
  </si>
  <si>
    <t xml:space="preserve">AT Hop Auckland Remuera </t>
  </si>
  <si>
    <t xml:space="preserve">Chemist Warehouse Newmarket </t>
  </si>
  <si>
    <t xml:space="preserve">KFC AUCKLAND AIRPORT 636 AUCKLAND </t>
  </si>
  <si>
    <t>Centrefold Lounge Melbourne ;47.06 AUSTRALIAN DOLLAR at 0.9242</t>
  </si>
  <si>
    <t>US MOBILE* US MOBILE WWW.USMOBILE. NY;8.57 US DOLLAR  $ at 0.6274</t>
  </si>
  <si>
    <t>SQ *AKANA HANDCRAFTS South Melbour ;250 AUSTRALIAN DOLLAR at 0.926</t>
  </si>
  <si>
    <t>ZLR*South Melbourne Sea South Melbour ;11.16 AUSTRALIAN DOLLAR at 0.9261</t>
  </si>
  <si>
    <t>TRANSIT HOSPITALITY GR MELBOURNE ;32.48 AUSTRALIAN DOLLAR at 0.9261</t>
  </si>
  <si>
    <t>UBER   *TRIP SYDNEY ;108.49 AUSTRALIAN DOLLAR at 0.9232</t>
  </si>
  <si>
    <t>DUMPLING NOODLE CIRC SURFERS PARAD ;22.50 AUSTRALIAN DOLLAR at 0.9233</t>
  </si>
  <si>
    <t>CIRCLE ON CAVILL CHEMP SURFERS PARAD ;39.98 AUSTRALIAN DOLLAR at 0.9227</t>
  </si>
  <si>
    <t>SQ *ELSTON RESTAURANT AND Surfers Parad ;33 AUSTRALIAN DOLLAR at 0.9264</t>
  </si>
  <si>
    <t>SQ *ELSTON RESTAURANT AND Surfers Parad ;37.05 AUSTRALIAN DOLLAR at 0.9265</t>
  </si>
  <si>
    <t>BURLEIGH PAVILION PTY BURLEIGH HEAD ;12.62 AUSTRALIAN DOLLAR at 0.9266</t>
  </si>
  <si>
    <t>THE MONKEY TREE BAR &amp; Tamborine Mou ;37.61 AUSTRALIAN DOLLAR at 0.9266</t>
  </si>
  <si>
    <t>OROTON HARBOURTOWN BIGGERA WATER ;74.50 AUSTRALIAN DOLLAR at 0.928</t>
  </si>
  <si>
    <t>ALLY FASHION BIGGERA WATER ;30 AUSTRALIAN DOLLAR at 0.9279</t>
  </si>
  <si>
    <t>LS BLOCKOUT BIGGERA WATER ;109.95 AUSTRALIAN DOLLAR at 0.928</t>
  </si>
  <si>
    <t>SQ *LICENSED PTY LTD Surfers Parad ;20 AUSTRALIAN DOLLAR at 0.9281</t>
  </si>
  <si>
    <t>CASTAWAY COFFEE* ME&amp;U BIGGERA WATER ;45.14 AUSTRALIAN DOLLAR at 0.928</t>
  </si>
  <si>
    <t>HUDSONS BRISBANE INT BRISBANE AIRP ;15.05 AUSTRALIAN DOLLAR at 0.9279</t>
  </si>
  <si>
    <t>WWW.FELONSBREWIN* ME&amp;U CORINDA ;204.94 AUSTRALIAN DOLLAR at 0.928</t>
  </si>
  <si>
    <t xml:space="preserve">EMIRATES.CO 2368512037 DUBAI </t>
  </si>
  <si>
    <t xml:space="preserve">BBB Sylvia Park Sylvia Park </t>
  </si>
  <si>
    <t xml:space="preserve">Rebel Panmure Panmure </t>
  </si>
  <si>
    <t xml:space="preserve">The Warehouse 190 Lunn AVE </t>
  </si>
  <si>
    <t xml:space="preserve">GOODSTUFF SYLVIA PARK AUCKLAND </t>
  </si>
  <si>
    <t xml:space="preserve">SP MATAN FLORIST AUCKLAND </t>
  </si>
  <si>
    <t xml:space="preserve">AMORE GELATO AUCKLAND </t>
  </si>
  <si>
    <t xml:space="preserve">WESTFIELD SHOPPING CENTRE 099789400 </t>
  </si>
  <si>
    <t xml:space="preserve">Z Ellerslie Auckland </t>
  </si>
  <si>
    <t xml:space="preserve">PAYPAL *GOOGLE GOOGLE 4029357733 </t>
  </si>
  <si>
    <t xml:space="preserve">CHOICE RETAIL AUCKLAND </t>
  </si>
  <si>
    <t xml:space="preserve">AUCKLAND ZOO AUCKLAND </t>
  </si>
  <si>
    <t xml:space="preserve">AUCKLAND MUSEUM  ELOCKERS AUCKLAND </t>
  </si>
  <si>
    <t>US MOBILE* US MOBILE WWW.USMOBILE. NY;8.57 US DOLLAR  $ at 0.6061</t>
  </si>
  <si>
    <t xml:space="preserve">Montana Catering Aukl Auckland </t>
  </si>
  <si>
    <t xml:space="preserve">TACOBELL SYLVIAPARK113 AUCKLAND </t>
  </si>
  <si>
    <t xml:space="preserve">MAHONS AMUSEMENTS LTD WAIKATO </t>
  </si>
  <si>
    <t xml:space="preserve">Z Whitianga Whitianga </t>
  </si>
  <si>
    <t xml:space="preserve">The Warehouse 189 Whitianga </t>
  </si>
  <si>
    <t xml:space="preserve">COUNTDOWN WHITI/60 JOAN G WHITIANGA </t>
  </si>
  <si>
    <t xml:space="preserve">SMOKO THAMES </t>
  </si>
  <si>
    <t xml:space="preserve">Mercury Bay Pharmacy Whitianga </t>
  </si>
  <si>
    <t xml:space="preserve">SUPER LIQUOR WHITIANGA WHITIANGA </t>
  </si>
  <si>
    <t xml:space="preserve">New World Whitianga Whitianga </t>
  </si>
  <si>
    <t xml:space="preserve">Tickets*Who killed humanitix.com </t>
  </si>
  <si>
    <t xml:space="preserve">WELLSTOCKED DELI WHITIANGA </t>
  </si>
  <si>
    <t xml:space="preserve">Lukes Kitchen Kuaotunu </t>
  </si>
  <si>
    <t xml:space="preserve">PIPERS CAFE WHITIANGA </t>
  </si>
  <si>
    <t xml:space="preserve">LIQUOR CENTRE ELLERSLIE AUCKLAND </t>
  </si>
  <si>
    <t xml:space="preserve">All Things Organic Tairua </t>
  </si>
  <si>
    <t xml:space="preserve">Deadshot Grey Lynn </t>
  </si>
  <si>
    <t xml:space="preserve">GS CELLAR AUCKLAND </t>
  </si>
  <si>
    <t xml:space="preserve">FARMERS 1140 NEWMARKET </t>
  </si>
  <si>
    <t xml:space="preserve">AUCKLAND MUSEUM STORE AUCKLAND </t>
  </si>
  <si>
    <t xml:space="preserve">PUBLIC DRINKS CO AUCKLAND </t>
  </si>
  <si>
    <t xml:space="preserve">PAYPAL *AIRBNB  HMSHCK 35314369001 </t>
  </si>
  <si>
    <t xml:space="preserve">IMMIGRATION NZ AUCKLAND </t>
  </si>
  <si>
    <t>Immigration</t>
  </si>
  <si>
    <t xml:space="preserve">PAYPAL *AIRBNB  HMSWHY 35314369001 </t>
  </si>
  <si>
    <t xml:space="preserve">LUFTHANSA   RAN7T9 PAYPAL COM </t>
  </si>
  <si>
    <t xml:space="preserve">LUFTHANSA   RE2BIK PAYPAL COM </t>
  </si>
  <si>
    <t>Hotel at Booking.com Sydney ;384.75 EURO NATL CURR UNIT (NCU) at 0.5638</t>
  </si>
  <si>
    <t>Hotel at Booking.com Sydney ;597.89 EURO NATL CURR UNIT (NCU) at 0.5638</t>
  </si>
  <si>
    <t>EUROWINGS GMDDRWGS_281054 KASTRUP ;1387.02 DANISH KRONE at 4.2026</t>
  </si>
  <si>
    <t xml:space="preserve">TM *TICKETMASTERNZ 038632151 </t>
  </si>
  <si>
    <t xml:space="preserve">PAYPAL *AIRBNB  HMQHF5 35314369001 </t>
  </si>
  <si>
    <t xml:space="preserve">SAILS RESTAURANT AUCKLAND </t>
  </si>
  <si>
    <t>HOTEL CANAL&amp;WALTER VENEZIA ;196 EURO NATL CURR UNIT (NCU) at 0.5601</t>
  </si>
  <si>
    <t xml:space="preserve">ST PIERRE'S NEWMARKE AUCKLAND </t>
  </si>
  <si>
    <t xml:space="preserve">ISLAND GELATO NEWMARKET AUCKLAND </t>
  </si>
  <si>
    <t xml:space="preserve">KOHKOZ  REAL LEBANESE CUI MANUREWA </t>
  </si>
  <si>
    <t xml:space="preserve">Pakihi Marine Farms Papakura </t>
  </si>
  <si>
    <t xml:space="preserve">FOUR SQUARE ELLERSLIE AAUCKLAND </t>
  </si>
  <si>
    <t xml:space="preserve">CACI CLINIC ON LUNN AUCKLAND </t>
  </si>
  <si>
    <t>US MOBILE* US MOBILE WWW.USMOBILE. NY;8.57 US DOLLAR  $ at 0.617</t>
  </si>
  <si>
    <t xml:space="preserve">Life Pharmacy Sylvia PK Sylvia Park </t>
  </si>
  <si>
    <t xml:space="preserve">aliexpress London </t>
  </si>
  <si>
    <t xml:space="preserve">Melba Lunn Ave Auckland </t>
  </si>
  <si>
    <t xml:space="preserve">LIVING PRODUCE MANUKAU </t>
  </si>
  <si>
    <t xml:space="preserve">A &amp; J ZAKNIC &amp; SONS LIMIT KUMEU </t>
  </si>
  <si>
    <t xml:space="preserve">WOOLWORTHS NZ/277 BROADWA NEWMARKET </t>
  </si>
  <si>
    <t xml:space="preserve">EDEN PARK CATERING AUCKLAND </t>
  </si>
  <si>
    <t xml:space="preserve">Wise Auckland </t>
  </si>
  <si>
    <t xml:space="preserve">The Warehouse 186 Sylvia Park </t>
  </si>
  <si>
    <t xml:space="preserve">Forever New Sylvia Park </t>
  </si>
  <si>
    <t xml:space="preserve">WUCHA SYLVIA PARK AUCKLAND </t>
  </si>
  <si>
    <t xml:space="preserve">SMIGGLE 006 SYLVIA PARK MT WELLINGTON </t>
  </si>
  <si>
    <t xml:space="preserve">Caltex Sylvia Park Mt Wellington </t>
  </si>
  <si>
    <t xml:space="preserve">Forever New Botany East Tamaki </t>
  </si>
  <si>
    <t xml:space="preserve">DIVINE PATISSERIE AUCKLAND </t>
  </si>
  <si>
    <t xml:space="preserve">KMART NEW ZEALAND LT AUCKLAND </t>
  </si>
  <si>
    <t xml:space="preserve">Thai Kitchen AUCKLAND </t>
  </si>
  <si>
    <t>US MOBILE* US MOBILE WWW.USMOBILE. NY;8.57 US DOLLAR  $ at 0.5985</t>
  </si>
  <si>
    <t>Row Labels</t>
  </si>
  <si>
    <t>(blank)</t>
  </si>
  <si>
    <t>Grand Total</t>
  </si>
  <si>
    <t>Sum of Amount</t>
  </si>
  <si>
    <t>Life Insurance</t>
  </si>
  <si>
    <t>MyRentCharge</t>
  </si>
  <si>
    <t>POST</t>
  </si>
  <si>
    <t>Cinema</t>
  </si>
  <si>
    <t>Transport - Rental Car</t>
  </si>
  <si>
    <t>12-3057-xxxxx-01</t>
  </si>
  <si>
    <t>EX 12-3057- xxxxx-01</t>
  </si>
  <si>
    <t>TO 12-3057- xxxxx-01</t>
  </si>
  <si>
    <t>TO 12-3057- xxxxx-01 anz</t>
  </si>
  <si>
    <t>TO CARD xxxx  THANK YOU</t>
  </si>
  <si>
    <t>EX CARD xxxx</t>
  </si>
  <si>
    <t>FC12-3075-xxxx-02 StaffBidone MJ Alavi 64170</t>
  </si>
  <si>
    <t>FC01-1839-xxxx-01 819444DpsA2A Contact Ener 501461545</t>
  </si>
  <si>
    <t>FC01-1839-xxxx-01 834949DpsA2A Contact Ener 501461545</t>
  </si>
  <si>
    <t>FC01-1839-xxxx-01 854807DpsA2A Contact Ener 501461545</t>
  </si>
  <si>
    <t>FC38-9016-xxxx-00 Sam KiwiBank</t>
  </si>
  <si>
    <t>FC38-9016-xxxx-00 Sam KiwiBank rates</t>
  </si>
  <si>
    <t>38-9016-xxxx-00</t>
  </si>
  <si>
    <t>38-9016-xxxx-01</t>
  </si>
  <si>
    <t>38-9016-xxxx-11</t>
  </si>
  <si>
    <t>38-9016-xxxx-06</t>
  </si>
  <si>
    <t>38-9016-xxxx-07</t>
  </si>
  <si>
    <t>38-9016-xxxx-08</t>
  </si>
  <si>
    <t>38-9016-xxxx-10</t>
  </si>
  <si>
    <t>D/D xxxx-03 WATERCARE</t>
  </si>
  <si>
    <t>FC12-3075-xxxx-00 somaye taebi</t>
  </si>
  <si>
    <t>NTRFFEE  2xxxx3</t>
  </si>
  <si>
    <t>FC03-0584-xxxx-03 996535870623 rego rego</t>
  </si>
  <si>
    <t>TO 12-3637- xxxx-00</t>
  </si>
  <si>
    <t>EX 12-3637- xxxx-00</t>
  </si>
  <si>
    <t>EX 12-3637- xxxx-00 anz</t>
  </si>
  <si>
    <t>12-3637-xxxx-00</t>
  </si>
  <si>
    <t>06-0082-xxxx-00</t>
  </si>
  <si>
    <t>Loan Payment To: xxxx-1001         004600</t>
  </si>
  <si>
    <t>Loan Payment To: xxxx-1002         004600</t>
  </si>
  <si>
    <t>Loan Payment To: xxxx-1003         004600</t>
  </si>
  <si>
    <t>xxxx-1001</t>
  </si>
  <si>
    <t>xxxx-1002</t>
  </si>
  <si>
    <t>xxxx-1003</t>
  </si>
  <si>
    <t>38-9022-xxxx-00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</si>
</sst>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\$#,##0.00;\-\ \$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4" fontId="0" fillId="0" borderId="0" xfId="0" applyNumberForma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3" fillId="0" borderId="0" xfId="1"/>
    <xf numFmtId="164" fontId="4" fillId="0" borderId="0" xfId="1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4" fontId="0" fillId="0" borderId="0" xfId="0" applyNumberFormat="1"/>
  </cellXfs>
  <cellStyles count="2">
    <cellStyle name="Normal" xfId="0" builtinId="0"/>
    <cellStyle name="Normal 2" xfId="1" xr:uid="{D5580341-13DD-4675-8764-40C331810FAA}"/>
  </cellStyles>
  <dxfs count="2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J.Alavi\Downloads\Bank%20Account%202023\ASB\ChatGPT.csv" TargetMode="External"/><Relationship Id="rId1" Type="http://schemas.openxmlformats.org/officeDocument/2006/relationships/externalLinkPath" Target="/Users/MJ.Alavi/Downloads/Bank%20Account%202023/ASB/ChatGP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tGPT"/>
    </sheetNames>
    <sheetDataSet>
      <sheetData sheetId="0">
        <row r="1">
          <cell r="A1" t="str">
            <v>description</v>
          </cell>
          <cell r="B1" t="str">
            <v>Categories</v>
          </cell>
          <cell r="C1" t="str">
            <v>SubCategories</v>
          </cell>
          <cell r="D1" t="str">
            <v>DetailsCategories</v>
          </cell>
        </row>
        <row r="2">
          <cell r="A2" t="str">
            <v>0836-VAN RELAY W'ILLY RICHMOND BC 1.18 CANADIAN DOLLAR at a Conversion Rate of 0.8027 (NZ$1.47)</v>
          </cell>
          <cell r="B2" t="str">
            <v>Recreational &amp; Entertainment</v>
          </cell>
          <cell r="C2" t="str">
            <v xml:space="preserve">Travel </v>
          </cell>
          <cell r="D2" t="str">
            <v>Travel</v>
          </cell>
        </row>
        <row r="3">
          <cell r="A3" t="str">
            <v>2 MILE BAY LAKE TAUPO TAUPO</v>
          </cell>
          <cell r="B3" t="str">
            <v>Recreational &amp; Entertainment</v>
          </cell>
          <cell r="C3" t="str">
            <v xml:space="preserve">Travel </v>
          </cell>
          <cell r="D3" t="str">
            <v>Travel</v>
          </cell>
        </row>
        <row r="4">
          <cell r="A4" t="str">
            <v>211 Remarks Road Entry Queenstown</v>
          </cell>
          <cell r="B4" t="str">
            <v>Recreational &amp; Entertainment</v>
          </cell>
          <cell r="C4" t="str">
            <v xml:space="preserve">Travel </v>
          </cell>
          <cell r="D4" t="str">
            <v>Travel</v>
          </cell>
        </row>
        <row r="5">
          <cell r="A5" t="str">
            <v>AIA NEW ZEALAND AUCKLAND</v>
          </cell>
          <cell r="B5" t="str">
            <v>Insurance</v>
          </cell>
          <cell r="C5" t="str">
            <v>Life Insurance</v>
          </cell>
          <cell r="D5" t="str">
            <v>Life Insurance</v>
          </cell>
        </row>
        <row r="6">
          <cell r="A6" t="str">
            <v>AK 849248 BAY OF ISL</v>
          </cell>
          <cell r="B6" t="str">
            <v>Recreational &amp; Entertainment</v>
          </cell>
          <cell r="C6" t="str">
            <v xml:space="preserve">Travel </v>
          </cell>
          <cell r="D6" t="str">
            <v>Travel</v>
          </cell>
        </row>
        <row r="7">
          <cell r="A7" t="str">
            <v>Akl Airport Carpark Auckland</v>
          </cell>
          <cell r="B7" t="str">
            <v>Recreational &amp; Entertainment</v>
          </cell>
          <cell r="C7" t="str">
            <v xml:space="preserve">Travel </v>
          </cell>
          <cell r="D7" t="str">
            <v>Travel</v>
          </cell>
        </row>
        <row r="8">
          <cell r="A8" t="str">
            <v>aliexpress London</v>
          </cell>
          <cell r="B8" t="str">
            <v>Personal Care</v>
          </cell>
          <cell r="C8" t="str">
            <v>Clothing &amp; Footwear</v>
          </cell>
          <cell r="D8" t="str">
            <v>Shopping - Online</v>
          </cell>
        </row>
        <row r="9">
          <cell r="A9" t="str">
            <v>ALTEZANO SNICKEL LANE WHANGAREI</v>
          </cell>
          <cell r="B9" t="str">
            <v>Recreational &amp; Entertainment</v>
          </cell>
          <cell r="C9" t="str">
            <v>Entertainment</v>
          </cell>
          <cell r="D9" t="str">
            <v>Dinning</v>
          </cell>
        </row>
        <row r="10">
          <cell r="A10" t="str">
            <v>ANDREW SIMMS MITSUBI AUCKLAND</v>
          </cell>
          <cell r="B10" t="str">
            <v>Transport</v>
          </cell>
          <cell r="C10" t="str">
            <v xml:space="preserve">Petrol </v>
          </cell>
          <cell r="D10" t="str">
            <v>Transport - Car</v>
          </cell>
        </row>
        <row r="11">
          <cell r="A11" t="str">
            <v>APPLE.COM/BILL SYDNEY</v>
          </cell>
          <cell r="B11" t="str">
            <v>Telephone &amp; Internet</v>
          </cell>
          <cell r="C11" t="str">
            <v>AppleStorage</v>
          </cell>
          <cell r="D11" t="str">
            <v>AppleStorage</v>
          </cell>
        </row>
        <row r="12">
          <cell r="A12" t="str">
            <v>AT Hop Auckland Ellerslie</v>
          </cell>
          <cell r="B12" t="str">
            <v>Transport</v>
          </cell>
          <cell r="C12" t="str">
            <v xml:space="preserve">Petrol </v>
          </cell>
          <cell r="D12" t="str">
            <v>Transport -Taxi - Bus</v>
          </cell>
        </row>
        <row r="13">
          <cell r="A13" t="str">
            <v>AT Parking Auckland</v>
          </cell>
          <cell r="B13" t="str">
            <v>Transport</v>
          </cell>
          <cell r="C13" t="str">
            <v xml:space="preserve">Petrol </v>
          </cell>
          <cell r="D13" t="str">
            <v>Transport - Parking</v>
          </cell>
        </row>
        <row r="14">
          <cell r="A14" t="str">
            <v>BAKLAWA CAFE AUCKLAND</v>
          </cell>
          <cell r="B14" t="str">
            <v>Recreational &amp; Entertainment</v>
          </cell>
          <cell r="C14" t="str">
            <v>Entertainment</v>
          </cell>
          <cell r="D14" t="str">
            <v>Dinning</v>
          </cell>
        </row>
        <row r="15">
          <cell r="A15" t="str">
            <v>BAT (NEW ZEALAND) LIMITED VENDOR_INVOIC</v>
          </cell>
          <cell r="B15" t="str">
            <v>Recreational &amp; Entertainment</v>
          </cell>
          <cell r="C15" t="str">
            <v>Entertainment</v>
          </cell>
          <cell r="D15" t="str">
            <v>Vape</v>
          </cell>
        </row>
        <row r="16">
          <cell r="A16" t="str">
            <v>BBB Stonefields Stonefields</v>
          </cell>
          <cell r="B16" t="str">
            <v>Recreational &amp; Entertainment</v>
          </cell>
          <cell r="C16" t="str">
            <v xml:space="preserve">Dining Out </v>
          </cell>
          <cell r="D16" t="str">
            <v>Dinning</v>
          </cell>
        </row>
        <row r="17">
          <cell r="A17" t="str">
            <v>Beach Cafe Pukekohe</v>
          </cell>
          <cell r="B17" t="str">
            <v>Recreational &amp; Entertainment</v>
          </cell>
          <cell r="C17" t="str">
            <v xml:space="preserve">Dining Out </v>
          </cell>
          <cell r="D17" t="str">
            <v>Dinning</v>
          </cell>
        </row>
        <row r="18">
          <cell r="A18" t="str">
            <v>BP CONNECT BOULEVARD AUCKLAND</v>
          </cell>
          <cell r="B18" t="str">
            <v>Transport</v>
          </cell>
          <cell r="C18" t="str">
            <v xml:space="preserve">Petrol </v>
          </cell>
          <cell r="D18" t="str">
            <v>Transport - Fuel</v>
          </cell>
        </row>
        <row r="19">
          <cell r="A19" t="str">
            <v>BP CONNECT QUEENSTOWN QUEENSTOWN</v>
          </cell>
          <cell r="B19" t="str">
            <v>Transport</v>
          </cell>
          <cell r="C19" t="str">
            <v xml:space="preserve">Petrol </v>
          </cell>
          <cell r="D19" t="str">
            <v>Transport - Fuel</v>
          </cell>
        </row>
        <row r="20">
          <cell r="A20" t="str">
            <v>CASH ADVANCE WITHDRAWAL</v>
          </cell>
          <cell r="B20" t="str">
            <v>Internal Transactions</v>
          </cell>
          <cell r="C20" t="str">
            <v>ASB</v>
          </cell>
          <cell r="D20" t="str">
            <v>WITHDRAWAL</v>
          </cell>
        </row>
        <row r="21">
          <cell r="A21" t="str">
            <v>CASTAWAY COFFEE BAR SURFERS PARAD 8.13 AUSTRALIAN DOLLAR at a Conversion Rate of 0.9281 (NZ$8.76)</v>
          </cell>
          <cell r="B21" t="str">
            <v>Recreational &amp; Entertainment</v>
          </cell>
          <cell r="C21" t="str">
            <v xml:space="preserve">Dining Out </v>
          </cell>
          <cell r="D21" t="str">
            <v>Dinning</v>
          </cell>
        </row>
        <row r="22">
          <cell r="A22" t="str">
            <v>CHEMIST WAREHOUSE WERRIBEE 22.49 AUSTRALIAN DOLLAR at a Conversion Rate of 0.9259 (NZ$24.29)</v>
          </cell>
          <cell r="B22" t="str">
            <v>Groceries</v>
          </cell>
          <cell r="C22" t="str">
            <v>Grocery</v>
          </cell>
          <cell r="D22" t="str">
            <v>Grocery</v>
          </cell>
        </row>
        <row r="23">
          <cell r="A23" t="str">
            <v>CHOICE RETAIL AUCKLAND</v>
          </cell>
          <cell r="B23" t="str">
            <v>Groceries</v>
          </cell>
          <cell r="C23" t="str">
            <v>Grocery</v>
          </cell>
          <cell r="D23" t="str">
            <v>Grocery</v>
          </cell>
        </row>
        <row r="24">
          <cell r="A24" t="str">
            <v>COBRA LIQUOR AUCKLAND</v>
          </cell>
          <cell r="B24" t="str">
            <v>Recreational &amp; Entertainment</v>
          </cell>
          <cell r="C24" t="str">
            <v>Entertainment</v>
          </cell>
          <cell r="D24" t="str">
            <v>Liquor</v>
          </cell>
        </row>
        <row r="25">
          <cell r="A25" t="str">
            <v>COUNTDOWN GREEN/326 GREAT GREENLANE</v>
          </cell>
          <cell r="B25" t="str">
            <v>Groceries</v>
          </cell>
          <cell r="C25" t="str">
            <v>Grocery</v>
          </cell>
          <cell r="D25" t="str">
            <v>Grocery</v>
          </cell>
        </row>
        <row r="26">
          <cell r="A26" t="str">
            <v>COUNTDOWN GREENLANE AUCKLAND</v>
          </cell>
          <cell r="B26" t="str">
            <v>Groceries</v>
          </cell>
          <cell r="C26" t="str">
            <v>Grocery</v>
          </cell>
          <cell r="D26" t="str">
            <v>Grocery</v>
          </cell>
        </row>
        <row r="27">
          <cell r="A27" t="str">
            <v>COUNTDOWN TAUPO/SPA ROAD TAUPO</v>
          </cell>
          <cell r="B27" t="str">
            <v>Groceries</v>
          </cell>
          <cell r="C27" t="str">
            <v>Grocery</v>
          </cell>
          <cell r="D27" t="str">
            <v>Grocery</v>
          </cell>
        </row>
        <row r="28">
          <cell r="A28" t="str">
            <v>DBS Jetts Remuera Auckland</v>
          </cell>
          <cell r="B28" t="str">
            <v>Recreational &amp; Entertainment</v>
          </cell>
          <cell r="C28" t="str">
            <v xml:space="preserve">Gym </v>
          </cell>
          <cell r="D28" t="str">
            <v>GYM</v>
          </cell>
        </row>
        <row r="29">
          <cell r="A29" t="str">
            <v>DBS Jetts Remuera North Harbour</v>
          </cell>
          <cell r="B29" t="str">
            <v>Recreational &amp; Entertainment</v>
          </cell>
          <cell r="C29" t="str">
            <v xml:space="preserve">Gym </v>
          </cell>
          <cell r="D29" t="str">
            <v>GYM</v>
          </cell>
        </row>
        <row r="30">
          <cell r="A30" t="str">
            <v>Deadshot Grey Lynn</v>
          </cell>
          <cell r="B30" t="str">
            <v>Recreational &amp; Entertainment</v>
          </cell>
          <cell r="C30" t="str">
            <v xml:space="preserve">Dining Out </v>
          </cell>
          <cell r="D30" t="str">
            <v>Dinning</v>
          </cell>
        </row>
        <row r="31">
          <cell r="A31" t="str">
            <v>DELAWARE NORTH RETAI MELBOURNE AIR 15.20 AUSTRALIAN DOLLAR at a Conversion Rate of 0.9263 (NZ$16.41)</v>
          </cell>
          <cell r="B31" t="str">
            <v>Recreational &amp; Entertainment</v>
          </cell>
          <cell r="C31" t="str">
            <v xml:space="preserve">Travel </v>
          </cell>
          <cell r="D31" t="str">
            <v>Travel</v>
          </cell>
        </row>
        <row r="32">
          <cell r="A32" t="str">
            <v>Downtown Car Park Auckland</v>
          </cell>
          <cell r="B32" t="str">
            <v>Recreational &amp; Entertainment</v>
          </cell>
          <cell r="C32" t="str">
            <v xml:space="preserve">Travel </v>
          </cell>
          <cell r="D32" t="str">
            <v>Travel</v>
          </cell>
        </row>
        <row r="33">
          <cell r="A33" t="str">
            <v>DR BUCHA'S LIVING DRINKS KATIKATI</v>
          </cell>
          <cell r="B33" t="str">
            <v>Recreational &amp; Entertainment</v>
          </cell>
          <cell r="C33" t="str">
            <v xml:space="preserve">Dining Out </v>
          </cell>
          <cell r="D33" t="str">
            <v>Dinning</v>
          </cell>
        </row>
        <row r="34">
          <cell r="A34" t="str">
            <v>DREAMERS CAFE EPSOM</v>
          </cell>
          <cell r="B34" t="str">
            <v>Recreational &amp; Entertainment</v>
          </cell>
          <cell r="C34" t="str">
            <v xml:space="preserve">Dining Out </v>
          </cell>
          <cell r="D34" t="str">
            <v>Dinning</v>
          </cell>
        </row>
        <row r="35">
          <cell r="A35" t="str">
            <v>DUMPLING NOODLE CIRC SURFERS PARAD 3.55 AUSTRALIAN DOLLAR at a Conversion Rate of 0.9221 (NZ$3.85)</v>
          </cell>
          <cell r="B35" t="str">
            <v>Recreational &amp; Entertainment</v>
          </cell>
          <cell r="C35" t="str">
            <v xml:space="preserve">Dining Out </v>
          </cell>
          <cell r="D35" t="str">
            <v>Dinning</v>
          </cell>
        </row>
        <row r="36">
          <cell r="A36" t="str">
            <v>DUMPLING NOODLE CIRC SURFERS PARAD 38.00 AUSTRALIAN DOLLAR at a Conversion Rate of 0.9259 (NZ$41.04)</v>
          </cell>
          <cell r="B36" t="str">
            <v>Recreational &amp; Entertainment</v>
          </cell>
          <cell r="C36" t="str">
            <v xml:space="preserve">Dining Out </v>
          </cell>
          <cell r="D36" t="str">
            <v>Dinning</v>
          </cell>
        </row>
        <row r="37">
          <cell r="A37" t="str">
            <v>EB  Succeed in Propert 801-413-7200</v>
          </cell>
          <cell r="B37" t="str">
            <v>Recreational &amp; Entertainment</v>
          </cell>
          <cell r="C37" t="str">
            <v>Entertainment</v>
          </cell>
          <cell r="D37" t="str">
            <v>Event</v>
          </cell>
        </row>
        <row r="38">
          <cell r="A38" t="str">
            <v>ELLERSLIE CENTRAL POST SH AUCKLAND</v>
          </cell>
          <cell r="B38" t="str">
            <v>Other</v>
          </cell>
          <cell r="C38" t="str">
            <v xml:space="preserve">Other Expenses </v>
          </cell>
          <cell r="D38" t="str">
            <v>POST</v>
          </cell>
        </row>
        <row r="39">
          <cell r="A39" t="str">
            <v>FALSE CREEK FERRIES VANCOUVER BC 36.00 CANADIAN DOLLAR at a Conversion Rate of 0.8077 (NZ$44.57)</v>
          </cell>
          <cell r="B39" t="str">
            <v>Recreational &amp; Entertainment</v>
          </cell>
          <cell r="C39" t="str">
            <v xml:space="preserve">Travel </v>
          </cell>
          <cell r="D39" t="str">
            <v>Travel</v>
          </cell>
        </row>
        <row r="40">
          <cell r="A40" t="str">
            <v>Fergbaker Queenstown</v>
          </cell>
          <cell r="B40" t="str">
            <v>Recreational &amp; Entertainment</v>
          </cell>
          <cell r="C40" t="str">
            <v xml:space="preserve">Dining Out </v>
          </cell>
          <cell r="D40" t="str">
            <v>Dinning</v>
          </cell>
        </row>
        <row r="41">
          <cell r="A41" t="str">
            <v>FIFA SYDNEY</v>
          </cell>
          <cell r="B41" t="str">
            <v>Recreational &amp; Entertainment</v>
          </cell>
          <cell r="C41" t="str">
            <v>Entertainment</v>
          </cell>
          <cell r="D41" t="str">
            <v>Event</v>
          </cell>
        </row>
        <row r="42">
          <cell r="A42" t="str">
            <v>Forever New Sylvia Park</v>
          </cell>
          <cell r="B42" t="str">
            <v>Personal Care</v>
          </cell>
          <cell r="C42" t="str">
            <v>Clothing &amp; Footwear</v>
          </cell>
          <cell r="D42" t="str">
            <v>Shopping</v>
          </cell>
        </row>
        <row r="43">
          <cell r="A43" t="str">
            <v>FOUR SQUARE QUEENSTOWN QUEENSTOWN</v>
          </cell>
          <cell r="B43" t="str">
            <v>Groceries</v>
          </cell>
          <cell r="C43" t="str">
            <v>Grocery</v>
          </cell>
          <cell r="D43" t="str">
            <v>Grocery</v>
          </cell>
        </row>
        <row r="44">
          <cell r="A44" t="str">
            <v>FRESHLY SQUEEZED VAUGH VAUGHAN ON 7.63 CANADIAN DOLLAR at a Conversion Rate of 0.8091 (NZ$9.43)</v>
          </cell>
          <cell r="B44" t="str">
            <v>Recreational &amp; Entertainment</v>
          </cell>
          <cell r="C44" t="str">
            <v xml:space="preserve">Travel </v>
          </cell>
          <cell r="D44" t="str">
            <v>Travel</v>
          </cell>
        </row>
        <row r="45">
          <cell r="A45" t="str">
            <v>GOODFOR LUNN AVE AUCKLAND</v>
          </cell>
          <cell r="B45" t="str">
            <v>Groceries</v>
          </cell>
          <cell r="C45" t="str">
            <v>Grocery</v>
          </cell>
          <cell r="D45" t="str">
            <v>Grocery</v>
          </cell>
        </row>
        <row r="46">
          <cell r="A46" t="str">
            <v>GRAND HOTEL MANAGEMENT MELBOURNE 30.00 AUSTRALIAN DOLLAR at a Conversion Rate of 0.9259 (NZ$32.40)</v>
          </cell>
          <cell r="B46" t="str">
            <v>Recreational &amp; Entertainment</v>
          </cell>
          <cell r="C46" t="str">
            <v xml:space="preserve">Travel </v>
          </cell>
          <cell r="D46" t="str">
            <v>Travel</v>
          </cell>
        </row>
        <row r="47">
          <cell r="A47" t="str">
            <v>GST Tourist Refund Sydney</v>
          </cell>
          <cell r="B47" t="str">
            <v>Recreational &amp; Entertainment</v>
          </cell>
          <cell r="C47" t="str">
            <v xml:space="preserve">Travel </v>
          </cell>
          <cell r="D47" t="str">
            <v>Travel</v>
          </cell>
        </row>
        <row r="48">
          <cell r="A48" t="str">
            <v>GULL MARUA ROAD AUCKLAND</v>
          </cell>
          <cell r="B48" t="str">
            <v>Transport</v>
          </cell>
          <cell r="C48" t="str">
            <v xml:space="preserve">Petrol </v>
          </cell>
          <cell r="D48" t="str">
            <v>Transport - Car</v>
          </cell>
        </row>
        <row r="49">
          <cell r="A49" t="str">
            <v>GULL REEVES ROAD AUCKLAND</v>
          </cell>
          <cell r="B49" t="str">
            <v>Transport</v>
          </cell>
          <cell r="C49" t="str">
            <v xml:space="preserve">Petrol </v>
          </cell>
          <cell r="D49" t="str">
            <v>Transport - Car</v>
          </cell>
        </row>
        <row r="50">
          <cell r="A50" t="str">
            <v>GUMRD.COM  MICHAEL SHP HTTPSGUMROAD. CA 44.00 US DOLLAR at a Conversion Rate of 0.5826 (NZ$75.52)</v>
          </cell>
          <cell r="B50" t="str">
            <v>Other</v>
          </cell>
          <cell r="C50" t="str">
            <v xml:space="preserve">Other Expenses </v>
          </cell>
          <cell r="D50" t="str">
            <v>Personal</v>
          </cell>
        </row>
        <row r="51">
          <cell r="A51" t="str">
            <v>HARRIS ROAD SUPERETT AUCKLAND</v>
          </cell>
          <cell r="B51" t="str">
            <v>Recreational &amp; Entertainment</v>
          </cell>
          <cell r="C51" t="str">
            <v xml:space="preserve">Dining Out </v>
          </cell>
          <cell r="D51" t="str">
            <v>Dinning</v>
          </cell>
        </row>
        <row r="52">
          <cell r="A52" t="str">
            <v>HESARI BAKERY LIMITED AUCKLAND</v>
          </cell>
          <cell r="B52" t="str">
            <v>Recreational &amp; Entertainment</v>
          </cell>
          <cell r="C52" t="str">
            <v xml:space="preserve">Dining Out </v>
          </cell>
          <cell r="D52" t="str">
            <v>Dinning</v>
          </cell>
        </row>
        <row r="53">
          <cell r="A53" t="str">
            <v>HESARISUPERMARKETPANMURE AUCKLAND</v>
          </cell>
          <cell r="B53" t="str">
            <v>Recreational &amp; Entertainment</v>
          </cell>
          <cell r="C53" t="str">
            <v xml:space="preserve">Dining Out </v>
          </cell>
          <cell r="D53" t="str">
            <v>Dinning</v>
          </cell>
        </row>
        <row r="54">
          <cell r="A54" t="str">
            <v>HUKA HONEY HIVE TAUPO</v>
          </cell>
          <cell r="B54" t="str">
            <v>Recreational &amp; Entertainment</v>
          </cell>
          <cell r="C54" t="str">
            <v xml:space="preserve">Travel </v>
          </cell>
          <cell r="D54" t="str">
            <v>Travel</v>
          </cell>
        </row>
        <row r="55">
          <cell r="A55" t="str">
            <v>Hungry Jacks Surfers Parad 18.20 AUSTRALIAN DOLLAR at a Conversion Rate of 0.9234 (NZ$19.71)</v>
          </cell>
          <cell r="B55" t="str">
            <v>Recreational &amp; Entertainment</v>
          </cell>
          <cell r="C55" t="str">
            <v xml:space="preserve">Dining Out </v>
          </cell>
          <cell r="D55" t="str">
            <v>Dinning</v>
          </cell>
        </row>
        <row r="56">
          <cell r="A56" t="str">
            <v>KFC GREENLANE - 604 GREENLANE</v>
          </cell>
          <cell r="B56" t="str">
            <v>Recreational &amp; Entertainment</v>
          </cell>
          <cell r="C56" t="str">
            <v xml:space="preserve">Dining Out </v>
          </cell>
          <cell r="D56" t="str">
            <v>Dinning</v>
          </cell>
        </row>
        <row r="57">
          <cell r="A57" t="str">
            <v>Kings Plant Barn Mount Welling</v>
          </cell>
          <cell r="B57" t="str">
            <v xml:space="preserve">8 Denning Place </v>
          </cell>
          <cell r="C57" t="str">
            <v>Home Expense â€“ Furnishings</v>
          </cell>
          <cell r="D57" t="str">
            <v>Home Expense</v>
          </cell>
        </row>
        <row r="58">
          <cell r="A58" t="str">
            <v>Kogan.com K7C4HDDZ Auckland</v>
          </cell>
          <cell r="B58" t="str">
            <v xml:space="preserve">8 Denning Place </v>
          </cell>
          <cell r="C58" t="str">
            <v>Home Expense – Furnishings</v>
          </cell>
          <cell r="D58" t="str">
            <v>Home Expense</v>
          </cell>
        </row>
        <row r="59">
          <cell r="A59" t="str">
            <v>LE PETITE FOURCHETTE AUCKLAND</v>
          </cell>
          <cell r="B59" t="str">
            <v>Recreational &amp; Entertainment</v>
          </cell>
          <cell r="C59" t="str">
            <v xml:space="preserve">Dining Out </v>
          </cell>
          <cell r="D59" t="str">
            <v>Dinning</v>
          </cell>
        </row>
        <row r="60">
          <cell r="A60" t="str">
            <v>LITTLE LUSCIOUS CAFE AUCKLAND</v>
          </cell>
          <cell r="B60" t="str">
            <v>Recreational &amp; Entertainment</v>
          </cell>
          <cell r="C60" t="str">
            <v xml:space="preserve">Dining Out </v>
          </cell>
          <cell r="D60" t="str">
            <v>Dinning</v>
          </cell>
        </row>
        <row r="61">
          <cell r="A61" t="str">
            <v>Lunn Ave Branch       AUC KLAND</v>
          </cell>
          <cell r="B61" t="str">
            <v>Internal Transactions</v>
          </cell>
          <cell r="C61" t="str">
            <v>ASB</v>
          </cell>
          <cell r="D61" t="str">
            <v>WITHDRAWAL</v>
          </cell>
        </row>
        <row r="62">
          <cell r="A62" t="str">
            <v>MCDONALDS MT WELLINGTON AUCKLAND</v>
          </cell>
          <cell r="B62" t="str">
            <v>Recreational &amp; Entertainment</v>
          </cell>
          <cell r="C62" t="str">
            <v xml:space="preserve">Dining Out </v>
          </cell>
          <cell r="D62" t="str">
            <v>Dinning</v>
          </cell>
        </row>
        <row r="63">
          <cell r="A63" t="str">
            <v>MEGA CAFE MT WGTN AUCKLAND</v>
          </cell>
          <cell r="B63" t="str">
            <v>Recreational &amp; Entertainment</v>
          </cell>
          <cell r="C63" t="str">
            <v xml:space="preserve">Dining Out </v>
          </cell>
          <cell r="D63" t="str">
            <v>Dinning</v>
          </cell>
        </row>
        <row r="64">
          <cell r="A64" t="str">
            <v>MINK A CHOCOLATE CAFE VANCOUVER BC 36.49 CANADIAN DOLLAR at a Conversion Rate of 0.8036 (NZ$45.41)</v>
          </cell>
          <cell r="B64" t="str">
            <v>Recreational &amp; Entertainment</v>
          </cell>
          <cell r="C64" t="str">
            <v xml:space="preserve">Dining Out </v>
          </cell>
          <cell r="D64" t="str">
            <v>Dinning</v>
          </cell>
        </row>
        <row r="65">
          <cell r="A65" t="str">
            <v>MINT CAKERY AUCKLAND</v>
          </cell>
          <cell r="B65" t="str">
            <v>Recreational &amp; Entertainment</v>
          </cell>
          <cell r="C65" t="str">
            <v xml:space="preserve">Dining Out </v>
          </cell>
          <cell r="D65" t="str">
            <v>Dinning</v>
          </cell>
        </row>
        <row r="66">
          <cell r="A66" t="str">
            <v>MITRE 10 MEGA MT WTGN MOUNT WELLING</v>
          </cell>
          <cell r="B66" t="str">
            <v xml:space="preserve">8 Denning Place </v>
          </cell>
          <cell r="C66" t="str">
            <v>Home Expense â€“ Furnishings</v>
          </cell>
          <cell r="D66" t="str">
            <v>Home Expense</v>
          </cell>
        </row>
        <row r="67">
          <cell r="A67" t="str">
            <v>MKT ROAD KITCHEN AUCKLAND</v>
          </cell>
          <cell r="B67" t="str">
            <v>Recreational &amp; Entertainment</v>
          </cell>
          <cell r="C67" t="str">
            <v xml:space="preserve">Dining Out </v>
          </cell>
          <cell r="D67" t="str">
            <v>Dinning</v>
          </cell>
        </row>
        <row r="68">
          <cell r="A68" t="str">
            <v>MOBIL AVONDALE AUCKLAND</v>
          </cell>
          <cell r="B68" t="str">
            <v>Transport</v>
          </cell>
          <cell r="C68" t="str">
            <v xml:space="preserve">Petrol </v>
          </cell>
          <cell r="D68" t="str">
            <v>Transport - Car</v>
          </cell>
        </row>
        <row r="69">
          <cell r="A69" t="str">
            <v>MOBIL PANMURE AUCKLAND</v>
          </cell>
          <cell r="B69" t="str">
            <v>Transport</v>
          </cell>
          <cell r="C69" t="str">
            <v xml:space="preserve">Petrol </v>
          </cell>
          <cell r="D69" t="str">
            <v>Transport - Car</v>
          </cell>
        </row>
        <row r="70">
          <cell r="A70" t="str">
            <v>MOBIL TAUPO TAUPO</v>
          </cell>
          <cell r="B70" t="str">
            <v>Transport</v>
          </cell>
          <cell r="C70" t="str">
            <v xml:space="preserve">Petrol </v>
          </cell>
          <cell r="D70" t="str">
            <v>Transport - Car</v>
          </cell>
        </row>
        <row r="71">
          <cell r="A71" t="str">
            <v>MODERENTALS AUCKLAND</v>
          </cell>
          <cell r="B71" t="str">
            <v>Transport</v>
          </cell>
          <cell r="C71" t="str">
            <v xml:space="preserve">Petrol </v>
          </cell>
          <cell r="D71" t="str">
            <v>Transport - Rental Car</v>
          </cell>
        </row>
        <row r="72">
          <cell r="A72" t="str">
            <v>MyGoodnessGiftBaskets 6494158868</v>
          </cell>
          <cell r="B72" t="str">
            <v>Recreational &amp; Entertainment</v>
          </cell>
          <cell r="C72" t="str">
            <v>Entertainment</v>
          </cell>
          <cell r="D72" t="str">
            <v>Gift</v>
          </cell>
        </row>
        <row r="73">
          <cell r="A73" t="str">
            <v>MYLOTTO.CO.NZ NEW ZEALAND</v>
          </cell>
          <cell r="B73" t="str">
            <v>Recreational &amp; Entertainment</v>
          </cell>
          <cell r="C73" t="str">
            <v>Entertainment</v>
          </cell>
          <cell r="D73" t="str">
            <v>Donate</v>
          </cell>
        </row>
        <row r="74">
          <cell r="A74" t="str">
            <v>MYLOTTO-MOTO NEW ZEALAND</v>
          </cell>
          <cell r="B74" t="str">
            <v>Recreational &amp; Entertainment</v>
          </cell>
          <cell r="C74" t="str">
            <v>Entertainment</v>
          </cell>
          <cell r="D74" t="str">
            <v>Donate</v>
          </cell>
        </row>
        <row r="75">
          <cell r="A75" t="str">
            <v>MYRENT AUCKLAND</v>
          </cell>
          <cell r="B75" t="str">
            <v xml:space="preserve">8 Denning Place </v>
          </cell>
          <cell r="C75" t="str">
            <v xml:space="preserve">MyRentCharge </v>
          </cell>
          <cell r="D75" t="str">
            <v>MyRentCharge</v>
          </cell>
        </row>
        <row r="76">
          <cell r="A76" t="str">
            <v>NEW WORLD STONEFIELDS AUCKLAND NZ</v>
          </cell>
          <cell r="B76" t="str">
            <v>Groceries</v>
          </cell>
          <cell r="C76" t="str">
            <v>Grocery</v>
          </cell>
          <cell r="D76" t="str">
            <v>Grocery</v>
          </cell>
        </row>
        <row r="77">
          <cell r="A77" t="str">
            <v>NZAA ALBERT STREET AUCKLAND</v>
          </cell>
          <cell r="B77" t="str">
            <v>Other</v>
          </cell>
          <cell r="C77" t="str">
            <v xml:space="preserve">Other Expenses </v>
          </cell>
          <cell r="D77" t="str">
            <v>NZAA</v>
          </cell>
        </row>
        <row r="78">
          <cell r="A78" t="str">
            <v>OFFSHORE SERVICE MARGINS</v>
          </cell>
          <cell r="B78" t="str">
            <v>Other</v>
          </cell>
          <cell r="C78" t="str">
            <v xml:space="preserve">Other Expenses </v>
          </cell>
          <cell r="D78" t="str">
            <v>OFFSHORE SERVICE MARGINS</v>
          </cell>
        </row>
        <row r="79">
          <cell r="A79" t="str">
            <v>PAK N SAVE SYLVIA PARK AUCKLAND</v>
          </cell>
          <cell r="B79" t="str">
            <v>Groceries</v>
          </cell>
          <cell r="C79" t="str">
            <v>Grocery</v>
          </cell>
          <cell r="D79" t="str">
            <v>Grocery</v>
          </cell>
        </row>
        <row r="80">
          <cell r="A80" t="str">
            <v>Pakihi Marine Farms Papakura</v>
          </cell>
          <cell r="B80" t="str">
            <v>Groceries</v>
          </cell>
          <cell r="C80" t="str">
            <v>Grocery</v>
          </cell>
          <cell r="D80" t="str">
            <v>Grocery</v>
          </cell>
        </row>
        <row r="81">
          <cell r="A81" t="str">
            <v>PAPA TASTY KEBABS AUCKLAND</v>
          </cell>
          <cell r="B81" t="str">
            <v>Recreational &amp; Entertainment</v>
          </cell>
          <cell r="C81" t="str">
            <v xml:space="preserve">Dining Out </v>
          </cell>
          <cell r="D81" t="str">
            <v>Dinning</v>
          </cell>
        </row>
        <row r="82">
          <cell r="A82" t="str">
            <v>PARKMATE NZ AUCKLAND</v>
          </cell>
          <cell r="B82" t="str">
            <v>Transport</v>
          </cell>
          <cell r="C82" t="str">
            <v xml:space="preserve">Petrol </v>
          </cell>
          <cell r="D82" t="str">
            <v>Transport - Parking</v>
          </cell>
        </row>
        <row r="83">
          <cell r="A83" t="str">
            <v>PASTRAMI   RYE AUCKLAND</v>
          </cell>
          <cell r="B83" t="str">
            <v>Recreational &amp; Entertainment</v>
          </cell>
          <cell r="C83" t="str">
            <v xml:space="preserve">Dining Out </v>
          </cell>
          <cell r="D83" t="str">
            <v>Dinning</v>
          </cell>
        </row>
        <row r="84">
          <cell r="A84" t="str">
            <v>PATAGONIA CHOCOLATES QUEENSTOWN</v>
          </cell>
          <cell r="B84" t="str">
            <v>Recreational &amp; Entertainment</v>
          </cell>
          <cell r="C84" t="str">
            <v xml:space="preserve">Dining Out </v>
          </cell>
          <cell r="D84" t="str">
            <v>Dinning</v>
          </cell>
        </row>
        <row r="85">
          <cell r="A85" t="str">
            <v>PAYMENT RECEIVED THANK YOU</v>
          </cell>
          <cell r="B85" t="str">
            <v>Internal Transactions</v>
          </cell>
          <cell r="C85" t="str">
            <v>ASB</v>
          </cell>
          <cell r="D85" t="str">
            <v>PAYMENT RECEIVED THANK YOU</v>
          </cell>
        </row>
        <row r="86">
          <cell r="A86" t="str">
            <v>PAYPAL  AIRBNB  HMN5PT 35314369001</v>
          </cell>
          <cell r="B86" t="str">
            <v>Recreational &amp; Entertainment</v>
          </cell>
          <cell r="C86" t="str">
            <v xml:space="preserve">Travel </v>
          </cell>
          <cell r="D86" t="str">
            <v>Travel</v>
          </cell>
        </row>
        <row r="87">
          <cell r="A87" t="str">
            <v>PAYPAL  TEMU 35314369001</v>
          </cell>
          <cell r="B87" t="str">
            <v>Personal Care</v>
          </cell>
          <cell r="C87" t="str">
            <v>Clothing &amp; Footwear</v>
          </cell>
          <cell r="D87" t="str">
            <v>Shopping - Online</v>
          </cell>
        </row>
        <row r="88">
          <cell r="A88" t="str">
            <v>Philip Morris New Zealan Auckland</v>
          </cell>
          <cell r="B88" t="str">
            <v>Recreational &amp; Entertainment</v>
          </cell>
          <cell r="C88" t="str">
            <v>Entertainment</v>
          </cell>
          <cell r="D88" t="str">
            <v>Vape</v>
          </cell>
        </row>
        <row r="89">
          <cell r="A89" t="str">
            <v>PIKUNIKU AUCKLAND</v>
          </cell>
          <cell r="B89" t="str">
            <v>Recreational &amp; Entertainment</v>
          </cell>
          <cell r="C89" t="str">
            <v xml:space="preserve">Dining Out </v>
          </cell>
          <cell r="D89" t="str">
            <v>Dinning</v>
          </cell>
        </row>
        <row r="90">
          <cell r="A90" t="str">
            <v>PITA HOUSE PAKURANGA AUCKLAND</v>
          </cell>
          <cell r="B90" t="str">
            <v>Recreational &amp; Entertainment</v>
          </cell>
          <cell r="C90" t="str">
            <v xml:space="preserve">Dining Out </v>
          </cell>
          <cell r="D90" t="str">
            <v>Dinning</v>
          </cell>
        </row>
        <row r="91">
          <cell r="A91" t="str">
            <v>PONSONBY CENTRAL CARPARK AUCKLAND</v>
          </cell>
          <cell r="B91" t="str">
            <v>Recreational &amp; Entertainment</v>
          </cell>
          <cell r="C91" t="str">
            <v xml:space="preserve">Dining Out </v>
          </cell>
          <cell r="D91" t="str">
            <v>Dinning</v>
          </cell>
        </row>
        <row r="92">
          <cell r="A92" t="str">
            <v>PONSONBY FRIENDS AUCKLAND</v>
          </cell>
          <cell r="B92" t="str">
            <v>Recreational &amp; Entertainment</v>
          </cell>
          <cell r="C92" t="str">
            <v xml:space="preserve">Dining Out </v>
          </cell>
          <cell r="D92" t="str">
            <v>Dinning</v>
          </cell>
        </row>
        <row r="93">
          <cell r="A93" t="str">
            <v>Qldc Parking Queenstown</v>
          </cell>
          <cell r="B93" t="str">
            <v>Recreational &amp; Entertainment</v>
          </cell>
          <cell r="C93" t="str">
            <v xml:space="preserve">Travel </v>
          </cell>
          <cell r="D93" t="str">
            <v>Travel</v>
          </cell>
        </row>
        <row r="94">
          <cell r="A94" t="str">
            <v>READING CINEMAS WELLINGTON</v>
          </cell>
          <cell r="B94" t="str">
            <v>Recreational &amp; Entertainment</v>
          </cell>
          <cell r="C94" t="str">
            <v>Entertainment</v>
          </cell>
          <cell r="D94" t="str">
            <v>Cinema</v>
          </cell>
        </row>
        <row r="95">
          <cell r="A95" t="str">
            <v>RIPE DELI EPSOM AUCKLAND</v>
          </cell>
          <cell r="B95" t="str">
            <v>Recreational &amp; Entertainment</v>
          </cell>
          <cell r="C95" t="str">
            <v xml:space="preserve">Dining Out </v>
          </cell>
          <cell r="D95" t="str">
            <v>Dinning</v>
          </cell>
        </row>
        <row r="96">
          <cell r="A96" t="str">
            <v>RUAPEHU ALPINE LIFTS LTD MT RUAPEHU</v>
          </cell>
          <cell r="B96" t="str">
            <v>Recreational &amp; Entertainment</v>
          </cell>
          <cell r="C96" t="str">
            <v xml:space="preserve">Travel </v>
          </cell>
          <cell r="D96" t="str">
            <v>Travel</v>
          </cell>
        </row>
        <row r="97">
          <cell r="A97" t="str">
            <v>SCC10004               Au ckland     AK</v>
          </cell>
          <cell r="B97" t="str">
            <v>Recreational &amp; Entertainment</v>
          </cell>
          <cell r="C97" t="str">
            <v>Entertainment</v>
          </cell>
          <cell r="D97" t="str">
            <v>Gambling</v>
          </cell>
        </row>
        <row r="98">
          <cell r="A98" t="str">
            <v>SCC10005               Au ckland     AK</v>
          </cell>
          <cell r="B98" t="str">
            <v>Recreational &amp; Entertainment</v>
          </cell>
          <cell r="C98" t="str">
            <v>Entertainment</v>
          </cell>
          <cell r="D98" t="str">
            <v>Gambling</v>
          </cell>
        </row>
        <row r="99">
          <cell r="A99" t="str">
            <v>SHIRAZ PERSIAN RESTAUR SURFERS PARAD 96.33 AUSTRALIAN DOLLAR at a Conversion Rate of 0.9279 (NZ$103.81)</v>
          </cell>
          <cell r="B99" t="str">
            <v>Recreational &amp; Entertainment</v>
          </cell>
          <cell r="C99" t="str">
            <v xml:space="preserve">Dining Out </v>
          </cell>
          <cell r="D99" t="str">
            <v>Dinning</v>
          </cell>
        </row>
        <row r="100">
          <cell r="A100" t="str">
            <v>SKINNY AUCKLAND</v>
          </cell>
          <cell r="B100" t="str">
            <v>Telephone &amp; Internet</v>
          </cell>
          <cell r="C100" t="str">
            <v xml:space="preserve">Mobile phone </v>
          </cell>
          <cell r="D100" t="str">
            <v>Mobile</v>
          </cell>
        </row>
        <row r="101">
          <cell r="A101" t="str">
            <v>SMP Dominos  Surfers S Surfers Parad 15.23 AUSTRALIAN DOLLAR at a Conversion Rate of 0.9230 (NZ$16.50)</v>
          </cell>
          <cell r="B101" t="str">
            <v>Recreational &amp; Entertainment</v>
          </cell>
          <cell r="C101" t="str">
            <v xml:space="preserve">Dining Out </v>
          </cell>
          <cell r="D101" t="str">
            <v>Dinning</v>
          </cell>
        </row>
        <row r="102">
          <cell r="A102" t="str">
            <v>SOUL BAR AUCKLAND</v>
          </cell>
          <cell r="B102" t="str">
            <v>Recreational &amp; Entertainment</v>
          </cell>
          <cell r="C102" t="str">
            <v xml:space="preserve">Dining Out </v>
          </cell>
          <cell r="D102" t="str">
            <v>Dinning</v>
          </cell>
        </row>
        <row r="103">
          <cell r="A103" t="str">
            <v>SPRINT FIT AUCKLAND</v>
          </cell>
          <cell r="B103" t="str">
            <v>Recreational &amp; Entertainment</v>
          </cell>
          <cell r="C103" t="str">
            <v xml:space="preserve">Gym </v>
          </cell>
          <cell r="D103" t="str">
            <v>GYM</v>
          </cell>
        </row>
        <row r="104">
          <cell r="A104" t="str">
            <v>Sprint Fit Newton</v>
          </cell>
          <cell r="B104" t="str">
            <v>Recreational &amp; Entertainment</v>
          </cell>
          <cell r="C104" t="str">
            <v xml:space="preserve">Gym </v>
          </cell>
          <cell r="D104" t="str">
            <v>GYM</v>
          </cell>
        </row>
        <row r="105">
          <cell r="A105" t="str">
            <v>SQ  SAIGON BAGUETTE Surfers Parad 10.00 AUSTRALIAN DOLLAR at a Conversion Rate of 0.9225 (NZ$10.84)</v>
          </cell>
          <cell r="B105" t="str">
            <v>Recreational &amp; Entertainment</v>
          </cell>
          <cell r="C105" t="str">
            <v xml:space="preserve">Dining Out </v>
          </cell>
          <cell r="D105" t="str">
            <v>Dinning</v>
          </cell>
        </row>
        <row r="106">
          <cell r="A106" t="str">
            <v>SRI MAKHOTA MALAYSIAN AUCKLAND</v>
          </cell>
          <cell r="B106" t="str">
            <v>Recreational &amp; Entertainment</v>
          </cell>
          <cell r="C106" t="str">
            <v xml:space="preserve">Dining Out </v>
          </cell>
          <cell r="D106" t="str">
            <v>Dinning</v>
          </cell>
        </row>
        <row r="107">
          <cell r="A107" t="str">
            <v>STARBUCKS 00157 VANCOUVER BC 7.09 CANADIAN DOLLAR at a Conversion Rate of 0.8039 (NZ$8.82)</v>
          </cell>
          <cell r="B107" t="str">
            <v>Recreational &amp; Entertainment</v>
          </cell>
          <cell r="C107" t="str">
            <v xml:space="preserve">Dining Out </v>
          </cell>
          <cell r="D107" t="str">
            <v>Dinning</v>
          </cell>
        </row>
        <row r="108">
          <cell r="A108" t="str">
            <v>SURFERS PARADISE MID SURFERS PARAD 14.99 AUSTRALIAN DOLLAR at a Conversion Rate of 0.9282 (NZ$16.15)</v>
          </cell>
          <cell r="B108" t="str">
            <v>Recreational &amp; Entertainment</v>
          </cell>
          <cell r="C108" t="str">
            <v xml:space="preserve">Dining Out </v>
          </cell>
          <cell r="D108" t="str">
            <v>Dinning</v>
          </cell>
        </row>
        <row r="109">
          <cell r="A109" t="str">
            <v>TART BAKERY AUCKLAND</v>
          </cell>
          <cell r="B109" t="str">
            <v>Recreational &amp; Entertainment</v>
          </cell>
          <cell r="C109" t="str">
            <v xml:space="preserve">Dining Out </v>
          </cell>
          <cell r="D109" t="str">
            <v>Dinning</v>
          </cell>
        </row>
        <row r="110">
          <cell r="A110" t="str">
            <v>TGI FRIDAYS SURFERS P Surfers Parad 66.59 AUSTRALIAN DOLLAR at a Conversion Rate of 0.9280 (NZ$71.76)</v>
          </cell>
          <cell r="B110" t="str">
            <v>Recreational &amp; Entertainment</v>
          </cell>
          <cell r="C110" t="str">
            <v xml:space="preserve">Dining Out </v>
          </cell>
          <cell r="D110" t="str">
            <v>Dinning</v>
          </cell>
        </row>
        <row r="111">
          <cell r="A111" t="str">
            <v>THE CABBAGE TREE PAIHIA</v>
          </cell>
          <cell r="B111" t="str">
            <v>Recreational &amp; Entertainment</v>
          </cell>
          <cell r="C111" t="str">
            <v xml:space="preserve">Dining Out </v>
          </cell>
          <cell r="D111" t="str">
            <v>Dinning</v>
          </cell>
        </row>
        <row r="112">
          <cell r="A112" t="str">
            <v>THE LODGE BAR AUCKLAND</v>
          </cell>
          <cell r="B112" t="str">
            <v>Recreational &amp; Entertainment</v>
          </cell>
          <cell r="C112" t="str">
            <v xml:space="preserve">Dining Out </v>
          </cell>
          <cell r="D112" t="str">
            <v>Dinning</v>
          </cell>
        </row>
        <row r="113">
          <cell r="A113" t="str">
            <v>TOPDOG NUTRITION WAIRAU VALLEY</v>
          </cell>
          <cell r="B113" t="str">
            <v>Recreational &amp; Entertainment</v>
          </cell>
          <cell r="C113" t="str">
            <v xml:space="preserve">Gym </v>
          </cell>
          <cell r="D113" t="str">
            <v>GYM</v>
          </cell>
        </row>
        <row r="114">
          <cell r="A114" t="str">
            <v>TOWER INSURANCE - EIS 093692079</v>
          </cell>
          <cell r="B114" t="str">
            <v>Insurance</v>
          </cell>
          <cell r="C114" t="str">
            <v>Vehicle Insurance</v>
          </cell>
          <cell r="D114" t="str">
            <v>Vehicle Insurance</v>
          </cell>
        </row>
        <row r="115">
          <cell r="A115" t="str">
            <v>TSUJIRI AUCKLAND</v>
          </cell>
          <cell r="B115" t="str">
            <v>Recreational &amp; Entertainment</v>
          </cell>
          <cell r="C115" t="str">
            <v xml:space="preserve">Dining Out </v>
          </cell>
          <cell r="D115" t="str">
            <v>Dinning</v>
          </cell>
        </row>
        <row r="116">
          <cell r="A116" t="str">
            <v>Unichem Wynyard Pharmcy Auckland</v>
          </cell>
          <cell r="B116" t="str">
            <v>Medical</v>
          </cell>
          <cell r="C116" t="str">
            <v xml:space="preserve">Medical &amp; Health </v>
          </cell>
          <cell r="D116" t="str">
            <v>Medical</v>
          </cell>
        </row>
        <row r="117">
          <cell r="A117" t="str">
            <v>US MOBILE  US MOBILE WWW.USMOBILE. NY 9.07 US DOLLAR at a Conversion Rate of 0.6120 (NZ$14.82)</v>
          </cell>
          <cell r="B117" t="str">
            <v>Telephone &amp; Internet</v>
          </cell>
          <cell r="C117" t="str">
            <v xml:space="preserve">US Mobile </v>
          </cell>
          <cell r="D117" t="str">
            <v xml:space="preserve">US Mobile </v>
          </cell>
        </row>
        <row r="118">
          <cell r="A118" t="str">
            <v>US MOBILE  US MOBILE WWW.USMOBILE. NY 9.07 US DOLLAR at a Conversion Rate of 0.6212 (NZ$14.60)</v>
          </cell>
          <cell r="B118" t="str">
            <v>Telephone &amp; Internet</v>
          </cell>
          <cell r="C118" t="str">
            <v xml:space="preserve">US Mobile </v>
          </cell>
          <cell r="D118" t="str">
            <v xml:space="preserve">US Mobile </v>
          </cell>
        </row>
        <row r="119">
          <cell r="A119" t="str">
            <v>VICTORY CHRISTIAN CHURCH AUCKLAND</v>
          </cell>
          <cell r="B119" t="str">
            <v>Transport</v>
          </cell>
          <cell r="C119" t="str">
            <v xml:space="preserve">Petrol </v>
          </cell>
          <cell r="D119" t="str">
            <v>Transport - Parking</v>
          </cell>
        </row>
        <row r="120">
          <cell r="A120" t="str">
            <v>WAIRAKEI TERRACES TAUPO</v>
          </cell>
          <cell r="B120" t="str">
            <v>Recreational &amp; Entertainment</v>
          </cell>
          <cell r="C120" t="str">
            <v xml:space="preserve">Travel </v>
          </cell>
          <cell r="D120" t="str">
            <v>Travel</v>
          </cell>
        </row>
        <row r="121">
          <cell r="A121" t="str">
            <v>Washpod 06 Mt Wellington</v>
          </cell>
          <cell r="B121" t="str">
            <v>Recreational &amp; Entertainment</v>
          </cell>
          <cell r="C121" t="str">
            <v xml:space="preserve">Travel </v>
          </cell>
          <cell r="D121" t="str">
            <v>Travel</v>
          </cell>
        </row>
        <row r="122">
          <cell r="A122" t="str">
            <v>Watercare Online Remuera</v>
          </cell>
          <cell r="B122" t="str">
            <v xml:space="preserve">8 Denning Place </v>
          </cell>
          <cell r="C122" t="str">
            <v>Water</v>
          </cell>
          <cell r="D122" t="str">
            <v>Water</v>
          </cell>
        </row>
        <row r="123">
          <cell r="A123" t="str">
            <v>Watercare Services Ltd Remuera</v>
          </cell>
          <cell r="B123" t="str">
            <v xml:space="preserve">8 Denning Place </v>
          </cell>
          <cell r="C123" t="str">
            <v>Water</v>
          </cell>
          <cell r="D123" t="str">
            <v>Water</v>
          </cell>
        </row>
        <row r="124">
          <cell r="A124" t="str">
            <v>WILSON P27 FORT AUCKLAND</v>
          </cell>
          <cell r="B124" t="str">
            <v>Transport</v>
          </cell>
          <cell r="C124" t="str">
            <v xml:space="preserve">Petrol </v>
          </cell>
          <cell r="D124" t="str">
            <v>Transport - Parking</v>
          </cell>
        </row>
        <row r="125">
          <cell r="A125" t="str">
            <v>Witchery NZ - Newmarket Auckland</v>
          </cell>
          <cell r="B125" t="str">
            <v>Personal Care</v>
          </cell>
          <cell r="C125" t="str">
            <v>Clothing &amp; Footwear</v>
          </cell>
          <cell r="D125" t="str">
            <v>Shopping</v>
          </cell>
        </row>
        <row r="126">
          <cell r="A126" t="str">
            <v>WOOLWORTHS/GOLD COAST HWY SURFERS PDISE 20.61 AUSTRALIAN DOLLAR at a Conversion Rate of 0.9234 (NZ$22.32)</v>
          </cell>
          <cell r="B126" t="str">
            <v>Recreational &amp; Entertainment</v>
          </cell>
          <cell r="C126" t="str">
            <v xml:space="preserve">Dining Out </v>
          </cell>
          <cell r="D126" t="str">
            <v>Dinning</v>
          </cell>
        </row>
        <row r="127">
          <cell r="A127" t="str">
            <v>WOOLWORTHS/GOLD COAST HWY SURFERS PDISE 4.80 AUSTRALIAN DOLLAR at a Conversion Rate of 0.9266 (NZ$5.18)</v>
          </cell>
          <cell r="B127" t="str">
            <v>Recreational &amp; Entertainment</v>
          </cell>
          <cell r="C127" t="str">
            <v xml:space="preserve">Dining Out </v>
          </cell>
          <cell r="D127" t="str">
            <v>Dinning</v>
          </cell>
        </row>
        <row r="128">
          <cell r="A128" t="str">
            <v>www.aliexpress.com WWW.ALIEXPRES</v>
          </cell>
          <cell r="B128" t="str">
            <v>Personal Care</v>
          </cell>
          <cell r="C128" t="str">
            <v>Clothing &amp; Footwear</v>
          </cell>
          <cell r="D128" t="str">
            <v>Shopping - Online</v>
          </cell>
        </row>
        <row r="129">
          <cell r="A129" t="str">
            <v>Z Karaka Papakura</v>
          </cell>
          <cell r="B129" t="str">
            <v>Transport</v>
          </cell>
          <cell r="C129" t="str">
            <v xml:space="preserve">Petrol </v>
          </cell>
          <cell r="D129" t="str">
            <v>Transport - Car</v>
          </cell>
        </row>
        <row r="130">
          <cell r="A130" t="str">
            <v>ZLR MOBO MOGA Melbourne Air 18.25 AUSTRALIAN DOLLAR at a Conversion Rate of 0.9259 (NZ$19.71)</v>
          </cell>
          <cell r="B130" t="str">
            <v>Recreational &amp; Entertainment</v>
          </cell>
          <cell r="C130" t="str">
            <v>Entertainment</v>
          </cell>
          <cell r="D130" t="str">
            <v>Travel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J Alavi" refreshedDate="46067.771822800925" createdVersion="8" refreshedVersion="8" minRefreshableVersion="3" recordCount="4287" xr:uid="{29333670-D864-40ED-8C73-8385FE4D0787}">
  <cacheSource type="worksheet">
    <worksheetSource ref="A1:I1048576" sheet="All Banks FY2023-2024"/>
  </cacheSource>
  <cacheFields count="9">
    <cacheField name="Bank" numFmtId="0">
      <sharedItems containsBlank="1"/>
    </cacheField>
    <cacheField name="Type" numFmtId="0">
      <sharedItems containsBlank="1"/>
    </cacheField>
    <cacheField name="Account" numFmtId="0">
      <sharedItems containsBlank="1"/>
    </cacheField>
    <cacheField name="Date" numFmtId="0">
      <sharedItems containsNonDate="0" containsDate="1" containsString="0" containsBlank="1" minDate="2023-03-30T00:00:00" maxDate="2024-04-01T00:00:00"/>
    </cacheField>
    <cacheField name="Description" numFmtId="0">
      <sharedItems containsBlank="1"/>
    </cacheField>
    <cacheField name="Amount" numFmtId="0">
      <sharedItems containsString="0" containsBlank="1" containsNumber="1" minValue="-124799.81" maxValue="91398.45"/>
    </cacheField>
    <cacheField name="Categories" numFmtId="0">
      <sharedItems containsBlank="1" count="17">
        <s v="Groceries"/>
        <s v="Internal Transactions"/>
        <s v="24 Panorama Road "/>
        <s v="Recreational &amp; Entertainment"/>
        <s v="8 Denning Place "/>
        <s v="Other"/>
        <s v="Transport"/>
        <s v="Telephone &amp; Internet"/>
        <s v="Insurance"/>
        <s v="Personal Care"/>
        <s v="Medical"/>
        <s v="Income"/>
        <s v="5B Cleary Road "/>
        <s v="Saving"/>
        <s v="Mortgage"/>
        <s v="Loans and Liabilities"/>
        <m/>
      </sharedItems>
    </cacheField>
    <cacheField name="SubCategories" numFmtId="0">
      <sharedItems containsBlank="1" count="36">
        <s v="Grocery"/>
        <s v="ASB"/>
        <s v="Income"/>
        <s v="Entertainment"/>
        <s v="Water"/>
        <s v="Electricity &amp; Gas"/>
        <s v="Travel "/>
        <s v="Other Expenses "/>
        <s v="Dining Out "/>
        <s v="Petrol "/>
        <s v="Mobile phone "/>
        <s v="8Denning-HouseInsurance"/>
        <s v="Home Expense"/>
        <s v="US Mobile "/>
        <s v="Gym "/>
        <s v="Vehicle Insurance"/>
        <s v="AppleStorage"/>
        <s v="MyRentCharge "/>
        <s v="Clothing &amp; Footwear"/>
        <s v="Life Insurance"/>
        <s v="Medical &amp; Health "/>
        <s v="ANZ"/>
        <s v="Salary"/>
        <s v="Mortgage "/>
        <s v="KiwiBank"/>
        <s v="Health Insurance-SAM "/>
        <s v="Internet "/>
        <s v="Property Tax"/>
        <s v="Council Rates "/>
        <s v="Personal Care"/>
        <s v="Mortgage"/>
        <s v="Lump Sum Payment"/>
        <s v="Mortgage-5BCleary"/>
        <s v="House Insurance"/>
        <s v="8Denning-ContentsInsurance"/>
        <m/>
      </sharedItems>
    </cacheField>
    <cacheField name="DetailsCategories" numFmtId="0">
      <sharedItems containsBlank="1" count="57">
        <s v="Grocery"/>
        <s v="Internal "/>
        <s v="Rent"/>
        <s v="Event"/>
        <s v="Water"/>
        <s v="Electricity &amp; Gas"/>
        <s v="Travel"/>
        <s v="OFFSHORE SERVICE MARGINS"/>
        <s v="Dinning"/>
        <s v="Transport - Car"/>
        <s v="Mobile"/>
        <s v="8Denning-HouseInsurance"/>
        <s v="Home Expense"/>
        <s v="IRD"/>
        <s v="Transport - Fuel"/>
        <s v="US Mobile "/>
        <s v="PAYMENT RECEIVED THANK YOU"/>
        <s v="GYM"/>
        <s v="Vehicle Insurance"/>
        <s v="AppleStorage"/>
        <s v="MyRentCharge"/>
        <s v="Transport - Parking"/>
        <s v="Shopping - Online"/>
        <s v="Life Insurance"/>
        <s v="Transport - Rental Car"/>
        <s v="POST"/>
        <s v="Gift"/>
        <s v="Medical"/>
        <s v="Vape"/>
        <s v="Cinema"/>
        <s v="Shopping"/>
        <s v="NZAA"/>
        <s v="Personal"/>
        <s v="Transport -Taxi - Bus"/>
        <s v="Liquor"/>
        <s v="MJ"/>
        <s v="RePayment"/>
        <s v="Interest"/>
        <s v="SAM"/>
        <s v="Health Insurance-SAM "/>
        <s v="Internet "/>
        <s v="Property Tax"/>
        <s v="Saving"/>
        <s v="Council Rates "/>
        <s v="HairCut"/>
        <s v="Loan Expense"/>
        <s v="SHORTFALL"/>
        <s v="Mortgage-5BCleary"/>
        <s v="Makeup"/>
        <s v="House Insurance"/>
        <s v="8Denning-ContentsInsurance"/>
        <s v="MyRentCharge "/>
        <s v="Immigration"/>
        <m/>
        <s v="WITHDRAWAL" u="1"/>
        <s v="KiwiBank" u="1"/>
        <s v="Gambling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87">
  <r>
    <s v="ASB"/>
    <s v="Saving"/>
    <s v="12-3057-xxxxx-01"/>
    <d v="2023-04-02T00:00:00"/>
    <s v="FC12-3075-xxxx-02 StaffBidone MJ Alavi 64170"/>
    <n v="-511.37"/>
    <x v="0"/>
    <x v="0"/>
    <x v="0"/>
  </r>
  <r>
    <s v="ASB"/>
    <s v="Saving"/>
    <s v="12-3057-xxxxx-01"/>
    <d v="2023-04-04T00:00:00"/>
    <s v="MJ 8Denning TowerContent Insurance"/>
    <n v="48.35"/>
    <x v="1"/>
    <x v="1"/>
    <x v="1"/>
  </r>
  <r>
    <s v="ASB"/>
    <s v="Saving"/>
    <s v="12-3057-xxxxx-01"/>
    <d v="2023-04-04T00:00:00"/>
    <s v="MJ Apple Cloud Storage"/>
    <n v="0.97"/>
    <x v="1"/>
    <x v="1"/>
    <x v="1"/>
  </r>
  <r>
    <s v="ASB"/>
    <s v="Saving"/>
    <s v="12-3057-xxxxx-01"/>
    <d v="2023-04-05T00:00:00"/>
    <s v="MJ ANZ"/>
    <n v="258"/>
    <x v="1"/>
    <x v="1"/>
    <x v="1"/>
  </r>
  <r>
    <s v="ASB"/>
    <s v="Saving"/>
    <s v="12-3057-xxxxx-01"/>
    <d v="2023-04-05T00:00:00"/>
    <s v="TO CARD xxxx  THANK YOU"/>
    <n v="-93.1"/>
    <x v="1"/>
    <x v="1"/>
    <x v="1"/>
  </r>
  <r>
    <s v="ASB"/>
    <s v="Saving"/>
    <s v="12-3057-xxxxx-01"/>
    <d v="2023-04-06T00:00:00"/>
    <s v="FC38-9016-xxxx-00 Sam KiwiBank"/>
    <n v="-300.37"/>
    <x v="1"/>
    <x v="1"/>
    <x v="1"/>
  </r>
  <r>
    <s v="ASB"/>
    <s v="Saving"/>
    <s v="12-3057-xxxxx-01"/>
    <d v="2023-04-06T00:00:00"/>
    <s v="Water  MJ 8Denning"/>
    <n v="136.34"/>
    <x v="1"/>
    <x v="1"/>
    <x v="1"/>
  </r>
  <r>
    <s v="ASB"/>
    <s v="Saving"/>
    <s v="12-3057-xxxxx-01"/>
    <d v="2023-04-06T00:00:00"/>
    <s v="MJ Mobile US Phone Sam"/>
    <n v="7.52"/>
    <x v="1"/>
    <x v="1"/>
    <x v="1"/>
  </r>
  <r>
    <s v="ASB"/>
    <s v="Saving"/>
    <s v="12-3057-xxxxx-01"/>
    <d v="2023-04-06T00:00:00"/>
    <s v="TO CARD xxxx  THANK YOU"/>
    <n v="-0.41"/>
    <x v="1"/>
    <x v="1"/>
    <x v="1"/>
  </r>
  <r>
    <s v="ASB"/>
    <s v="Saving"/>
    <s v="12-3057-xxxxx-01"/>
    <d v="2023-04-08T00:00:00"/>
    <s v="TO CARD xxxx  THANK YOU"/>
    <n v="-79.790000000000006"/>
    <x v="1"/>
    <x v="1"/>
    <x v="1"/>
  </r>
  <r>
    <s v="ASB"/>
    <s v="Saving"/>
    <s v="12-3057-xxxxx-01"/>
    <d v="2023-04-10T00:00:00"/>
    <s v="TO CARD xxxx  THANK YOU"/>
    <n v="-51.72"/>
    <x v="1"/>
    <x v="1"/>
    <x v="1"/>
  </r>
  <r>
    <s v="ASB"/>
    <s v="Saving"/>
    <s v="12-3057-xxxxx-01"/>
    <d v="2023-04-10T00:00:00"/>
    <s v="TO CARD xxxx  THANK YOU"/>
    <n v="-27.09"/>
    <x v="1"/>
    <x v="1"/>
    <x v="1"/>
  </r>
  <r>
    <s v="ASB"/>
    <s v="Saving"/>
    <s v="12-3057-xxxxx-01"/>
    <d v="2023-04-11T00:00:00"/>
    <s v="TO CARD xxxx  THANK YOU"/>
    <n v="-17.93"/>
    <x v="1"/>
    <x v="1"/>
    <x v="1"/>
  </r>
  <r>
    <s v="ASB"/>
    <s v="Saving"/>
    <s v="12-3057-xxxxx-01"/>
    <d v="2023-04-12T00:00:00"/>
    <s v="akps3180168l 24PanoramaRo Rent myRent"/>
    <n v="816.33"/>
    <x v="2"/>
    <x v="2"/>
    <x v="2"/>
  </r>
  <r>
    <s v="ASB"/>
    <s v="Saving"/>
    <s v="12-3057-xxxxx-01"/>
    <d v="2023-04-12T00:00:00"/>
    <s v="TO CARD xxxx  THANK YOU"/>
    <n v="-17.440000000000001"/>
    <x v="1"/>
    <x v="1"/>
    <x v="1"/>
  </r>
  <r>
    <s v="ASB"/>
    <s v="Saving"/>
    <s v="12-3057-xxxxx-01"/>
    <d v="2023-04-12T00:00:00"/>
    <s v="FC38-9016-xxxx-00 Sam KiwiBank"/>
    <n v="-1151.95"/>
    <x v="1"/>
    <x v="1"/>
    <x v="1"/>
  </r>
  <r>
    <s v="ASB"/>
    <s v="Saving"/>
    <s v="12-3057-xxxxx-01"/>
    <d v="2023-04-12T00:00:00"/>
    <s v="FC12-3075-xxxx-02 StaffBidone MJ Alavi 64170"/>
    <n v="-75.97"/>
    <x v="0"/>
    <x v="0"/>
    <x v="0"/>
  </r>
  <r>
    <s v="ASB"/>
    <s v="Saving"/>
    <s v="12-3057-xxxxx-01"/>
    <d v="2023-04-13T00:00:00"/>
    <s v="FC12-3075-xxxx-02 StaffBidone MJ Alavi 64170"/>
    <n v="-66.16"/>
    <x v="0"/>
    <x v="0"/>
    <x v="0"/>
  </r>
  <r>
    <s v="ASB"/>
    <s v="Saving"/>
    <s v="12-3057-xxxxx-01"/>
    <d v="2023-04-13T00:00:00"/>
    <s v="AIA Insurance SamMJ"/>
    <n v="33.619999999999997"/>
    <x v="1"/>
    <x v="1"/>
    <x v="1"/>
  </r>
  <r>
    <s v="ASB"/>
    <s v="Saving"/>
    <s v="12-3057-xxxxx-01"/>
    <d v="2023-04-13T00:00:00"/>
    <s v="TO CARD xxxx  THANK YOU"/>
    <n v="-0.95"/>
    <x v="1"/>
    <x v="1"/>
    <x v="1"/>
  </r>
  <r>
    <s v="ASB"/>
    <s v="Saving"/>
    <s v="12-3057-xxxxx-01"/>
    <d v="2023-04-14T00:00:00"/>
    <s v="mam dad ticket perth"/>
    <n v="112.45"/>
    <x v="1"/>
    <x v="1"/>
    <x v="1"/>
  </r>
  <r>
    <s v="ASB"/>
    <s v="Saving"/>
    <s v="12-3057-xxxxx-01"/>
    <d v="2023-04-14T00:00:00"/>
    <s v="Mobile MJ Skinny"/>
    <n v="7.81"/>
    <x v="1"/>
    <x v="1"/>
    <x v="1"/>
  </r>
  <r>
    <s v="ASB"/>
    <s v="Saving"/>
    <s v="12-3057-xxxxx-01"/>
    <d v="2023-04-15T00:00:00"/>
    <s v="FC12-3017-0491145-51 bowlingMJ"/>
    <n v="-92.2"/>
    <x v="3"/>
    <x v="3"/>
    <x v="3"/>
  </r>
  <r>
    <s v="ASB"/>
    <s v="Saving"/>
    <s v="12-3057-xxxxx-01"/>
    <d v="2023-04-15T00:00:00"/>
    <s v="TO CARD xxxx  THANK YOU"/>
    <n v="-108.57"/>
    <x v="1"/>
    <x v="1"/>
    <x v="1"/>
  </r>
  <r>
    <s v="ASB"/>
    <s v="Saving"/>
    <s v="12-3057-xxxxx-01"/>
    <d v="2023-04-15T00:00:00"/>
    <s v="TO CARD xxxx  THANK YOU"/>
    <n v="-29.08"/>
    <x v="1"/>
    <x v="1"/>
    <x v="1"/>
  </r>
  <r>
    <s v="ASB"/>
    <s v="Saving"/>
    <s v="12-3057-xxxxx-01"/>
    <d v="2023-04-15T00:00:00"/>
    <s v="TO CARD xxxx  THANK YOU"/>
    <n v="-9.65"/>
    <x v="1"/>
    <x v="1"/>
    <x v="1"/>
  </r>
  <r>
    <s v="ASB"/>
    <s v="Saving"/>
    <s v="12-3057-xxxxx-01"/>
    <d v="2023-04-15T00:00:00"/>
    <s v="TO CARD xxxx  THANK YOU"/>
    <n v="-16.059999999999999"/>
    <x v="1"/>
    <x v="1"/>
    <x v="1"/>
  </r>
  <r>
    <s v="ASB"/>
    <s v="Saving"/>
    <s v="12-3057-xxxxx-01"/>
    <d v="2023-04-16T00:00:00"/>
    <s v="TO CARD xxxx  THANK YOU"/>
    <n v="-0.6"/>
    <x v="1"/>
    <x v="1"/>
    <x v="1"/>
  </r>
  <r>
    <s v="ASB"/>
    <s v="Saving"/>
    <s v="12-3057-xxxxx-01"/>
    <d v="2023-04-18T00:00:00"/>
    <s v="MJ 8Denning TowerHouse Insurance"/>
    <n v="96.02"/>
    <x v="1"/>
    <x v="1"/>
    <x v="1"/>
  </r>
  <r>
    <s v="ASB"/>
    <s v="Saving"/>
    <s v="12-3057-xxxxx-01"/>
    <d v="2023-04-18T00:00:00"/>
    <s v="MJ 5B Tower H&amp;C Insurance"/>
    <n v="74.680000000000007"/>
    <x v="1"/>
    <x v="1"/>
    <x v="1"/>
  </r>
  <r>
    <s v="ASB"/>
    <s v="Saving"/>
    <s v="12-3057-xxxxx-01"/>
    <d v="2023-04-18T00:00:00"/>
    <s v="24 Panorama Tower H&amp;C Insurance"/>
    <n v="143.81"/>
    <x v="1"/>
    <x v="1"/>
    <x v="1"/>
  </r>
  <r>
    <s v="ASB"/>
    <s v="Saving"/>
    <s v="12-3057-xxxxx-01"/>
    <d v="2023-04-19T00:00:00"/>
    <s v="TO CARD xxxx  THANK YOU"/>
    <n v="-248.94"/>
    <x v="1"/>
    <x v="1"/>
    <x v="1"/>
  </r>
  <r>
    <s v="ASB"/>
    <s v="Saving"/>
    <s v="12-3057-xxxxx-01"/>
    <d v="2023-04-20T00:00:00"/>
    <s v="Electricity ContactEnrgy MJ 8Denning"/>
    <n v="168.69"/>
    <x v="1"/>
    <x v="1"/>
    <x v="1"/>
  </r>
  <r>
    <s v="ASB"/>
    <s v="Saving"/>
    <s v="12-3057-xxxxx-01"/>
    <d v="2023-04-20T00:00:00"/>
    <s v="MJ ANZ"/>
    <n v="1096.19"/>
    <x v="1"/>
    <x v="1"/>
    <x v="1"/>
  </r>
  <r>
    <s v="ASB"/>
    <s v="Saving"/>
    <s v="12-3057-xxxxx-01"/>
    <d v="2023-04-20T00:00:00"/>
    <s v="queenstown"/>
    <n v="792.22"/>
    <x v="1"/>
    <x v="1"/>
    <x v="1"/>
  </r>
  <r>
    <s v="ASB"/>
    <s v="Saving"/>
    <s v="12-3057-xxxxx-01"/>
    <d v="2023-04-20T00:00:00"/>
    <s v="TO CARD xxxx  THANK YOU"/>
    <n v="-634.28"/>
    <x v="1"/>
    <x v="1"/>
    <x v="1"/>
  </r>
  <r>
    <s v="ASB"/>
    <s v="Saving"/>
    <s v="12-3057-xxxxx-01"/>
    <d v="2023-04-20T00:00:00"/>
    <s v="FC12-3075-xxxx-02 StaffBidone MJ Alavi 64170"/>
    <n v="-73.489999999999995"/>
    <x v="0"/>
    <x v="0"/>
    <x v="0"/>
  </r>
  <r>
    <s v="ASB"/>
    <s v="Saving"/>
    <s v="12-3057-xxxxx-01"/>
    <d v="2023-04-20T00:00:00"/>
    <s v="TO CARD xxxx  THANK YOU"/>
    <n v="-4.16"/>
    <x v="1"/>
    <x v="1"/>
    <x v="1"/>
  </r>
  <r>
    <s v="ASB"/>
    <s v="Saving"/>
    <s v="12-3057-xxxxx-01"/>
    <d v="2023-04-22T00:00:00"/>
    <s v="TO CARD xxxx  THANK YOU"/>
    <n v="-9.09"/>
    <x v="1"/>
    <x v="1"/>
    <x v="1"/>
  </r>
  <r>
    <s v="ASB"/>
    <s v="Saving"/>
    <s v="12-3057-xxxxx-01"/>
    <d v="2023-04-24T00:00:00"/>
    <s v="TO CARD xxxx  THANK YOU"/>
    <n v="-16.21"/>
    <x v="1"/>
    <x v="1"/>
    <x v="1"/>
  </r>
  <r>
    <s v="ASB"/>
    <s v="Saving"/>
    <s v="12-3057-xxxxx-01"/>
    <d v="2023-04-24T00:00:00"/>
    <s v="MJ ASB NetFlix 8Denning"/>
    <n v="17.170000000000002"/>
    <x v="1"/>
    <x v="1"/>
    <x v="1"/>
  </r>
  <r>
    <s v="ASB"/>
    <s v="Saving"/>
    <s v="12-3057-xxxxx-01"/>
    <d v="2023-04-24T00:00:00"/>
    <s v="Mobile Sam Skinny"/>
    <n v="20.03"/>
    <x v="1"/>
    <x v="1"/>
    <x v="1"/>
  </r>
  <r>
    <s v="ASB"/>
    <s v="Saving"/>
    <s v="12-3057-xxxxx-01"/>
    <d v="2023-04-24T00:00:00"/>
    <s v="EFTPOS"/>
    <n v="-2.69"/>
    <x v="0"/>
    <x v="0"/>
    <x v="0"/>
  </r>
  <r>
    <s v="ASB"/>
    <s v="Saving"/>
    <s v="12-3057-xxxxx-01"/>
    <d v="2023-04-26T00:00:00"/>
    <s v="D/D xxxx-03 WATERCARE"/>
    <n v="-0.62"/>
    <x v="4"/>
    <x v="4"/>
    <x v="4"/>
  </r>
  <r>
    <s v="ASB"/>
    <s v="Saving"/>
    <s v="12-3057-xxxxx-01"/>
    <d v="2023-04-27T00:00:00"/>
    <s v="MJ ANZ"/>
    <n v="1184.25"/>
    <x v="1"/>
    <x v="1"/>
    <x v="1"/>
  </r>
  <r>
    <s v="ASB"/>
    <s v="Saving"/>
    <s v="12-3057-xxxxx-01"/>
    <d v="2023-04-27T00:00:00"/>
    <s v="TO CARD xxxx  THANK YOU"/>
    <n v="-554.52"/>
    <x v="1"/>
    <x v="1"/>
    <x v="1"/>
  </r>
  <r>
    <s v="ASB"/>
    <s v="Saving"/>
    <s v="12-3057-xxxxx-01"/>
    <d v="2023-04-27T00:00:00"/>
    <s v="akp65110y3cb 24PanoramaRo Rent myRent"/>
    <n v="1533.46"/>
    <x v="2"/>
    <x v="2"/>
    <x v="2"/>
  </r>
  <r>
    <s v="ASB"/>
    <s v="Saving"/>
    <s v="12-3057-xxxxx-01"/>
    <d v="2023-04-27T00:00:00"/>
    <s v="FC38-9016-xxxx-00 Sam KiwiBank"/>
    <n v="-410.32"/>
    <x v="1"/>
    <x v="1"/>
    <x v="1"/>
  </r>
  <r>
    <s v="ASB"/>
    <s v="Saving"/>
    <s v="12-3057-xxxxx-01"/>
    <d v="2023-04-27T00:00:00"/>
    <s v="TO CARD xxxx  THANK YOU"/>
    <n v="-97.07"/>
    <x v="1"/>
    <x v="1"/>
    <x v="1"/>
  </r>
  <r>
    <s v="ASB"/>
    <s v="Saving"/>
    <s v="12-3057-xxxxx-01"/>
    <d v="2023-04-28T00:00:00"/>
    <s v="TO CARD xxxx  THANK YOU"/>
    <n v="-5.31"/>
    <x v="1"/>
    <x v="1"/>
    <x v="1"/>
  </r>
  <r>
    <s v="ASB"/>
    <s v="Saving"/>
    <s v="12-3057-xxxxx-01"/>
    <d v="2023-04-28T00:00:00"/>
    <s v="TO CARD xxxx  THANK YOU"/>
    <n v="-13.53"/>
    <x v="1"/>
    <x v="1"/>
    <x v="1"/>
  </r>
  <r>
    <s v="ASB"/>
    <s v="Saving"/>
    <s v="12-3057-xxxxx-01"/>
    <d v="2023-04-28T00:00:00"/>
    <s v="FC01-1839-xxxx-01 819444DpsA2A Contact Ener 501461545"/>
    <n v="-134.4"/>
    <x v="4"/>
    <x v="5"/>
    <x v="5"/>
  </r>
  <r>
    <s v="ASB"/>
    <s v="Saving"/>
    <s v="12-3057-xxxxx-01"/>
    <d v="2023-04-30T00:00:00"/>
    <s v="TO CARD xxxx  THANK YOU"/>
    <n v="-18.739999999999998"/>
    <x v="1"/>
    <x v="1"/>
    <x v="1"/>
  </r>
  <r>
    <s v="ASB"/>
    <s v="Saving"/>
    <s v="12-3057-xxxxx-01"/>
    <d v="2023-05-01T00:00:00"/>
    <s v="TO CARD xxxx  THANK YOU"/>
    <n v="-1.54"/>
    <x v="1"/>
    <x v="1"/>
    <x v="1"/>
  </r>
  <r>
    <s v="ASB"/>
    <s v="Saving"/>
    <s v="12-3057-xxxxx-01"/>
    <d v="2023-05-02T00:00:00"/>
    <s v="TO CARD xxxx  THANK YOU"/>
    <n v="-48.27"/>
    <x v="1"/>
    <x v="1"/>
    <x v="1"/>
  </r>
  <r>
    <s v="ASB"/>
    <s v="Saving"/>
    <s v="12-3057-xxxxx-01"/>
    <d v="2023-05-03T00:00:00"/>
    <s v="MJ ANZ"/>
    <n v="260.45"/>
    <x v="1"/>
    <x v="1"/>
    <x v="1"/>
  </r>
  <r>
    <s v="ASB"/>
    <s v="Saving"/>
    <s v="12-3057-xxxxx-01"/>
    <d v="2023-05-04T00:00:00"/>
    <s v="TO CARD xxxx  THANK YOU"/>
    <n v="-102.36"/>
    <x v="1"/>
    <x v="1"/>
    <x v="1"/>
  </r>
  <r>
    <s v="ASB"/>
    <s v="Saving"/>
    <s v="12-3057-xxxxx-01"/>
    <d v="2023-05-04T00:00:00"/>
    <s v="MJ 8Denning TowerContent Insurance"/>
    <n v="47.35"/>
    <x v="1"/>
    <x v="1"/>
    <x v="1"/>
  </r>
  <r>
    <s v="ASB"/>
    <s v="Saving"/>
    <s v="12-3057-xxxxx-01"/>
    <d v="2023-05-04T00:00:00"/>
    <s v="MJ Apple Cloud Storage"/>
    <n v="15.09"/>
    <x v="1"/>
    <x v="1"/>
    <x v="1"/>
  </r>
  <r>
    <s v="ASB"/>
    <s v="Saving"/>
    <s v="12-3057-xxxxx-01"/>
    <d v="2023-05-04T00:00:00"/>
    <s v="TO CARD xxxx  THANK YOU"/>
    <n v="-23.73"/>
    <x v="1"/>
    <x v="1"/>
    <x v="1"/>
  </r>
  <r>
    <s v="ASB"/>
    <s v="Saving"/>
    <s v="12-3057-xxxxx-01"/>
    <d v="2023-05-04T00:00:00"/>
    <s v="FC38-9016-xxxx-00 Sam KiwiBank"/>
    <n v="-528.67999999999995"/>
    <x v="1"/>
    <x v="1"/>
    <x v="1"/>
  </r>
  <r>
    <s v="ASB"/>
    <s v="Saving"/>
    <s v="12-3057-xxxxx-01"/>
    <d v="2023-05-04T00:00:00"/>
    <s v="TO CARD xxxx  THANK YOU"/>
    <n v="-67.45"/>
    <x v="1"/>
    <x v="1"/>
    <x v="1"/>
  </r>
  <r>
    <s v="ASB"/>
    <s v="Saving"/>
    <s v="12-3057-xxxxx-01"/>
    <d v="2023-05-05T00:00:00"/>
    <s v="TO CARD xxxx  THANK YOU"/>
    <n v="-43.75"/>
    <x v="1"/>
    <x v="1"/>
    <x v="1"/>
  </r>
  <r>
    <s v="ASB"/>
    <s v="Saving"/>
    <s v="12-3057-xxxxx-01"/>
    <d v="2023-05-06T00:00:00"/>
    <s v="TO CARD xxxx  THANK YOU"/>
    <n v="-39.450000000000003"/>
    <x v="1"/>
    <x v="1"/>
    <x v="1"/>
  </r>
  <r>
    <s v="ASB"/>
    <s v="Saving"/>
    <s v="12-3057-xxxxx-01"/>
    <d v="2023-05-08T00:00:00"/>
    <s v="TO CARD xxxx  THANK YOU"/>
    <n v="-4.25"/>
    <x v="1"/>
    <x v="1"/>
    <x v="1"/>
  </r>
  <r>
    <s v="ASB"/>
    <s v="Saving"/>
    <s v="12-3057-xxxxx-01"/>
    <d v="2023-05-08T00:00:00"/>
    <s v="Water  MJ 8Denning"/>
    <n v="107.14"/>
    <x v="1"/>
    <x v="1"/>
    <x v="1"/>
  </r>
  <r>
    <s v="ASB"/>
    <s v="Saving"/>
    <s v="12-3057-xxxxx-01"/>
    <d v="2023-05-08T00:00:00"/>
    <s v="MJ Mobile US Phone Sam"/>
    <n v="1.0900000000000001"/>
    <x v="1"/>
    <x v="1"/>
    <x v="1"/>
  </r>
  <r>
    <s v="ASB"/>
    <s v="Saving"/>
    <s v="12-3057-xxxxx-01"/>
    <d v="2023-05-08T00:00:00"/>
    <s v="FC12-3075-xxxx-02 StaffBidone MJ Alavi 64170"/>
    <n v="-171.26"/>
    <x v="0"/>
    <x v="0"/>
    <x v="0"/>
  </r>
  <r>
    <s v="ASB"/>
    <s v="Saving"/>
    <s v="12-3057-xxxxx-01"/>
    <d v="2023-05-09T00:00:00"/>
    <s v="TO CARD xxxx  THANK YOU"/>
    <n v="-29.77"/>
    <x v="1"/>
    <x v="1"/>
    <x v="1"/>
  </r>
  <r>
    <s v="ASB"/>
    <s v="Saving"/>
    <s v="12-3057-xxxxx-01"/>
    <d v="2023-05-09T00:00:00"/>
    <s v="TO CARD xxxx  THANK YOU"/>
    <n v="-49.21"/>
    <x v="1"/>
    <x v="1"/>
    <x v="1"/>
  </r>
  <r>
    <s v="ASB"/>
    <s v="Saving"/>
    <s v="12-3057-xxxxx-01"/>
    <d v="2023-05-10T00:00:00"/>
    <s v="akpi80505007 24PanoramaRo Rent myRent"/>
    <n v="1835.86"/>
    <x v="2"/>
    <x v="2"/>
    <x v="2"/>
  </r>
  <r>
    <s v="ASB"/>
    <s v="Saving"/>
    <s v="12-3057-xxxxx-01"/>
    <d v="2023-05-10T00:00:00"/>
    <s v="FC38-9016-xxxx-00 Sam KiwiBank"/>
    <n v="-851.51"/>
    <x v="1"/>
    <x v="1"/>
    <x v="1"/>
  </r>
  <r>
    <s v="ASB"/>
    <s v="Saving"/>
    <s v="12-3057-xxxxx-01"/>
    <d v="2023-05-10T00:00:00"/>
    <s v="FC12-3075-xxxx-02 StaffBidone MJ Alavi 64170"/>
    <n v="-373.56"/>
    <x v="0"/>
    <x v="0"/>
    <x v="0"/>
  </r>
  <r>
    <s v="ASB"/>
    <s v="Saving"/>
    <s v="12-3057-xxxxx-01"/>
    <d v="2023-05-11T00:00:00"/>
    <s v="mam dad ticket perth"/>
    <n v="143.87"/>
    <x v="1"/>
    <x v="1"/>
    <x v="1"/>
  </r>
  <r>
    <s v="ASB"/>
    <s v="Saving"/>
    <s v="12-3057-xxxxx-01"/>
    <d v="2023-05-12T00:00:00"/>
    <s v="TO CARD xxxx  THANK YOU"/>
    <n v="-46.52"/>
    <x v="1"/>
    <x v="1"/>
    <x v="1"/>
  </r>
  <r>
    <s v="ASB"/>
    <s v="Saving"/>
    <s v="12-3057-xxxxx-01"/>
    <d v="2023-05-12T00:00:00"/>
    <s v="Mobile MJ Skinny"/>
    <n v="5.05"/>
    <x v="1"/>
    <x v="1"/>
    <x v="1"/>
  </r>
  <r>
    <s v="ASB"/>
    <s v="Saving"/>
    <s v="12-3057-xxxxx-01"/>
    <d v="2023-05-12T00:00:00"/>
    <s v="TO CARD xxxx  THANK YOU"/>
    <n v="-4.3600000000000003"/>
    <x v="1"/>
    <x v="1"/>
    <x v="1"/>
  </r>
  <r>
    <s v="ASB"/>
    <s v="Saving"/>
    <s v="12-3057-xxxxx-01"/>
    <d v="2023-05-15T00:00:00"/>
    <s v="AIA Insurance SamMJ"/>
    <n v="51.34"/>
    <x v="1"/>
    <x v="1"/>
    <x v="1"/>
  </r>
  <r>
    <s v="ASB"/>
    <s v="Saving"/>
    <s v="12-3057-xxxxx-01"/>
    <d v="2023-05-15T00:00:00"/>
    <m/>
    <n v="176.64"/>
    <x v="1"/>
    <x v="1"/>
    <x v="1"/>
  </r>
  <r>
    <s v="ASB"/>
    <s v="Saving"/>
    <s v="12-3057-xxxxx-01"/>
    <d v="2023-05-15T00:00:00"/>
    <s v="TO CARD xxxx  THANK YOU"/>
    <n v="-124.56"/>
    <x v="1"/>
    <x v="1"/>
    <x v="1"/>
  </r>
  <r>
    <s v="ASB"/>
    <s v="Saving"/>
    <s v="12-3057-xxxxx-01"/>
    <d v="2023-05-17T00:00:00"/>
    <s v="TO CARD xxxx  THANK YOU"/>
    <n v="-76.900000000000006"/>
    <x v="1"/>
    <x v="1"/>
    <x v="1"/>
  </r>
  <r>
    <s v="ASB"/>
    <s v="Saving"/>
    <s v="12-3057-xxxxx-01"/>
    <d v="2023-05-18T00:00:00"/>
    <s v="MJ 8Denning TowerHouse Insurance"/>
    <n v="79.66"/>
    <x v="1"/>
    <x v="1"/>
    <x v="1"/>
  </r>
  <r>
    <s v="ASB"/>
    <s v="Saving"/>
    <s v="12-3057-xxxxx-01"/>
    <d v="2023-05-18T00:00:00"/>
    <s v="MJ 5B Tower H&amp;C Insurance"/>
    <n v="42.77"/>
    <x v="1"/>
    <x v="1"/>
    <x v="1"/>
  </r>
  <r>
    <s v="ASB"/>
    <s v="Saving"/>
    <s v="12-3057-xxxxx-01"/>
    <d v="2023-05-18T00:00:00"/>
    <s v="24 Panorama Tower H&amp;C Insurance"/>
    <n v="94.4"/>
    <x v="1"/>
    <x v="1"/>
    <x v="1"/>
  </r>
  <r>
    <s v="ASB"/>
    <s v="Saving"/>
    <s v="12-3057-xxxxx-01"/>
    <d v="2023-05-19T00:00:00"/>
    <s v="TO CARD xxxx  THANK YOU"/>
    <n v="-13.4"/>
    <x v="1"/>
    <x v="1"/>
    <x v="1"/>
  </r>
  <r>
    <s v="ASB"/>
    <s v="Saving"/>
    <s v="12-3057-xxxxx-01"/>
    <d v="2023-05-19T00:00:00"/>
    <s v="FC01-1839-xxxx-01 834949DpsA2A Contact Ener 501461545"/>
    <n v="-104.84"/>
    <x v="4"/>
    <x v="5"/>
    <x v="5"/>
  </r>
  <r>
    <s v="ASB"/>
    <s v="Saving"/>
    <s v="12-3057-xxxxx-01"/>
    <d v="2023-05-19T00:00:00"/>
    <m/>
    <n v="122.06"/>
    <x v="1"/>
    <x v="1"/>
    <x v="1"/>
  </r>
  <r>
    <s v="ASB"/>
    <s v="Saving"/>
    <s v="12-3057-xxxxx-01"/>
    <d v="2023-05-20T00:00:00"/>
    <s v="TO CARD xxxx  THANK YOU"/>
    <n v="-1.99"/>
    <x v="1"/>
    <x v="1"/>
    <x v="1"/>
  </r>
  <r>
    <s v="ASB"/>
    <s v="Saving"/>
    <s v="12-3057-xxxxx-01"/>
    <d v="2023-05-20T00:00:00"/>
    <s v="FC12-3075-xxxx-02 StaffBidone MJ Alavi 64170"/>
    <n v="-14.66"/>
    <x v="0"/>
    <x v="0"/>
    <x v="0"/>
  </r>
  <r>
    <s v="ASB"/>
    <s v="Saving"/>
    <s v="12-3057-xxxxx-01"/>
    <d v="2023-05-21T00:00:00"/>
    <s v="TO CARD xxxx  THANK YOU"/>
    <n v="-75.08"/>
    <x v="1"/>
    <x v="1"/>
    <x v="1"/>
  </r>
  <r>
    <s v="ASB"/>
    <s v="Saving"/>
    <s v="12-3057-xxxxx-01"/>
    <d v="2023-05-22T00:00:00"/>
    <s v="Electricity ContactEnrgy MJ 8Denning"/>
    <n v="56.28"/>
    <x v="1"/>
    <x v="1"/>
    <x v="1"/>
  </r>
  <r>
    <s v="ASB"/>
    <s v="Saving"/>
    <s v="12-3057-xxxxx-01"/>
    <d v="2023-05-22T00:00:00"/>
    <s v="Mobile Sam Skinny"/>
    <n v="22.41"/>
    <x v="1"/>
    <x v="1"/>
    <x v="1"/>
  </r>
  <r>
    <s v="ASB"/>
    <s v="Saving"/>
    <s v="12-3057-xxxxx-01"/>
    <d v="2023-05-22T00:00:00"/>
    <s v="TO CARD xxxx  THANK YOU"/>
    <n v="-209.1"/>
    <x v="1"/>
    <x v="1"/>
    <x v="1"/>
  </r>
  <r>
    <s v="ASB"/>
    <s v="Saving"/>
    <s v="12-3057-xxxxx-01"/>
    <d v="2023-05-23T00:00:00"/>
    <s v="D/D xxxx-03 WATERCARE"/>
    <n v="-58.46"/>
    <x v="4"/>
    <x v="4"/>
    <x v="4"/>
  </r>
  <r>
    <s v="ASB"/>
    <s v="Saving"/>
    <s v="12-3057-xxxxx-01"/>
    <d v="2023-05-23T00:00:00"/>
    <s v="MJ ANZ"/>
    <n v="24.9"/>
    <x v="1"/>
    <x v="1"/>
    <x v="1"/>
  </r>
  <r>
    <s v="ASB"/>
    <s v="Saving"/>
    <s v="12-3057-xxxxx-01"/>
    <d v="2023-05-23T00:00:00"/>
    <m/>
    <n v="5.33"/>
    <x v="1"/>
    <x v="1"/>
    <x v="1"/>
  </r>
  <r>
    <s v="ASB"/>
    <s v="Saving"/>
    <s v="12-3057-xxxxx-01"/>
    <d v="2023-05-24T00:00:00"/>
    <s v="MJ ASB NetFlix 8Denning"/>
    <n v="8.1300000000000008"/>
    <x v="1"/>
    <x v="1"/>
    <x v="1"/>
  </r>
  <r>
    <s v="ASB"/>
    <s v="Saving"/>
    <s v="12-3057-xxxxx-01"/>
    <d v="2023-05-24T00:00:00"/>
    <s v="akpp5050ia80 24PanoramaRo Rent myRent"/>
    <n v="1143.6500000000001"/>
    <x v="2"/>
    <x v="2"/>
    <x v="2"/>
  </r>
  <r>
    <s v="ASB"/>
    <s v="Saving"/>
    <s v="12-3057-xxxxx-01"/>
    <d v="2023-05-24T00:00:00"/>
    <s v="TO CARD xxxx  THANK YOU"/>
    <n v="-201.97"/>
    <x v="1"/>
    <x v="1"/>
    <x v="1"/>
  </r>
  <r>
    <s v="ASB"/>
    <s v="Saving"/>
    <s v="12-3057-xxxxx-01"/>
    <d v="2023-05-24T00:00:00"/>
    <s v="FC38-9016-xxxx-00 Sam KiwiBank"/>
    <n v="-1406.75"/>
    <x v="1"/>
    <x v="1"/>
    <x v="1"/>
  </r>
  <r>
    <s v="ASB"/>
    <s v="Saving"/>
    <s v="12-3057-xxxxx-01"/>
    <d v="2023-05-26T00:00:00"/>
    <s v="TO CARD xxxx  THANK YOU"/>
    <n v="-2.96"/>
    <x v="1"/>
    <x v="1"/>
    <x v="1"/>
  </r>
  <r>
    <s v="ASB"/>
    <s v="Saving"/>
    <s v="12-3057-xxxxx-01"/>
    <d v="2023-05-27T00:00:00"/>
    <s v="Council Rate 8Denning"/>
    <n v="874.8"/>
    <x v="1"/>
    <x v="1"/>
    <x v="1"/>
  </r>
  <r>
    <s v="ASB"/>
    <s v="Saving"/>
    <s v="12-3057-xxxxx-01"/>
    <d v="2023-05-27T00:00:00"/>
    <s v="Council Rate 24 Panorama"/>
    <n v="777.74"/>
    <x v="1"/>
    <x v="1"/>
    <x v="1"/>
  </r>
  <r>
    <s v="ASB"/>
    <s v="Saving"/>
    <s v="12-3057-xxxxx-01"/>
    <d v="2023-05-27T00:00:00"/>
    <s v="Rate MJ 5B"/>
    <n v="932.66"/>
    <x v="1"/>
    <x v="1"/>
    <x v="1"/>
  </r>
  <r>
    <s v="ASB"/>
    <s v="Saving"/>
    <s v="12-3057-xxxxx-01"/>
    <d v="2023-05-27T00:00:00"/>
    <s v="FC38-9016-xxxx-00 Sam KiwiBank rates"/>
    <n v="-213.68"/>
    <x v="1"/>
    <x v="1"/>
    <x v="1"/>
  </r>
  <r>
    <s v="ASB"/>
    <s v="Saving"/>
    <s v="12-3057-xxxxx-01"/>
    <d v="2023-05-31T00:00:00"/>
    <s v="MJ ANZ"/>
    <n v="525.6"/>
    <x v="1"/>
    <x v="1"/>
    <x v="1"/>
  </r>
  <r>
    <s v="ASB"/>
    <s v="Saving"/>
    <s v="12-3057-xxxxx-01"/>
    <d v="2023-05-31T00:00:00"/>
    <s v="FC12-3075-xxxx-02 StaffBidone MJ Alavi 64170"/>
    <n v="-32.97"/>
    <x v="0"/>
    <x v="0"/>
    <x v="0"/>
  </r>
  <r>
    <s v="ASB"/>
    <s v="Saving"/>
    <s v="12-3057-xxxxx-01"/>
    <d v="2023-06-01T00:00:00"/>
    <s v="TO CARD xxxx  THANK YOU"/>
    <n v="-57.19"/>
    <x v="1"/>
    <x v="1"/>
    <x v="1"/>
  </r>
  <r>
    <s v="ASB"/>
    <s v="Saving"/>
    <s v="12-3057-xxxxx-01"/>
    <d v="2023-06-04T00:00:00"/>
    <s v="MJ 8Denning TowerContent Insurance"/>
    <n v="6.34"/>
    <x v="1"/>
    <x v="1"/>
    <x v="1"/>
  </r>
  <r>
    <s v="ASB"/>
    <s v="Saving"/>
    <s v="12-3057-xxxxx-01"/>
    <d v="2023-06-04T00:00:00"/>
    <s v="MJ Apple Cloud Storage"/>
    <n v="9.0500000000000007"/>
    <x v="1"/>
    <x v="1"/>
    <x v="1"/>
  </r>
  <r>
    <s v="ASB"/>
    <s v="Saving"/>
    <s v="12-3057-xxxxx-01"/>
    <d v="2023-06-05T00:00:00"/>
    <s v="TO CARD xxxx  THANK YOU"/>
    <n v="-66.72"/>
    <x v="1"/>
    <x v="1"/>
    <x v="1"/>
  </r>
  <r>
    <s v="ASB"/>
    <s v="Saving"/>
    <s v="12-3057-xxxxx-01"/>
    <d v="2023-06-06T00:00:00"/>
    <s v="Water  MJ 8Denning"/>
    <n v="70.72"/>
    <x v="1"/>
    <x v="1"/>
    <x v="1"/>
  </r>
  <r>
    <s v="ASB"/>
    <s v="Saving"/>
    <s v="12-3057-xxxxx-01"/>
    <d v="2023-06-06T00:00:00"/>
    <s v="MJ Mobile US Phone Sam"/>
    <n v="1.89"/>
    <x v="1"/>
    <x v="1"/>
    <x v="1"/>
  </r>
  <r>
    <s v="ASB"/>
    <s v="Saving"/>
    <s v="12-3057-xxxxx-01"/>
    <d v="2023-06-07T00:00:00"/>
    <s v="akpsh1c0io6s 24PanoramaRo Rent myRent"/>
    <n v="223.49"/>
    <x v="2"/>
    <x v="2"/>
    <x v="2"/>
  </r>
  <r>
    <s v="ASB"/>
    <s v="Saving"/>
    <s v="12-3057-xxxxx-01"/>
    <d v="2023-06-07T00:00:00"/>
    <s v="FC38-9016-xxxx-00 Sam KiwiBank"/>
    <n v="-195.56"/>
    <x v="1"/>
    <x v="1"/>
    <x v="1"/>
  </r>
  <r>
    <s v="ASB"/>
    <s v="Saving"/>
    <s v="12-3057-xxxxx-01"/>
    <d v="2023-06-08T00:00:00"/>
    <s v="TO CARD xxxx  THANK YOU"/>
    <n v="-4.08"/>
    <x v="1"/>
    <x v="1"/>
    <x v="1"/>
  </r>
  <r>
    <s v="ASB"/>
    <s v="Saving"/>
    <s v="12-3057-xxxxx-01"/>
    <d v="2023-06-09T00:00:00"/>
    <s v="Mobile MJ Skinny"/>
    <n v="16.649999999999999"/>
    <x v="1"/>
    <x v="1"/>
    <x v="1"/>
  </r>
  <r>
    <s v="ASB"/>
    <s v="Saving"/>
    <s v="12-3057-xxxxx-01"/>
    <d v="2023-06-10T00:00:00"/>
    <s v="FC01-1839-xxxx-01 854807DpsA2A Contact Ener 501461545"/>
    <n v="-193.44"/>
    <x v="4"/>
    <x v="5"/>
    <x v="5"/>
  </r>
  <r>
    <s v="ASB"/>
    <s v="Saving"/>
    <s v="12-3057-xxxxx-01"/>
    <d v="2023-06-13T00:00:00"/>
    <s v="AIA Insurance SamMJ"/>
    <n v="58.83"/>
    <x v="1"/>
    <x v="1"/>
    <x v="1"/>
  </r>
  <r>
    <s v="ASB"/>
    <s v="Saving"/>
    <s v="12-3057-xxxxx-01"/>
    <d v="2023-06-13T00:00:00"/>
    <s v="TO CARD xxxx  THANK YOU"/>
    <n v="-38.24"/>
    <x v="1"/>
    <x v="1"/>
    <x v="1"/>
  </r>
  <r>
    <s v="ASB"/>
    <s v="Saving"/>
    <s v="12-3057-xxxxx-01"/>
    <d v="2023-06-14T00:00:00"/>
    <s v="MJ ANZ"/>
    <n v="130.53"/>
    <x v="1"/>
    <x v="1"/>
    <x v="1"/>
  </r>
  <r>
    <s v="ASB"/>
    <s v="Saving"/>
    <s v="12-3057-xxxxx-01"/>
    <d v="2023-06-18T00:00:00"/>
    <s v="MJ 8Denning TowerHouse Insurance"/>
    <n v="33.340000000000003"/>
    <x v="1"/>
    <x v="1"/>
    <x v="1"/>
  </r>
  <r>
    <s v="ASB"/>
    <s v="Saving"/>
    <s v="12-3057-xxxxx-01"/>
    <d v="2023-06-18T00:00:00"/>
    <s v="MJ 5B Tower H&amp;C Insurance"/>
    <n v="122.98"/>
    <x v="1"/>
    <x v="1"/>
    <x v="1"/>
  </r>
  <r>
    <s v="ASB"/>
    <s v="Saving"/>
    <s v="12-3057-xxxxx-01"/>
    <d v="2023-06-18T00:00:00"/>
    <s v="24 Panorama Tower H&amp;C Insurance"/>
    <n v="117.39"/>
    <x v="1"/>
    <x v="1"/>
    <x v="1"/>
  </r>
  <r>
    <s v="ASB"/>
    <s v="Saving"/>
    <s v="12-3057-xxxxx-01"/>
    <d v="2023-06-18T00:00:00"/>
    <s v="Mobile Sam Skinny"/>
    <n v="11.67"/>
    <x v="1"/>
    <x v="1"/>
    <x v="1"/>
  </r>
  <r>
    <s v="ASB"/>
    <s v="Saving"/>
    <s v="12-3057-xxxxx-01"/>
    <d v="2023-06-20T00:00:00"/>
    <s v="Electricity ContactEnrgy MJ 8Denning"/>
    <n v="32.75"/>
    <x v="1"/>
    <x v="1"/>
    <x v="1"/>
  </r>
  <r>
    <s v="ASB"/>
    <s v="Saving"/>
    <s v="12-3057-xxxxx-01"/>
    <d v="2023-06-21T00:00:00"/>
    <s v="akpc60d0ik9c 24PanoramaRo Rent myRent"/>
    <n v="560.51"/>
    <x v="2"/>
    <x v="2"/>
    <x v="2"/>
  </r>
  <r>
    <s v="ASB"/>
    <s v="Saving"/>
    <s v="12-3057-xxxxx-01"/>
    <d v="2023-06-21T00:00:00"/>
    <s v="TO CARD xxxx  THANK YOU"/>
    <n v="-2815.3"/>
    <x v="1"/>
    <x v="1"/>
    <x v="1"/>
  </r>
  <r>
    <s v="ASB"/>
    <s v="Saving"/>
    <s v="12-3057-xxxxx-01"/>
    <d v="2023-06-21T00:00:00"/>
    <s v="EX CARD xxxx"/>
    <n v="1392.21"/>
    <x v="1"/>
    <x v="1"/>
    <x v="1"/>
  </r>
  <r>
    <s v="ASB"/>
    <s v="Saving"/>
    <s v="12-3057-xxxxx-01"/>
    <d v="2023-06-21T00:00:00"/>
    <s v="FC38-9016-xxxx-00 Sam KiwiBank"/>
    <n v="-694.06"/>
    <x v="1"/>
    <x v="1"/>
    <x v="1"/>
  </r>
  <r>
    <s v="ASB"/>
    <s v="Saving"/>
    <s v="12-3057-xxxxx-01"/>
    <d v="2023-06-24T00:00:00"/>
    <s v="MJ ASB NetFlix 8Denning"/>
    <n v="23.81"/>
    <x v="1"/>
    <x v="1"/>
    <x v="1"/>
  </r>
  <r>
    <s v="ASB"/>
    <s v="Saving"/>
    <s v="12-3057-xxxxx-01"/>
    <d v="2023-06-25T00:00:00"/>
    <s v="TO CARD xxxx  THANK YOU"/>
    <n v="-0.83"/>
    <x v="1"/>
    <x v="1"/>
    <x v="1"/>
  </r>
  <r>
    <s v="ASB"/>
    <s v="Saving"/>
    <s v="12-3057-xxxxx-01"/>
    <d v="2023-06-26T00:00:00"/>
    <s v="TO CARD xxxx  THANK YOU"/>
    <n v="-62.95"/>
    <x v="1"/>
    <x v="1"/>
    <x v="1"/>
  </r>
  <r>
    <s v="ASB"/>
    <s v="Saving"/>
    <s v="12-3057-xxxxx-01"/>
    <d v="2023-06-27T00:00:00"/>
    <s v="TO CARD xxxx  THANK YOU"/>
    <n v="-42.28"/>
    <x v="1"/>
    <x v="1"/>
    <x v="1"/>
  </r>
  <r>
    <s v="ASB"/>
    <s v="Saving"/>
    <s v="12-3057-xxxxx-01"/>
    <d v="2023-06-28T00:00:00"/>
    <s v="TO CARD xxxx  THANK YOU"/>
    <n v="-1.29"/>
    <x v="1"/>
    <x v="1"/>
    <x v="1"/>
  </r>
  <r>
    <s v="ASB"/>
    <s v="Saving"/>
    <s v="12-3057-xxxxx-01"/>
    <d v="2023-06-28T00:00:00"/>
    <s v="MJ ANZ"/>
    <n v="7.83"/>
    <x v="1"/>
    <x v="1"/>
    <x v="1"/>
  </r>
  <r>
    <s v="ASB"/>
    <s v="Saving"/>
    <s v="12-3057-xxxxx-01"/>
    <d v="2023-07-01T00:00:00"/>
    <s v="FC12-3075-xxxx-00 somaye taebi"/>
    <n v="-41.2"/>
    <x v="1"/>
    <x v="1"/>
    <x v="1"/>
  </r>
  <r>
    <s v="ASB"/>
    <s v="Saving"/>
    <s v="12-3057-xxxxx-01"/>
    <d v="2023-07-04T00:00:00"/>
    <s v="TO CARD xxxx  THANK YOU"/>
    <n v="-80.400000000000006"/>
    <x v="1"/>
    <x v="1"/>
    <x v="1"/>
  </r>
  <r>
    <s v="ASB"/>
    <s v="Saving"/>
    <s v="12-3057-xxxxx-01"/>
    <d v="2023-07-04T00:00:00"/>
    <s v="MJ 8Denning TowerContent Insurance"/>
    <n v="67.599999999999994"/>
    <x v="1"/>
    <x v="1"/>
    <x v="1"/>
  </r>
  <r>
    <s v="ASB"/>
    <s v="Saving"/>
    <s v="12-3057-xxxxx-01"/>
    <d v="2023-07-04T00:00:00"/>
    <s v="MJ Apple Cloud Storage"/>
    <n v="16.48"/>
    <x v="1"/>
    <x v="1"/>
    <x v="1"/>
  </r>
  <r>
    <s v="ASB"/>
    <s v="Saving"/>
    <s v="12-3057-xxxxx-01"/>
    <d v="2023-07-04T00:00:00"/>
    <s v="TO CARD xxxx  THANK YOU"/>
    <n v="-21.23"/>
    <x v="1"/>
    <x v="1"/>
    <x v="1"/>
  </r>
  <r>
    <s v="ASB"/>
    <s v="Saving"/>
    <s v="12-3057-xxxxx-01"/>
    <d v="2023-07-05T00:00:00"/>
    <s v="akpme200aimr 24PanoramaRo Rent myRent"/>
    <n v="1581.95"/>
    <x v="2"/>
    <x v="2"/>
    <x v="2"/>
  </r>
  <r>
    <s v="ASB"/>
    <s v="Saving"/>
    <s v="12-3057-xxxxx-01"/>
    <d v="2023-07-05T00:00:00"/>
    <s v="FC38-9016-xxxx-00 Sam KiwiBank"/>
    <n v="-75.959999999999994"/>
    <x v="1"/>
    <x v="1"/>
    <x v="1"/>
  </r>
  <r>
    <s v="ASB"/>
    <s v="Saving"/>
    <s v="12-3057-xxxxx-01"/>
    <d v="2023-07-05T00:00:00"/>
    <s v="MJ ANZ"/>
    <n v="124.72"/>
    <x v="1"/>
    <x v="1"/>
    <x v="1"/>
  </r>
  <r>
    <s v="ASB"/>
    <s v="Saving"/>
    <s v="12-3057-xxxxx-01"/>
    <d v="2023-07-05T00:00:00"/>
    <s v="MJ ANZ"/>
    <n v="18"/>
    <x v="1"/>
    <x v="1"/>
    <x v="1"/>
  </r>
  <r>
    <s v="ASB"/>
    <s v="Saving"/>
    <s v="12-3057-xxxxx-01"/>
    <d v="2023-07-05T00:00:00"/>
    <s v="TO CARD xxxx  THANK YOU"/>
    <n v="-5.8"/>
    <x v="1"/>
    <x v="1"/>
    <x v="1"/>
  </r>
  <r>
    <s v="ASB"/>
    <s v="Saving"/>
    <s v="12-3057-xxxxx-01"/>
    <d v="2023-07-06T00:00:00"/>
    <s v="Water  MJ 8Denning"/>
    <n v="139.33000000000001"/>
    <x v="1"/>
    <x v="1"/>
    <x v="1"/>
  </r>
  <r>
    <s v="ASB"/>
    <s v="Saving"/>
    <s v="12-3057-xxxxx-01"/>
    <d v="2023-07-06T00:00:00"/>
    <s v="MJ Mobile US Phone Sam"/>
    <n v="3.29"/>
    <x v="1"/>
    <x v="1"/>
    <x v="1"/>
  </r>
  <r>
    <s v="ASB"/>
    <s v="Saving"/>
    <s v="12-3057-xxxxx-01"/>
    <d v="2023-07-07T00:00:00"/>
    <s v="Mobile MJ Skinny"/>
    <n v="14.16"/>
    <x v="1"/>
    <x v="1"/>
    <x v="1"/>
  </r>
  <r>
    <s v="ASB"/>
    <s v="Saving"/>
    <s v="12-3057-xxxxx-01"/>
    <d v="2023-07-07T00:00:00"/>
    <s v="TO CARD xxxx  THANK YOU"/>
    <n v="-38.840000000000003"/>
    <x v="1"/>
    <x v="1"/>
    <x v="1"/>
  </r>
  <r>
    <s v="ASB"/>
    <s v="Saving"/>
    <s v="12-3057-xxxxx-01"/>
    <d v="2023-07-07T00:00:00"/>
    <s v="TO CARD xxxx  THANK YOU"/>
    <n v="-5.78"/>
    <x v="1"/>
    <x v="1"/>
    <x v="1"/>
  </r>
  <r>
    <s v="ASB"/>
    <s v="Saving"/>
    <s v="12-3057-xxxxx-01"/>
    <d v="2023-07-07T00:00:00"/>
    <s v="TO CARD xxxx  THANK YOU"/>
    <n v="-27.07"/>
    <x v="1"/>
    <x v="1"/>
    <x v="1"/>
  </r>
  <r>
    <s v="ASB"/>
    <s v="Saving"/>
    <s v="12-3057-xxxxx-01"/>
    <d v="2023-07-09T00:00:00"/>
    <s v="TO CARD xxxx  THANK YOU"/>
    <n v="-9.76"/>
    <x v="1"/>
    <x v="1"/>
    <x v="1"/>
  </r>
  <r>
    <s v="ASB"/>
    <s v="Saving"/>
    <s v="12-3057-xxxxx-01"/>
    <d v="2023-07-09T00:00:00"/>
    <s v="TO CARD xxxx  THANK YOU"/>
    <n v="-5.32"/>
    <x v="1"/>
    <x v="1"/>
    <x v="1"/>
  </r>
  <r>
    <s v="ASB"/>
    <s v="Saving"/>
    <s v="12-3057-xxxxx-01"/>
    <d v="2023-07-10T00:00:00"/>
    <s v="TO CARD xxxx  THANK YOU"/>
    <n v="-0.83"/>
    <x v="1"/>
    <x v="1"/>
    <x v="1"/>
  </r>
  <r>
    <s v="ASB"/>
    <s v="Saving"/>
    <s v="12-3057-xxxxx-01"/>
    <d v="2023-07-10T00:00:00"/>
    <s v="TO CARD xxxx  THANK YOU"/>
    <n v="-0.49"/>
    <x v="1"/>
    <x v="1"/>
    <x v="1"/>
  </r>
  <r>
    <s v="ASB"/>
    <s v="Saving"/>
    <s v="12-3057-xxxxx-01"/>
    <d v="2023-07-12T00:00:00"/>
    <s v="MJ ANZ"/>
    <n v="666.61"/>
    <x v="1"/>
    <x v="1"/>
    <x v="1"/>
  </r>
  <r>
    <s v="ASB"/>
    <s v="Saving"/>
    <s v="12-3057-xxxxx-01"/>
    <d v="2023-07-12T00:00:00"/>
    <s v="TO CARD xxxx  THANK YOU"/>
    <n v="-147.66"/>
    <x v="1"/>
    <x v="1"/>
    <x v="1"/>
  </r>
  <r>
    <s v="ASB"/>
    <s v="Saving"/>
    <s v="12-3057-xxxxx-01"/>
    <d v="2023-07-12T00:00:00"/>
    <s v="FC12-3075-xxxx-02 StaffBidone MJ Alavi 64170"/>
    <n v="-139.66"/>
    <x v="0"/>
    <x v="0"/>
    <x v="0"/>
  </r>
  <r>
    <s v="ASB"/>
    <s v="Saving"/>
    <s v="12-3057-xxxxx-01"/>
    <d v="2023-07-12T00:00:00"/>
    <m/>
    <n v="2206.4"/>
    <x v="1"/>
    <x v="1"/>
    <x v="1"/>
  </r>
  <r>
    <s v="ASB"/>
    <s v="Saving"/>
    <s v="12-3057-xxxxx-01"/>
    <d v="2023-07-13T00:00:00"/>
    <s v="AIA Insurance SamMJ"/>
    <n v="57.42"/>
    <x v="1"/>
    <x v="1"/>
    <x v="1"/>
  </r>
  <r>
    <s v="ASB"/>
    <s v="Saving"/>
    <s v="12-3057-xxxxx-01"/>
    <d v="2023-07-13T00:00:00"/>
    <s v="IMT AUD 1744.00 GoldCoast  Ali"/>
    <n v="-178.28"/>
    <x v="3"/>
    <x v="6"/>
    <x v="6"/>
  </r>
  <r>
    <s v="ASB"/>
    <s v="Saving"/>
    <s v="12-3057-xxxxx-01"/>
    <d v="2023-07-16T00:00:00"/>
    <s v="Mobile Sam Skinny"/>
    <n v="10.86"/>
    <x v="1"/>
    <x v="1"/>
    <x v="1"/>
  </r>
  <r>
    <s v="ASB"/>
    <s v="Saving"/>
    <s v="12-3057-xxxxx-01"/>
    <d v="2023-07-17T00:00:00"/>
    <s v="NTRFFEE  2xxxx3"/>
    <n v="-27.02"/>
    <x v="5"/>
    <x v="7"/>
    <x v="7"/>
  </r>
  <r>
    <s v="ASB"/>
    <s v="Saving"/>
    <s v="12-3057-xxxxx-01"/>
    <d v="2023-07-17T00:00:00"/>
    <s v="TO CARD xxxx  THANK YOU"/>
    <n v="-11.57"/>
    <x v="1"/>
    <x v="1"/>
    <x v="1"/>
  </r>
  <r>
    <s v="ASB"/>
    <s v="Saving"/>
    <s v="12-3057-xxxxx-01"/>
    <d v="2023-07-18T00:00:00"/>
    <s v="MJ 8Denning TowerHouse Insurance"/>
    <n v="26.88"/>
    <x v="1"/>
    <x v="1"/>
    <x v="1"/>
  </r>
  <r>
    <s v="ASB"/>
    <s v="Saving"/>
    <s v="12-3057-xxxxx-01"/>
    <d v="2023-07-18T00:00:00"/>
    <s v="24 Panorama Tower H&amp;C Insurance"/>
    <n v="78.52"/>
    <x v="1"/>
    <x v="1"/>
    <x v="1"/>
  </r>
  <r>
    <s v="ASB"/>
    <s v="Saving"/>
    <s v="12-3057-xxxxx-01"/>
    <d v="2023-07-18T00:00:00"/>
    <s v="MJ 5B Tower H&amp;C Insurance"/>
    <n v="16.600000000000001"/>
    <x v="1"/>
    <x v="1"/>
    <x v="1"/>
  </r>
  <r>
    <s v="ASB"/>
    <s v="Saving"/>
    <s v="12-3057-xxxxx-01"/>
    <d v="2023-07-19T00:00:00"/>
    <s v="akpw60l0lwp7 24PanoramaRo Rent myRent"/>
    <n v="1745.88"/>
    <x v="2"/>
    <x v="2"/>
    <x v="2"/>
  </r>
  <r>
    <s v="ASB"/>
    <s v="Saving"/>
    <s v="12-3057-xxxxx-01"/>
    <d v="2023-07-19T00:00:00"/>
    <s v="FC38-9016-xxxx-00 Sam KiwiBank"/>
    <n v="-181.46"/>
    <x v="1"/>
    <x v="1"/>
    <x v="1"/>
  </r>
  <r>
    <s v="ASB"/>
    <s v="Saving"/>
    <s v="12-3057-xxxxx-01"/>
    <d v="2023-07-19T00:00:00"/>
    <s v="MJ ANZ"/>
    <n v="88.4"/>
    <x v="1"/>
    <x v="1"/>
    <x v="1"/>
  </r>
  <r>
    <s v="ASB"/>
    <s v="Saving"/>
    <s v="12-3057-xxxxx-01"/>
    <d v="2023-07-20T00:00:00"/>
    <s v="Electricity ContactEnrgy MJ 8Denning"/>
    <n v="67.94"/>
    <x v="1"/>
    <x v="1"/>
    <x v="1"/>
  </r>
  <r>
    <s v="ASB"/>
    <s v="Saving"/>
    <s v="12-3057-xxxxx-01"/>
    <d v="2023-07-21T00:00:00"/>
    <s v="EFTPOS"/>
    <n v="-12.22"/>
    <x v="3"/>
    <x v="8"/>
    <x v="8"/>
  </r>
  <r>
    <s v="ASB"/>
    <s v="Saving"/>
    <s v="12-3057-xxxxx-01"/>
    <d v="2023-07-22T00:00:00"/>
    <s v="FC38-9016-xxxx-00 Sam KiwiBank"/>
    <n v="-223.07"/>
    <x v="1"/>
    <x v="1"/>
    <x v="1"/>
  </r>
  <r>
    <s v="ASB"/>
    <s v="Saving"/>
    <s v="12-3057-xxxxx-01"/>
    <d v="2023-07-24T00:00:00"/>
    <s v="MJ ASB NetFlix 8Denning"/>
    <n v="18.79"/>
    <x v="1"/>
    <x v="1"/>
    <x v="1"/>
  </r>
  <r>
    <s v="ASB"/>
    <s v="Saving"/>
    <s v="12-3057-xxxxx-01"/>
    <d v="2023-07-26T00:00:00"/>
    <s v="TO CARD xxxx  THANK YOU"/>
    <n v="-39.44"/>
    <x v="1"/>
    <x v="1"/>
    <x v="1"/>
  </r>
  <r>
    <s v="ASB"/>
    <s v="Saving"/>
    <s v="12-3057-xxxxx-01"/>
    <d v="2023-07-26T00:00:00"/>
    <s v="MJ ANZ"/>
    <n v="6.25"/>
    <x v="1"/>
    <x v="1"/>
    <x v="1"/>
  </r>
  <r>
    <s v="ASB"/>
    <s v="Saving"/>
    <s v="12-3057-xxxxx-01"/>
    <d v="2023-07-27T00:00:00"/>
    <s v="FC03-0584-xxxx-03 996535870623 rego rego"/>
    <n v="-9.24"/>
    <x v="6"/>
    <x v="9"/>
    <x v="9"/>
  </r>
  <r>
    <s v="ASB"/>
    <s v="Saving"/>
    <s v="12-3057-xxxxx-01"/>
    <d v="2023-07-30T00:00:00"/>
    <s v="TO CARD xxxx  THANK YOU"/>
    <n v="-12.25"/>
    <x v="1"/>
    <x v="1"/>
    <x v="1"/>
  </r>
  <r>
    <s v="ASB"/>
    <s v="Saving"/>
    <s v="12-3057-xxxxx-01"/>
    <d v="2023-08-02T00:00:00"/>
    <s v="akphp0q0299v 24PanoramaRo Rent myRent"/>
    <n v="689.25"/>
    <x v="2"/>
    <x v="2"/>
    <x v="2"/>
  </r>
  <r>
    <s v="ASB"/>
    <s v="Saving"/>
    <s v="12-3057-xxxxx-01"/>
    <d v="2023-08-02T00:00:00"/>
    <s v="TO CARD xxxx  THANK YOU"/>
    <n v="-18.190000000000001"/>
    <x v="1"/>
    <x v="1"/>
    <x v="1"/>
  </r>
  <r>
    <s v="ASB"/>
    <s v="Saving"/>
    <s v="12-3057-xxxxx-01"/>
    <d v="2023-08-02T00:00:00"/>
    <s v="FC38-9016-xxxx-00 Sam KiwiBank"/>
    <n v="-215.11"/>
    <x v="1"/>
    <x v="1"/>
    <x v="1"/>
  </r>
  <r>
    <s v="ASB"/>
    <s v="Saving"/>
    <s v="12-3057-xxxxx-01"/>
    <d v="2023-08-02T00:00:00"/>
    <s v="MJ ANZ"/>
    <n v="73.540000000000006"/>
    <x v="1"/>
    <x v="1"/>
    <x v="1"/>
  </r>
  <r>
    <s v="ASB"/>
    <s v="Saving"/>
    <s v="12-3057-xxxxx-01"/>
    <d v="2023-08-04T00:00:00"/>
    <s v="Mobile MJ Skinny"/>
    <n v="11.88"/>
    <x v="1"/>
    <x v="1"/>
    <x v="1"/>
  </r>
  <r>
    <s v="ASB"/>
    <s v="Saving"/>
    <s v="12-3057-xxxxx-01"/>
    <d v="2023-08-04T00:00:00"/>
    <s v="MJ 8Denning TowerContent Insurance"/>
    <n v="10.26"/>
    <x v="1"/>
    <x v="1"/>
    <x v="1"/>
  </r>
  <r>
    <s v="ASB"/>
    <s v="Saving"/>
    <s v="12-3057-xxxxx-01"/>
    <d v="2023-08-04T00:00:00"/>
    <s v="MJ Apple Cloud Storage"/>
    <n v="22.96"/>
    <x v="1"/>
    <x v="1"/>
    <x v="1"/>
  </r>
  <r>
    <s v="ASB"/>
    <s v="Saving"/>
    <s v="12-3057-xxxxx-01"/>
    <d v="2023-08-04T00:00:00"/>
    <s v="TO CARD xxxx  THANK YOU"/>
    <n v="-3.72"/>
    <x v="1"/>
    <x v="1"/>
    <x v="1"/>
  </r>
  <r>
    <s v="ASB"/>
    <s v="Saving"/>
    <s v="12-3057-xxxxx-01"/>
    <d v="2023-08-04T00:00:00"/>
    <s v="FC38-9016-xxxx-00 Sam KiwiBank"/>
    <n v="-68.36"/>
    <x v="1"/>
    <x v="1"/>
    <x v="1"/>
  </r>
  <r>
    <s v="ASB"/>
    <s v="Saving"/>
    <s v="12-3057-xxxxx-01"/>
    <d v="2023-08-06T00:00:00"/>
    <s v="TO CARD xxxx  THANK YOU"/>
    <n v="-91.49"/>
    <x v="1"/>
    <x v="1"/>
    <x v="1"/>
  </r>
  <r>
    <s v="ASB"/>
    <s v="Saving"/>
    <s v="12-3057-xxxxx-01"/>
    <d v="2023-08-06T00:00:00"/>
    <s v="Water  MJ 8Denning"/>
    <n v="53"/>
    <x v="1"/>
    <x v="1"/>
    <x v="1"/>
  </r>
  <r>
    <s v="ASB"/>
    <s v="Saving"/>
    <s v="12-3057-xxxxx-01"/>
    <d v="2023-08-06T00:00:00"/>
    <s v="MJ Mobile US Phone Sam"/>
    <n v="14.03"/>
    <x v="1"/>
    <x v="1"/>
    <x v="1"/>
  </r>
  <r>
    <s v="ASB"/>
    <s v="Saving"/>
    <s v="12-3057-xxxxx-01"/>
    <d v="2023-08-08T00:00:00"/>
    <s v="FC12-3075-xxxx-02 StaffBidone MJ Alavi 64170"/>
    <n v="-149.15"/>
    <x v="0"/>
    <x v="0"/>
    <x v="0"/>
  </r>
  <r>
    <s v="ASB"/>
    <s v="Saving"/>
    <s v="12-3057-xxxxx-01"/>
    <d v="2023-08-10T00:00:00"/>
    <s v="MJ ANZ"/>
    <n v="57.16"/>
    <x v="1"/>
    <x v="1"/>
    <x v="1"/>
  </r>
  <r>
    <s v="ASB"/>
    <s v="Saving"/>
    <s v="12-3057-xxxxx-01"/>
    <d v="2023-08-11T00:00:00"/>
    <s v="TO CARD xxxx  THANK YOU"/>
    <n v="-61.81"/>
    <x v="1"/>
    <x v="1"/>
    <x v="1"/>
  </r>
  <r>
    <s v="ASB"/>
    <s v="Saving"/>
    <s v="12-3057-xxxxx-01"/>
    <d v="2023-08-13T00:00:00"/>
    <s v="AIA Insurance SamMJ"/>
    <n v="4.6100000000000003"/>
    <x v="1"/>
    <x v="1"/>
    <x v="1"/>
  </r>
  <r>
    <s v="ASB"/>
    <s v="Saving"/>
    <s v="12-3057-xxxxx-01"/>
    <d v="2023-08-13T00:00:00"/>
    <s v="Mobile Sam Skinny"/>
    <n v="4.5"/>
    <x v="1"/>
    <x v="1"/>
    <x v="1"/>
  </r>
  <r>
    <s v="ASB"/>
    <s v="Saving"/>
    <s v="12-3057-xxxxx-01"/>
    <d v="2023-08-13T00:00:00"/>
    <s v="TO CARD xxxx  THANK YOU"/>
    <n v="-12.9"/>
    <x v="1"/>
    <x v="1"/>
    <x v="1"/>
  </r>
  <r>
    <s v="ASB"/>
    <s v="Saving"/>
    <s v="12-3057-xxxxx-01"/>
    <d v="2023-08-14T00:00:00"/>
    <s v="TO CARD xxxx  THANK YOU"/>
    <n v="-50.8"/>
    <x v="1"/>
    <x v="1"/>
    <x v="1"/>
  </r>
  <r>
    <s v="ASB"/>
    <s v="Saving"/>
    <s v="12-3057-xxxxx-01"/>
    <d v="2023-08-16T00:00:00"/>
    <s v="akpuh050mary 24PanoramaRo Rent myRent"/>
    <n v="1217.69"/>
    <x v="2"/>
    <x v="2"/>
    <x v="2"/>
  </r>
  <r>
    <s v="ASB"/>
    <s v="Saving"/>
    <s v="12-3057-xxxxx-01"/>
    <d v="2023-08-16T00:00:00"/>
    <s v="TO CARD xxxx  THANK YOU"/>
    <n v="-4.5199999999999996"/>
    <x v="1"/>
    <x v="1"/>
    <x v="1"/>
  </r>
  <r>
    <s v="ASB"/>
    <s v="Saving"/>
    <s v="12-3057-xxxxx-01"/>
    <d v="2023-08-16T00:00:00"/>
    <s v="FC38-9016-xxxx-00 Sam KiwiBank"/>
    <n v="-753.85"/>
    <x v="1"/>
    <x v="1"/>
    <x v="1"/>
  </r>
  <r>
    <s v="ASB"/>
    <s v="Saving"/>
    <s v="12-3057-xxxxx-01"/>
    <d v="2023-08-17T00:00:00"/>
    <m/>
    <n v="325.39"/>
    <x v="1"/>
    <x v="1"/>
    <x v="1"/>
  </r>
  <r>
    <s v="ASB"/>
    <s v="Saving"/>
    <s v="12-3057-xxxxx-01"/>
    <d v="2023-08-17T00:00:00"/>
    <s v="FC12-3075-xxxx-02 StaffBidone MJ Alavi 64170"/>
    <n v="-348.98"/>
    <x v="0"/>
    <x v="0"/>
    <x v="0"/>
  </r>
  <r>
    <s v="ASB"/>
    <s v="Saving"/>
    <s v="12-3057-xxxxx-01"/>
    <d v="2023-08-18T00:00:00"/>
    <s v=" SkinnyMobile 0220215566 01428115-af7"/>
    <n v="-19.04"/>
    <x v="7"/>
    <x v="10"/>
    <x v="10"/>
  </r>
  <r>
    <s v="ASB"/>
    <s v="Saving"/>
    <s v="12-3057-xxxxx-01"/>
    <d v="2023-08-18T00:00:00"/>
    <s v="MJ 8Denning TowerHouse Insurance"/>
    <n v="49.53"/>
    <x v="1"/>
    <x v="1"/>
    <x v="1"/>
  </r>
  <r>
    <s v="ASB"/>
    <s v="Saving"/>
    <s v="12-3057-xxxxx-01"/>
    <d v="2023-08-18T00:00:00"/>
    <s v="24 Panorama Tower H&amp;C Insurance"/>
    <n v="114.03"/>
    <x v="1"/>
    <x v="1"/>
    <x v="1"/>
  </r>
  <r>
    <s v="ASB"/>
    <s v="Saving"/>
    <s v="12-3057-xxxxx-01"/>
    <d v="2023-08-18T00:00:00"/>
    <s v="MJ 5B Tower H&amp;C Insurance"/>
    <n v="42.45"/>
    <x v="1"/>
    <x v="1"/>
    <x v="1"/>
  </r>
  <r>
    <s v="ASB"/>
    <s v="Saving"/>
    <s v="12-3057-xxxxx-01"/>
    <d v="2023-08-18T00:00:00"/>
    <s v="SeyedAlavi K88359840190 K88359840190"/>
    <n v="104.85"/>
    <x v="4"/>
    <x v="11"/>
    <x v="11"/>
  </r>
  <r>
    <s v="ASB"/>
    <s v="Saving"/>
    <s v="12-3057-xxxxx-01"/>
    <d v="2023-08-20T00:00:00"/>
    <s v="Electricity ContactEnrgy MJ 8Denning"/>
    <n v="85.65"/>
    <x v="1"/>
    <x v="1"/>
    <x v="1"/>
  </r>
  <r>
    <s v="ASB"/>
    <s v="Saving"/>
    <s v="12-3057-xxxxx-01"/>
    <d v="2023-08-20T00:00:00"/>
    <s v="FC38-9016-xxxx-00 Sam KiwiBank"/>
    <n v="-356.88"/>
    <x v="1"/>
    <x v="1"/>
    <x v="1"/>
  </r>
  <r>
    <s v="ASB"/>
    <s v="Saving"/>
    <s v="12-3057-xxxxx-01"/>
    <d v="2023-08-22T00:00:00"/>
    <s v="FC12-3075-xxxx-02 StaffBidone MJ Alavi 64170"/>
    <n v="-149.19"/>
    <x v="0"/>
    <x v="0"/>
    <x v="0"/>
  </r>
  <r>
    <s v="ASB"/>
    <s v="Saving"/>
    <s v="12-3057-xxxxx-01"/>
    <d v="2023-08-23T00:00:00"/>
    <s v="TO CARD 1588  THANK YOU"/>
    <n v="-0.82"/>
    <x v="1"/>
    <x v="1"/>
    <x v="1"/>
  </r>
  <r>
    <s v="ASB"/>
    <s v="Saving"/>
    <s v="12-3057-xxxxx-01"/>
    <d v="2023-08-24T00:00:00"/>
    <s v="MJ ASB NetFlix 8Denning"/>
    <n v="15.94"/>
    <x v="1"/>
    <x v="1"/>
    <x v="1"/>
  </r>
  <r>
    <s v="ASB"/>
    <s v="Saving"/>
    <s v="12-3057-xxxxx-01"/>
    <d v="2023-08-24T00:00:00"/>
    <s v="TO CARD 1588  THANK YOU"/>
    <n v="-7.58"/>
    <x v="1"/>
    <x v="1"/>
    <x v="1"/>
  </r>
  <r>
    <s v="ASB"/>
    <s v="Saving"/>
    <s v="12-3057-xxxxx-01"/>
    <d v="2023-08-25T00:00:00"/>
    <s v="TO CARD 1588  THANK YOU"/>
    <n v="-2.62"/>
    <x v="1"/>
    <x v="1"/>
    <x v="1"/>
  </r>
  <r>
    <s v="ASB"/>
    <s v="Saving"/>
    <s v="12-3057-xxxxx-01"/>
    <d v="2023-08-25T00:00:00"/>
    <s v="TO CARD 1588  THANK YOU"/>
    <n v="-17.93"/>
    <x v="1"/>
    <x v="1"/>
    <x v="1"/>
  </r>
  <r>
    <s v="ASB"/>
    <s v="Saving"/>
    <s v="12-3057-xxxxx-01"/>
    <d v="2023-08-26T00:00:00"/>
    <s v="TO CARD 1588  THANK YOU"/>
    <n v="-170.04"/>
    <x v="1"/>
    <x v="1"/>
    <x v="1"/>
  </r>
  <r>
    <s v="ASB"/>
    <s v="Saving"/>
    <s v="12-3057-xxxxx-01"/>
    <d v="2023-08-26T00:00:00"/>
    <s v="TO CARD 1588  THANK YOU"/>
    <n v="-9.18"/>
    <x v="1"/>
    <x v="1"/>
    <x v="1"/>
  </r>
  <r>
    <s v="ASB"/>
    <s v="Saving"/>
    <s v="12-3057-xxxxx-01"/>
    <d v="2023-08-26T00:00:00"/>
    <m/>
    <n v="114.67"/>
    <x v="1"/>
    <x v="1"/>
    <x v="1"/>
  </r>
  <r>
    <s v="ASB"/>
    <s v="Saving"/>
    <s v="12-3057-xxxxx-01"/>
    <d v="2023-08-27T00:00:00"/>
    <s v="TO CARD 1588  THANK YOU"/>
    <n v="-71.78"/>
    <x v="1"/>
    <x v="1"/>
    <x v="1"/>
  </r>
  <r>
    <s v="ASB"/>
    <s v="Saving"/>
    <s v="12-3057-xxxxx-01"/>
    <d v="2023-08-30T00:00:00"/>
    <s v="akpot0k0s53z 24PanoramaRo Rent myRent"/>
    <n v="1532.45"/>
    <x v="2"/>
    <x v="2"/>
    <x v="2"/>
  </r>
  <r>
    <s v="ASB"/>
    <s v="Saving"/>
    <s v="12-3057-xxxxx-01"/>
    <d v="2023-08-30T00:00:00"/>
    <s v="TO CARD 1588  THANK YOU"/>
    <n v="-238.95"/>
    <x v="1"/>
    <x v="1"/>
    <x v="1"/>
  </r>
  <r>
    <s v="ASB"/>
    <s v="Saving"/>
    <s v="12-3057-xxxxx-01"/>
    <d v="2023-08-30T00:00:00"/>
    <s v="FC12-3075-xxxx-02 StaffBidone MJ Alavi 64170"/>
    <n v="-187.52"/>
    <x v="0"/>
    <x v="0"/>
    <x v="0"/>
  </r>
  <r>
    <s v="ASB"/>
    <s v="Saving"/>
    <s v="12-3057-xxxxx-01"/>
    <d v="2023-08-30T00:00:00"/>
    <s v="FC38-9016-xxxx-00 Sam KiwiBank"/>
    <n v="-282.23"/>
    <x v="1"/>
    <x v="1"/>
    <x v="1"/>
  </r>
  <r>
    <s v="ASB"/>
    <s v="Saving"/>
    <s v="12-3057-xxxxx-01"/>
    <d v="2023-08-30T00:00:00"/>
    <s v="FC38-9016-xxxx-00 Sam KiwiBank"/>
    <n v="-525.13"/>
    <x v="1"/>
    <x v="1"/>
    <x v="1"/>
  </r>
  <r>
    <s v="ASB"/>
    <s v="Saving"/>
    <s v="12-3057-xxxxx-01"/>
    <d v="2023-09-01T00:00:00"/>
    <s v="TO CARD 1588  THANK YOU"/>
    <n v="-3.93"/>
    <x v="1"/>
    <x v="1"/>
    <x v="1"/>
  </r>
  <r>
    <s v="ASB"/>
    <s v="Saving"/>
    <s v="12-3057-xxxxx-01"/>
    <d v="2023-09-01T00:00:00"/>
    <s v="Mobile MJ Skinny"/>
    <n v="6.18"/>
    <x v="1"/>
    <x v="1"/>
    <x v="1"/>
  </r>
  <r>
    <s v="ASB"/>
    <s v="Saving"/>
    <s v="12-3057-xxxxx-01"/>
    <d v="2023-09-02T00:00:00"/>
    <s v="TO CARD 1588  THANK YOU"/>
    <n v="-50.3"/>
    <x v="1"/>
    <x v="1"/>
    <x v="1"/>
  </r>
  <r>
    <s v="ASB"/>
    <s v="Saving"/>
    <s v="12-3057-xxxxx-01"/>
    <d v="2023-09-03T00:00:00"/>
    <s v="TO CARD 1588  THANK YOU"/>
    <n v="-21.59"/>
    <x v="1"/>
    <x v="1"/>
    <x v="1"/>
  </r>
  <r>
    <s v="ASB"/>
    <s v="Saving"/>
    <s v="12-3057-xxxxx-01"/>
    <d v="2023-09-04T00:00:00"/>
    <s v="MJ 8Denning TowerContent Insurance"/>
    <n v="28.86"/>
    <x v="1"/>
    <x v="1"/>
    <x v="1"/>
  </r>
  <r>
    <s v="ASB"/>
    <s v="Saving"/>
    <s v="12-3057-xxxxx-01"/>
    <d v="2023-09-04T00:00:00"/>
    <s v="MJ Apple Cloud Storage"/>
    <n v="12.23"/>
    <x v="1"/>
    <x v="1"/>
    <x v="1"/>
  </r>
  <r>
    <s v="ASB"/>
    <s v="Saving"/>
    <s v="12-3057-xxxxx-01"/>
    <d v="2023-09-06T00:00:00"/>
    <s v="Water  MJ 8Denning"/>
    <n v="86.58"/>
    <x v="1"/>
    <x v="1"/>
    <x v="1"/>
  </r>
  <r>
    <s v="ASB"/>
    <s v="Saving"/>
    <s v="12-3057-xxxxx-01"/>
    <d v="2023-09-06T00:00:00"/>
    <s v="MJ Mobile US Phone Sam"/>
    <n v="2.46"/>
    <x v="1"/>
    <x v="1"/>
    <x v="1"/>
  </r>
  <r>
    <s v="ASB"/>
    <s v="Saving"/>
    <s v="12-3057-xxxxx-01"/>
    <d v="2023-09-06T00:00:00"/>
    <s v="TO CARD 1588  THANK YOU"/>
    <n v="-132.9"/>
    <x v="1"/>
    <x v="1"/>
    <x v="1"/>
  </r>
  <r>
    <s v="ASB"/>
    <s v="Saving"/>
    <s v="12-3057-xxxxx-01"/>
    <d v="2023-09-06T00:00:00"/>
    <s v="TO CARD 1588  THANK YOU"/>
    <n v="-23.78"/>
    <x v="1"/>
    <x v="1"/>
    <x v="1"/>
  </r>
  <r>
    <s v="ASB"/>
    <s v="Saving"/>
    <s v="12-3057-xxxxx-01"/>
    <d v="2023-09-07T00:00:00"/>
    <s v="TO CARD 1588  THANK YOU"/>
    <n v="-3.93"/>
    <x v="1"/>
    <x v="1"/>
    <x v="1"/>
  </r>
  <r>
    <s v="ASB"/>
    <s v="Saving"/>
    <s v="12-3057-xxxxx-01"/>
    <d v="2023-09-07T00:00:00"/>
    <m/>
    <n v="197.79"/>
    <x v="1"/>
    <x v="1"/>
    <x v="1"/>
  </r>
  <r>
    <s v="ASB"/>
    <s v="Saving"/>
    <s v="12-3057-xxxxx-01"/>
    <d v="2023-09-07T00:00:00"/>
    <s v="MJ ANZ"/>
    <n v="395.48"/>
    <x v="1"/>
    <x v="1"/>
    <x v="1"/>
  </r>
  <r>
    <s v="ASB"/>
    <s v="Saving"/>
    <s v="12-3057-xxxxx-01"/>
    <d v="2023-09-07T00:00:00"/>
    <s v="TO CARD 1588  THANK YOU"/>
    <n v="-306.82"/>
    <x v="1"/>
    <x v="1"/>
    <x v="1"/>
  </r>
  <r>
    <s v="ASB"/>
    <s v="Saving"/>
    <s v="12-3057-xxxxx-01"/>
    <d v="2023-09-08T00:00:00"/>
    <s v="TO CARD 1588  THANK YOU"/>
    <n v="-153.1"/>
    <x v="1"/>
    <x v="1"/>
    <x v="1"/>
  </r>
  <r>
    <s v="ASB"/>
    <s v="Saving"/>
    <s v="12-3057-xxxxx-01"/>
    <d v="2023-09-08T00:00:00"/>
    <s v="TO CARD 1588  THANK YOU"/>
    <n v="-0.03"/>
    <x v="1"/>
    <x v="1"/>
    <x v="1"/>
  </r>
  <r>
    <s v="ASB"/>
    <s v="Saving"/>
    <s v="12-3057-xxxxx-01"/>
    <d v="2023-09-10T00:00:00"/>
    <s v="Mobile Sam Skinny"/>
    <n v="0.7"/>
    <x v="1"/>
    <x v="1"/>
    <x v="1"/>
  </r>
  <r>
    <s v="ASB"/>
    <s v="Saving"/>
    <s v="12-3057-xxxxx-01"/>
    <d v="2023-09-11T00:00:00"/>
    <s v="TO CARD 1588  THANK YOU"/>
    <n v="-47.04"/>
    <x v="1"/>
    <x v="1"/>
    <x v="1"/>
  </r>
  <r>
    <s v="ASB"/>
    <s v="Saving"/>
    <s v="12-3057-xxxxx-01"/>
    <d v="2023-09-12T00:00:00"/>
    <s v="TO CARD 1588  THANK YOU"/>
    <n v="-25.42"/>
    <x v="1"/>
    <x v="1"/>
    <x v="1"/>
  </r>
  <r>
    <s v="ASB"/>
    <s v="Saving"/>
    <s v="12-3057-xxxxx-01"/>
    <d v="2023-09-13T00:00:00"/>
    <s v="AIA Insurance SamMJ"/>
    <n v="65.069999999999993"/>
    <x v="1"/>
    <x v="1"/>
    <x v="1"/>
  </r>
  <r>
    <s v="ASB"/>
    <s v="Saving"/>
    <s v="12-3057-xxxxx-01"/>
    <d v="2023-09-13T00:00:00"/>
    <s v="akph10806ts8 24PanoramaRo Rent myRent"/>
    <n v="1623.06"/>
    <x v="2"/>
    <x v="2"/>
    <x v="2"/>
  </r>
  <r>
    <s v="ASB"/>
    <s v="Saving"/>
    <s v="12-3057-xxxxx-01"/>
    <d v="2023-09-13T00:00:00"/>
    <s v="FC12-3075-xxxx-02 StaffBidone MJ Alavi 64170"/>
    <n v="-184.52"/>
    <x v="0"/>
    <x v="0"/>
    <x v="0"/>
  </r>
  <r>
    <s v="ASB"/>
    <s v="Saving"/>
    <s v="12-3057-xxxxx-01"/>
    <d v="2023-09-13T00:00:00"/>
    <s v="FC38-9016-xxxx-00 Sam KiwiBank"/>
    <n v="-751.49"/>
    <x v="1"/>
    <x v="1"/>
    <x v="1"/>
  </r>
  <r>
    <s v="ASB"/>
    <s v="Saving"/>
    <s v="12-3057-xxxxx-01"/>
    <d v="2023-09-14T00:00:00"/>
    <s v="TO CARD 1588  THANK YOU"/>
    <n v="-12.08"/>
    <x v="1"/>
    <x v="1"/>
    <x v="1"/>
  </r>
  <r>
    <s v="ASB"/>
    <s v="Saving"/>
    <s v="12-3057-xxxxx-01"/>
    <d v="2023-09-15T00:00:00"/>
    <s v="TO CARD 1588  THANK YOU"/>
    <n v="-6.84"/>
    <x v="1"/>
    <x v="1"/>
    <x v="1"/>
  </r>
  <r>
    <s v="ASB"/>
    <s v="Saving"/>
    <s v="12-3057-xxxxx-01"/>
    <d v="2023-09-15T00:00:00"/>
    <s v="FC38-9016-xxxx-00 Sam KiwiBank"/>
    <n v="-28.38"/>
    <x v="1"/>
    <x v="1"/>
    <x v="1"/>
  </r>
  <r>
    <s v="ASB"/>
    <s v="Saving"/>
    <s v="12-3057-xxxxx-01"/>
    <d v="2023-09-18T00:00:00"/>
    <s v="MJ 5B Tower H&amp;C Insurance"/>
    <n v="62.11"/>
    <x v="1"/>
    <x v="1"/>
    <x v="1"/>
  </r>
  <r>
    <s v="ASB"/>
    <s v="Saving"/>
    <s v="12-3057-xxxxx-01"/>
    <d v="2023-09-18T00:00:00"/>
    <s v="MJ 8Denning TowerHouse Insurance"/>
    <n v="3.14"/>
    <x v="1"/>
    <x v="1"/>
    <x v="1"/>
  </r>
  <r>
    <s v="ASB"/>
    <s v="Saving"/>
    <s v="12-3057-xxxxx-01"/>
    <d v="2023-09-18T00:00:00"/>
    <s v="24 Panorama Tower H&amp;C Insurance"/>
    <n v="97.13"/>
    <x v="1"/>
    <x v="1"/>
    <x v="1"/>
  </r>
  <r>
    <s v="ASB"/>
    <s v="Saving"/>
    <s v="12-3057-xxxxx-01"/>
    <d v="2023-09-18T00:00:00"/>
    <s v="TO CARD 1588  THANK YOU"/>
    <n v="-1.0900000000000001"/>
    <x v="1"/>
    <x v="1"/>
    <x v="1"/>
  </r>
  <r>
    <s v="ASB"/>
    <s v="Saving"/>
    <s v="12-3057-xxxxx-01"/>
    <d v="2023-09-19T00:00:00"/>
    <s v="TO CARD 1588  THANK YOU"/>
    <n v="-1.64"/>
    <x v="1"/>
    <x v="1"/>
    <x v="1"/>
  </r>
  <r>
    <s v="ASB"/>
    <s v="Saving"/>
    <s v="12-3057-xxxxx-01"/>
    <d v="2023-09-19T00:00:00"/>
    <s v="TO CARD 1588  THANK YOU"/>
    <n v="-29.42"/>
    <x v="1"/>
    <x v="1"/>
    <x v="1"/>
  </r>
  <r>
    <s v="ASB"/>
    <s v="Saving"/>
    <s v="12-3057-xxxxx-01"/>
    <d v="2023-09-20T00:00:00"/>
    <s v="Electricity ContactEnrgy MJ 8Denning"/>
    <n v="13.19"/>
    <x v="1"/>
    <x v="1"/>
    <x v="1"/>
  </r>
  <r>
    <s v="ASB"/>
    <s v="Saving"/>
    <s v="12-3057-xxxxx-01"/>
    <d v="2023-09-20T00:00:00"/>
    <s v="FC38-9016-xxxx-00 Sam KiwiBank"/>
    <n v="-109.14"/>
    <x v="1"/>
    <x v="1"/>
    <x v="1"/>
  </r>
  <r>
    <s v="ASB"/>
    <s v="Saving"/>
    <s v="12-3057-xxxxx-01"/>
    <d v="2023-09-21T00:00:00"/>
    <s v="TO CARD 1588  THANK YOU"/>
    <n v="-122.49"/>
    <x v="1"/>
    <x v="1"/>
    <x v="1"/>
  </r>
  <r>
    <s v="ASB"/>
    <s v="Saving"/>
    <s v="12-3057-xxxxx-01"/>
    <d v="2023-09-21T00:00:00"/>
    <m/>
    <n v="58.7"/>
    <x v="1"/>
    <x v="1"/>
    <x v="1"/>
  </r>
  <r>
    <s v="ASB"/>
    <s v="Saving"/>
    <s v="12-3057-xxxxx-01"/>
    <d v="2023-09-21T00:00:00"/>
    <s v="TO CARD 1588  THANK YOU"/>
    <n v="-1.8"/>
    <x v="1"/>
    <x v="1"/>
    <x v="1"/>
  </r>
  <r>
    <s v="ASB"/>
    <s v="Saving"/>
    <s v="12-3057-xxxxx-01"/>
    <d v="2023-09-21T00:00:00"/>
    <s v="TO CARD 1588  THANK YOU"/>
    <n v="-60.9"/>
    <x v="1"/>
    <x v="1"/>
    <x v="1"/>
  </r>
  <r>
    <s v="ASB"/>
    <s v="Saving"/>
    <s v="12-3057-xxxxx-01"/>
    <d v="2023-09-21T00:00:00"/>
    <s v="TO CARD 1588  THANK YOU"/>
    <n v="-7.21"/>
    <x v="1"/>
    <x v="1"/>
    <x v="1"/>
  </r>
  <r>
    <s v="ASB"/>
    <s v="Saving"/>
    <s v="12-3057-xxxxx-01"/>
    <d v="2023-09-22T00:00:00"/>
    <s v="TO CARD 1588  THANK YOU"/>
    <n v="-17.190000000000001"/>
    <x v="1"/>
    <x v="1"/>
    <x v="1"/>
  </r>
  <r>
    <s v="ASB"/>
    <s v="Saving"/>
    <s v="12-3057-xxxxx-01"/>
    <d v="2023-09-22T00:00:00"/>
    <s v="SeyedAlavi K55897677604 K55897677604"/>
    <n v="163.5"/>
    <x v="4"/>
    <x v="11"/>
    <x v="11"/>
  </r>
  <r>
    <s v="ASB"/>
    <s v="Saving"/>
    <s v="12-3057-xxxxx-01"/>
    <d v="2023-09-24T00:00:00"/>
    <s v="MJ ASB NetFlix 8Denning"/>
    <n v="3.86"/>
    <x v="1"/>
    <x v="1"/>
    <x v="1"/>
  </r>
  <r>
    <s v="ASB"/>
    <s v="Saving"/>
    <s v="12-3057-xxxxx-01"/>
    <d v="2023-09-24T00:00:00"/>
    <s v="TO CARD 1588  THANK YOU"/>
    <n v="-79.040000000000006"/>
    <x v="1"/>
    <x v="1"/>
    <x v="1"/>
  </r>
  <r>
    <s v="ASB"/>
    <s v="Saving"/>
    <s v="12-3057-xxxxx-01"/>
    <d v="2023-09-25T00:00:00"/>
    <s v="TO CARD 1588  THANK YOU"/>
    <n v="-26.67"/>
    <x v="1"/>
    <x v="1"/>
    <x v="1"/>
  </r>
  <r>
    <s v="ASB"/>
    <s v="Saving"/>
    <s v="12-3057-xxxxx-01"/>
    <d v="2023-09-26T00:00:00"/>
    <s v="TO CARD 1588  THANK YOU"/>
    <n v="-117.7"/>
    <x v="1"/>
    <x v="1"/>
    <x v="1"/>
  </r>
  <r>
    <s v="ASB"/>
    <s v="Saving"/>
    <s v="12-3057-xxxxx-01"/>
    <d v="2023-09-27T00:00:00"/>
    <s v="akpht070n92j 24PanoramaRo Rent myRent"/>
    <n v="144.85"/>
    <x v="2"/>
    <x v="2"/>
    <x v="2"/>
  </r>
  <r>
    <s v="ASB"/>
    <s v="Saving"/>
    <s v="12-3057-xxxxx-01"/>
    <d v="2023-09-27T00:00:00"/>
    <s v="TO 12-3637- xxxx-00"/>
    <n v="-1390.94"/>
    <x v="1"/>
    <x v="1"/>
    <x v="1"/>
  </r>
  <r>
    <s v="ASB"/>
    <s v="Saving"/>
    <s v="12-3057-xxxxx-01"/>
    <d v="2023-09-27T00:00:00"/>
    <s v="EX 12-3637- xxxx-00"/>
    <n v="95.79"/>
    <x v="1"/>
    <x v="1"/>
    <x v="1"/>
  </r>
  <r>
    <s v="ASB"/>
    <s v="Saving"/>
    <s v="12-3057-xxxxx-01"/>
    <d v="2023-09-27T00:00:00"/>
    <s v="FC38-9016-xxxx-00 Sam KiwiBank"/>
    <n v="-237.08"/>
    <x v="1"/>
    <x v="1"/>
    <x v="1"/>
  </r>
  <r>
    <s v="ASB"/>
    <s v="Saving"/>
    <s v="12-3057-xxxxx-01"/>
    <d v="2023-09-28T00:00:00"/>
    <s v="TO CARD 1588  THANK YOU"/>
    <n v="-11.45"/>
    <x v="1"/>
    <x v="1"/>
    <x v="1"/>
  </r>
  <r>
    <s v="ASB"/>
    <s v="Saving"/>
    <s v="12-3057-xxxxx-01"/>
    <d v="2023-09-29T00:00:00"/>
    <s v="TO CARD 1588  THANK YOU"/>
    <n v="-78.400000000000006"/>
    <x v="1"/>
    <x v="1"/>
    <x v="1"/>
  </r>
  <r>
    <s v="ASB"/>
    <s v="Saving"/>
    <s v="12-3057-xxxxx-01"/>
    <d v="2023-09-29T00:00:00"/>
    <s v="Mobile MJ Skinny"/>
    <n v="13.94"/>
    <x v="1"/>
    <x v="1"/>
    <x v="1"/>
  </r>
  <r>
    <s v="ASB"/>
    <s v="Saving"/>
    <s v="12-3057-xxxxx-01"/>
    <d v="2023-10-03T00:00:00"/>
    <s v="TO CARD 1588  THANK YOU"/>
    <n v="-18.899999999999999"/>
    <x v="1"/>
    <x v="1"/>
    <x v="1"/>
  </r>
  <r>
    <s v="ASB"/>
    <s v="Saving"/>
    <s v="12-3057-xxxxx-01"/>
    <d v="2023-10-03T00:00:00"/>
    <s v="FC31-2840-0034296-01 996537920414 mj mj"/>
    <n v="-2.2599999999999998"/>
    <x v="4"/>
    <x v="12"/>
    <x v="12"/>
  </r>
  <r>
    <s v="ASB"/>
    <s v="Saving"/>
    <s v="12-3057-xxxxx-01"/>
    <d v="2023-10-04T00:00:00"/>
    <s v="MJ 8Denning TowerContent Insurance"/>
    <n v="30.09"/>
    <x v="1"/>
    <x v="1"/>
    <x v="1"/>
  </r>
  <r>
    <s v="ASB"/>
    <s v="Saving"/>
    <s v="12-3057-xxxxx-01"/>
    <d v="2023-10-04T00:00:00"/>
    <s v="MJ Apple Cloud Storage"/>
    <n v="23.52"/>
    <x v="1"/>
    <x v="1"/>
    <x v="1"/>
  </r>
  <r>
    <s v="ASB"/>
    <s v="Saving"/>
    <s v="12-3057-xxxxx-01"/>
    <d v="2023-10-04T00:00:00"/>
    <s v="MJ ANZ"/>
    <n v="1822.28"/>
    <x v="1"/>
    <x v="1"/>
    <x v="1"/>
  </r>
  <r>
    <s v="ASB"/>
    <s v="Saving"/>
    <s v="12-3057-xxxxx-01"/>
    <d v="2023-10-04T00:00:00"/>
    <s v="TO CARD 1588  THANK YOU"/>
    <n v="-723.91"/>
    <x v="1"/>
    <x v="1"/>
    <x v="1"/>
  </r>
  <r>
    <s v="ASB"/>
    <s v="Saving"/>
    <s v="12-3057-xxxxx-01"/>
    <d v="2023-10-04T00:00:00"/>
    <s v="FC12-3075-xxxx-02 StaffBidone MJ Alavi 64170"/>
    <n v="-178.19"/>
    <x v="0"/>
    <x v="0"/>
    <x v="0"/>
  </r>
  <r>
    <s v="ASB"/>
    <s v="Saving"/>
    <s v="12-3057-xxxxx-01"/>
    <d v="2023-10-04T00:00:00"/>
    <s v="TO CARD 1588  THANK YOU"/>
    <n v="-74.34"/>
    <x v="1"/>
    <x v="1"/>
    <x v="1"/>
  </r>
  <r>
    <s v="ASB"/>
    <s v="Saving"/>
    <s v="12-3057-xxxxx-01"/>
    <d v="2023-10-04T00:00:00"/>
    <s v="TO 12-3637- xxxx-00"/>
    <n v="-234.94"/>
    <x v="1"/>
    <x v="1"/>
    <x v="1"/>
  </r>
  <r>
    <s v="ASB"/>
    <s v="Saving"/>
    <s v="12-3057-xxxxx-01"/>
    <d v="2023-10-04T00:00:00"/>
    <s v="FC38-9016-xxxx-00 Sam KiwiBank"/>
    <n v="-438"/>
    <x v="1"/>
    <x v="1"/>
    <x v="1"/>
  </r>
  <r>
    <s v="ASB"/>
    <s v="Saving"/>
    <s v="12-3057-xxxxx-01"/>
    <d v="2023-10-05T00:00:00"/>
    <s v="FC38-9016-xxxx-00 Sam KiwiBank"/>
    <n v="-25.72"/>
    <x v="1"/>
    <x v="1"/>
    <x v="1"/>
  </r>
  <r>
    <s v="ASB"/>
    <s v="Saving"/>
    <s v="12-3057-xxxxx-01"/>
    <d v="2023-10-05T00:00:00"/>
    <s v="TO CARD 1588  THANK YOU"/>
    <n v="-3.19"/>
    <x v="1"/>
    <x v="1"/>
    <x v="1"/>
  </r>
  <r>
    <s v="ASB"/>
    <s v="Saving"/>
    <s v="12-3057-xxxxx-01"/>
    <d v="2023-10-05T00:00:00"/>
    <s v="TO CARD 1588  THANK YOU"/>
    <n v="-23.22"/>
    <x v="1"/>
    <x v="1"/>
    <x v="1"/>
  </r>
  <r>
    <s v="ASB"/>
    <s v="Saving"/>
    <s v="12-3057-xxxxx-01"/>
    <d v="2023-10-05T00:00:00"/>
    <s v="EX 12-3637- xxxx-00"/>
    <n v="64.06"/>
    <x v="1"/>
    <x v="1"/>
    <x v="1"/>
  </r>
  <r>
    <s v="ASB"/>
    <s v="Saving"/>
    <s v="12-3057-xxxxx-01"/>
    <d v="2023-10-05T00:00:00"/>
    <s v="TO CARD 1588  THANK YOU"/>
    <n v="-37.67"/>
    <x v="1"/>
    <x v="1"/>
    <x v="1"/>
  </r>
  <r>
    <s v="ASB"/>
    <s v="Saving"/>
    <s v="12-3057-xxxxx-01"/>
    <d v="2023-10-05T00:00:00"/>
    <s v="EX 12-3637- xxxx-00"/>
    <n v="63.44"/>
    <x v="1"/>
    <x v="1"/>
    <x v="1"/>
  </r>
  <r>
    <s v="ASB"/>
    <s v="Saving"/>
    <s v="12-3057-xxxxx-01"/>
    <d v="2023-10-05T00:00:00"/>
    <s v="EFTPOS"/>
    <n v="-2.75"/>
    <x v="0"/>
    <x v="0"/>
    <x v="0"/>
  </r>
  <r>
    <s v="ASB"/>
    <s v="Saving"/>
    <s v="12-3057-xxxxx-01"/>
    <d v="2023-10-05T00:00:00"/>
    <s v="TO CARD 1588  THANK YOU"/>
    <n v="-26.57"/>
    <x v="1"/>
    <x v="1"/>
    <x v="1"/>
  </r>
  <r>
    <s v="ASB"/>
    <s v="Saving"/>
    <s v="12-3057-xxxxx-01"/>
    <d v="2023-10-06T00:00:00"/>
    <s v="Water  MJ 8Denning"/>
    <n v="148.49"/>
    <x v="1"/>
    <x v="1"/>
    <x v="1"/>
  </r>
  <r>
    <s v="ASB"/>
    <s v="Saving"/>
    <s v="12-3057-xxxxx-01"/>
    <d v="2023-10-06T00:00:00"/>
    <s v="MJ Mobile US Phone Sam"/>
    <n v="7"/>
    <x v="1"/>
    <x v="1"/>
    <x v="1"/>
  </r>
  <r>
    <s v="ASB"/>
    <s v="Saving"/>
    <s v="12-3057-xxxxx-01"/>
    <d v="2023-10-07T00:00:00"/>
    <s v="TO 12-3637- xxxx-00"/>
    <n v="-105.66"/>
    <x v="1"/>
    <x v="1"/>
    <x v="1"/>
  </r>
  <r>
    <s v="ASB"/>
    <s v="Saving"/>
    <s v="12-3057-xxxxx-01"/>
    <d v="2023-10-08T00:00:00"/>
    <s v="Mobile Sam Skinny"/>
    <n v="21.5"/>
    <x v="1"/>
    <x v="1"/>
    <x v="1"/>
  </r>
  <r>
    <s v="ASB"/>
    <s v="Saving"/>
    <s v="12-3057-xxxxx-01"/>
    <d v="2023-10-08T00:00:00"/>
    <s v="TO CARD 1588  THANK YOU"/>
    <n v="-14.95"/>
    <x v="1"/>
    <x v="1"/>
    <x v="1"/>
  </r>
  <r>
    <s v="ASB"/>
    <s v="Saving"/>
    <s v="12-3057-xxxxx-01"/>
    <d v="2023-10-11T00:00:00"/>
    <s v="akp6w070o5hw 24PanoramaRo Rent myRent"/>
    <n v="1358.78"/>
    <x v="2"/>
    <x v="2"/>
    <x v="2"/>
  </r>
  <r>
    <s v="ASB"/>
    <s v="Saving"/>
    <s v="12-3057-xxxxx-01"/>
    <d v="2023-10-11T00:00:00"/>
    <s v="TO CARD 1588  THANK YOU"/>
    <n v="-148.6"/>
    <x v="1"/>
    <x v="1"/>
    <x v="1"/>
  </r>
  <r>
    <s v="ASB"/>
    <s v="Saving"/>
    <s v="12-3057-xxxxx-01"/>
    <d v="2023-10-11T00:00:00"/>
    <s v="TO 12-3637- xxxx-00"/>
    <n v="-232.11"/>
    <x v="1"/>
    <x v="1"/>
    <x v="1"/>
  </r>
  <r>
    <s v="ASB"/>
    <s v="Saving"/>
    <s v="12-3057-xxxxx-01"/>
    <d v="2023-10-11T00:00:00"/>
    <s v="FC38-9016-xxxx-00 Sam KiwiBank"/>
    <n v="-1277.82"/>
    <x v="1"/>
    <x v="1"/>
    <x v="1"/>
  </r>
  <r>
    <s v="ASB"/>
    <s v="Saving"/>
    <s v="12-3057-xxxxx-01"/>
    <d v="2023-10-11T00:00:00"/>
    <s v="EX 12-3637- xxxx-00"/>
    <n v="112.98"/>
    <x v="1"/>
    <x v="1"/>
    <x v="1"/>
  </r>
  <r>
    <s v="ASB"/>
    <s v="Saving"/>
    <s v="12-3057-xxxxx-01"/>
    <d v="2023-10-11T00:00:00"/>
    <s v="TO CARD 1588  THANK YOU"/>
    <n v="-3.73"/>
    <x v="1"/>
    <x v="1"/>
    <x v="1"/>
  </r>
  <r>
    <s v="ASB"/>
    <s v="Saving"/>
    <s v="12-3057-xxxxx-01"/>
    <d v="2023-10-13T00:00:00"/>
    <s v="AIA Insurance SamMJ"/>
    <n v="62.09"/>
    <x v="1"/>
    <x v="1"/>
    <x v="1"/>
  </r>
  <r>
    <s v="ASB"/>
    <s v="Saving"/>
    <s v="12-3057-xxxxx-01"/>
    <d v="2023-10-13T00:00:00"/>
    <s v="TO CARD 1588  THANK YOU"/>
    <n v="-7.12"/>
    <x v="1"/>
    <x v="1"/>
    <x v="1"/>
  </r>
  <r>
    <s v="ASB"/>
    <s v="Saving"/>
    <s v="12-3057-xxxxx-01"/>
    <d v="2023-10-13T00:00:00"/>
    <s v="TO 12-3637- xxxx-00"/>
    <n v="-80.34"/>
    <x v="1"/>
    <x v="1"/>
    <x v="1"/>
  </r>
  <r>
    <s v="ASB"/>
    <s v="Saving"/>
    <s v="12-3057-xxxxx-01"/>
    <d v="2023-10-14T00:00:00"/>
    <s v="TO CARD 1588  THANK YOU"/>
    <n v="-20.16"/>
    <x v="1"/>
    <x v="1"/>
    <x v="1"/>
  </r>
  <r>
    <s v="ASB"/>
    <s v="Saving"/>
    <s v="12-3057-xxxxx-01"/>
    <d v="2023-10-15T00:00:00"/>
    <s v="EX 12-3637- xxxx-00 anz"/>
    <n v="355.31"/>
    <x v="1"/>
    <x v="1"/>
    <x v="1"/>
  </r>
  <r>
    <s v="ASB"/>
    <s v="Saving"/>
    <s v="12-3057-xxxxx-01"/>
    <d v="2023-10-15T00:00:00"/>
    <s v="EX 12-3637- xxxx-00"/>
    <n v="0.28000000000000003"/>
    <x v="1"/>
    <x v="1"/>
    <x v="1"/>
  </r>
  <r>
    <s v="ASB"/>
    <s v="Saving"/>
    <s v="12-3057-xxxxx-01"/>
    <d v="2023-10-18T00:00:00"/>
    <s v="MJ 8Denning TowerHouse Insurance"/>
    <n v="136.57"/>
    <x v="1"/>
    <x v="1"/>
    <x v="1"/>
  </r>
  <r>
    <s v="ASB"/>
    <s v="Saving"/>
    <s v="12-3057-xxxxx-01"/>
    <d v="2023-10-18T00:00:00"/>
    <s v="24 Panorama Tower H&amp;C Insurance"/>
    <n v="155.58000000000001"/>
    <x v="1"/>
    <x v="1"/>
    <x v="1"/>
  </r>
  <r>
    <s v="ASB"/>
    <s v="Saving"/>
    <s v="12-3057-xxxxx-01"/>
    <d v="2023-10-18T00:00:00"/>
    <s v="MJ 5B Tower H&amp;C Insurance"/>
    <n v="17.84"/>
    <x v="1"/>
    <x v="1"/>
    <x v="1"/>
  </r>
  <r>
    <s v="ASB"/>
    <s v="Saving"/>
    <s v="12-3057-xxxxx-01"/>
    <d v="2023-10-18T00:00:00"/>
    <s v="TO CARD 1588  THANK YOU"/>
    <n v="-52.99"/>
    <x v="1"/>
    <x v="1"/>
    <x v="1"/>
  </r>
  <r>
    <s v="ASB"/>
    <s v="Saving"/>
    <s v="12-3057-xxxxx-01"/>
    <d v="2023-10-19T00:00:00"/>
    <s v="MJ ANZ"/>
    <n v="1340.79"/>
    <x v="1"/>
    <x v="1"/>
    <x v="1"/>
  </r>
  <r>
    <s v="ASB"/>
    <s v="Saving"/>
    <s v="12-3057-xxxxx-01"/>
    <d v="2023-10-19T00:00:00"/>
    <s v="TO CARD 1588  THANK YOU"/>
    <n v="-15.7"/>
    <x v="1"/>
    <x v="1"/>
    <x v="1"/>
  </r>
  <r>
    <s v="ASB"/>
    <s v="Saving"/>
    <s v="12-3057-xxxxx-01"/>
    <d v="2023-10-19T00:00:00"/>
    <s v="FC38-9016-xxxx-00 Sam KiwiBank"/>
    <n v="-201.49"/>
    <x v="1"/>
    <x v="1"/>
    <x v="1"/>
  </r>
  <r>
    <s v="ASB"/>
    <s v="Saving"/>
    <s v="12-3057-xxxxx-01"/>
    <d v="2023-10-20T00:00:00"/>
    <s v="Electricity ContactEnrgy MJ 8Denning"/>
    <n v="227.23"/>
    <x v="1"/>
    <x v="1"/>
    <x v="1"/>
  </r>
  <r>
    <s v="ASB"/>
    <s v="Saving"/>
    <s v="12-3057-xxxxx-01"/>
    <d v="2023-10-20T00:00:00"/>
    <s v="TO CARD 1588  THANK YOU"/>
    <n v="-35.22"/>
    <x v="1"/>
    <x v="1"/>
    <x v="1"/>
  </r>
  <r>
    <s v="ASB"/>
    <s v="Saving"/>
    <s v="12-3057-xxxxx-01"/>
    <d v="2023-10-20T00:00:00"/>
    <s v="TO 12-3637- xxxx-00"/>
    <n v="-150.06"/>
    <x v="1"/>
    <x v="1"/>
    <x v="1"/>
  </r>
  <r>
    <s v="ASB"/>
    <s v="Saving"/>
    <s v="12-3057-xxxxx-01"/>
    <d v="2023-10-20T00:00:00"/>
    <s v="EX 12-3637- xxxx-00"/>
    <n v="5.3"/>
    <x v="1"/>
    <x v="1"/>
    <x v="1"/>
  </r>
  <r>
    <s v="ASB"/>
    <s v="Saving"/>
    <s v="12-3057-xxxxx-01"/>
    <d v="2023-10-20T00:00:00"/>
    <s v="FC12-3075-xxxx-02 StaffBidone MJ Alavi 64170"/>
    <n v="-247.37"/>
    <x v="0"/>
    <x v="0"/>
    <x v="0"/>
  </r>
  <r>
    <s v="ASB"/>
    <s v="Saving"/>
    <s v="12-3057-xxxxx-01"/>
    <d v="2023-10-21T00:00:00"/>
    <s v="EX 12-3637- xxxx-00"/>
    <n v="4.37"/>
    <x v="1"/>
    <x v="1"/>
    <x v="1"/>
  </r>
  <r>
    <s v="ASB"/>
    <s v="Saving"/>
    <s v="12-3057-xxxxx-01"/>
    <d v="2023-10-21T00:00:00"/>
    <s v="FC38-9016-xxxx-00 Sam KiwiBank"/>
    <n v="-37.11"/>
    <x v="1"/>
    <x v="1"/>
    <x v="1"/>
  </r>
  <r>
    <s v="ASB"/>
    <s v="Saving"/>
    <s v="12-3057-xxxxx-01"/>
    <d v="2023-10-23T00:00:00"/>
    <s v="TO CARD 1588  THANK YOU"/>
    <n v="-16.989999999999998"/>
    <x v="1"/>
    <x v="1"/>
    <x v="1"/>
  </r>
  <r>
    <s v="ASB"/>
    <s v="Saving"/>
    <s v="12-3057-xxxxx-01"/>
    <d v="2023-10-24T00:00:00"/>
    <s v="MJ ASB NetFlix 8Denning"/>
    <n v="15.48"/>
    <x v="1"/>
    <x v="1"/>
    <x v="1"/>
  </r>
  <r>
    <s v="ASB"/>
    <s v="Saving"/>
    <s v="12-3057-xxxxx-01"/>
    <d v="2023-10-25T00:00:00"/>
    <s v="akp5r2m0h08b 24PanoramaRo Rent myRent"/>
    <n v="15.55"/>
    <x v="2"/>
    <x v="2"/>
    <x v="2"/>
  </r>
  <r>
    <s v="ASB"/>
    <s v="Saving"/>
    <s v="12-3057-xxxxx-01"/>
    <d v="2023-10-25T00:00:00"/>
    <s v="FC38-9016-xxxx-00 Sam KiwiBank"/>
    <n v="-211.85"/>
    <x v="1"/>
    <x v="1"/>
    <x v="1"/>
  </r>
  <r>
    <s v="ASB"/>
    <s v="Saving"/>
    <s v="12-3057-xxxxx-01"/>
    <d v="2023-10-25T00:00:00"/>
    <s v="MJ ANZ"/>
    <n v="119.33"/>
    <x v="1"/>
    <x v="1"/>
    <x v="1"/>
  </r>
  <r>
    <s v="ASB"/>
    <s v="Saving"/>
    <s v="12-3057-xxxxx-01"/>
    <d v="2023-10-26T00:00:00"/>
    <s v="BY Seyed ALAVI TO CARD 1588"/>
    <n v="-46.1"/>
    <x v="1"/>
    <x v="1"/>
    <x v="1"/>
  </r>
  <r>
    <s v="ASB"/>
    <s v="Saving"/>
    <s v="12-3057-xxxxx-01"/>
    <d v="2023-10-26T00:00:00"/>
    <s v="TO 12-3637- xxxx-00"/>
    <n v="-434.29"/>
    <x v="1"/>
    <x v="1"/>
    <x v="1"/>
  </r>
  <r>
    <s v="ASB"/>
    <s v="Saving"/>
    <s v="12-3057-xxxxx-01"/>
    <d v="2023-10-26T00:00:00"/>
    <s v="EX 12-3637- xxxx-00"/>
    <n v="41.74"/>
    <x v="1"/>
    <x v="1"/>
    <x v="1"/>
  </r>
  <r>
    <s v="ASB"/>
    <s v="Saving"/>
    <s v="12-3057-xxxxx-01"/>
    <d v="2023-10-26T00:00:00"/>
    <s v="TO CARD 1588  THANK YOU"/>
    <n v="-26.7"/>
    <x v="1"/>
    <x v="1"/>
    <x v="1"/>
  </r>
  <r>
    <s v="ASB"/>
    <s v="Saving"/>
    <s v="12-3057-xxxxx-01"/>
    <d v="2023-10-26T00:00:00"/>
    <s v="FC12-3075-xxxx-00 somaye taebi"/>
    <n v="-17.87"/>
    <x v="1"/>
    <x v="1"/>
    <x v="1"/>
  </r>
  <r>
    <s v="ASB"/>
    <s v="Saving"/>
    <s v="12-3057-xxxxx-01"/>
    <d v="2023-10-26T00:00:00"/>
    <s v="FC01-0451-0097059-00 StatementNo 2635832 WM1211508"/>
    <n v="-0.77"/>
    <x v="4"/>
    <x v="12"/>
    <x v="12"/>
  </r>
  <r>
    <s v="ASB"/>
    <s v="Saving"/>
    <s v="12-3057-xxxxx-01"/>
    <d v="2023-10-26T00:00:00"/>
    <s v="EX 12-3637- xxxx-00"/>
    <n v="37.950000000000003"/>
    <x v="1"/>
    <x v="1"/>
    <x v="1"/>
  </r>
  <r>
    <s v="ASB"/>
    <s v="Saving"/>
    <s v="12-3057-xxxxx-01"/>
    <d v="2023-10-26T00:00:00"/>
    <s v="TO CARD 1588  THANK YOU"/>
    <n v="-10.94"/>
    <x v="1"/>
    <x v="1"/>
    <x v="1"/>
  </r>
  <r>
    <s v="ASB"/>
    <s v="Saving"/>
    <s v="12-3057-xxxxx-01"/>
    <d v="2023-10-26T00:00:00"/>
    <s v="TO CARD 1588  THANK YOU"/>
    <n v="-8.48"/>
    <x v="1"/>
    <x v="1"/>
    <x v="1"/>
  </r>
  <r>
    <s v="ASB"/>
    <s v="Saving"/>
    <s v="12-3057-xxxxx-01"/>
    <d v="2023-10-27T00:00:00"/>
    <s v="TO CARD 1588  THANK YOU"/>
    <n v="-28.91"/>
    <x v="1"/>
    <x v="1"/>
    <x v="1"/>
  </r>
  <r>
    <s v="ASB"/>
    <s v="Saving"/>
    <s v="12-3057-xxxxx-01"/>
    <d v="2023-10-27T00:00:00"/>
    <s v="Mobile MJ Skinny"/>
    <n v="0.1"/>
    <x v="1"/>
    <x v="1"/>
    <x v="1"/>
  </r>
  <r>
    <s v="ASB"/>
    <s v="Saving"/>
    <s v="12-3057-xxxxx-01"/>
    <d v="2023-10-28T00:00:00"/>
    <s v="TO CARD 1588  THANK YOU"/>
    <n v="-0.67"/>
    <x v="1"/>
    <x v="1"/>
    <x v="1"/>
  </r>
  <r>
    <s v="ASB"/>
    <s v="Saving"/>
    <s v="12-3057-xxxxx-01"/>
    <d v="2023-10-29T00:00:00"/>
    <s v="EX 12-3637- xxxx-00"/>
    <n v="58.75"/>
    <x v="1"/>
    <x v="1"/>
    <x v="1"/>
  </r>
  <r>
    <s v="ASB"/>
    <s v="Saving"/>
    <s v="12-3057-xxxxx-01"/>
    <d v="2023-10-29T00:00:00"/>
    <s v="TO CARD 1588  THANK YOU"/>
    <n v="-0.55000000000000004"/>
    <x v="1"/>
    <x v="1"/>
    <x v="1"/>
  </r>
  <r>
    <s v="ASB"/>
    <s v="Saving"/>
    <s v="12-3057-xxxxx-01"/>
    <d v="2023-11-01T00:00:00"/>
    <s v="MJ ANZ"/>
    <n v="428.6"/>
    <x v="1"/>
    <x v="1"/>
    <x v="1"/>
  </r>
  <r>
    <s v="ASB"/>
    <s v="Saving"/>
    <s v="12-3057-xxxxx-01"/>
    <d v="2023-11-02T00:00:00"/>
    <s v="FC12-3075-xxxx-02 StaffBidone MJ Alavi 64170"/>
    <n v="-347.5"/>
    <x v="0"/>
    <x v="0"/>
    <x v="0"/>
  </r>
  <r>
    <s v="ASB"/>
    <s v="Saving"/>
    <s v="12-3057-xxxxx-01"/>
    <d v="2023-11-02T00:00:00"/>
    <s v="TO 12-3637- xxxx-00"/>
    <n v="-24.11"/>
    <x v="1"/>
    <x v="1"/>
    <x v="1"/>
  </r>
  <r>
    <s v="ASB"/>
    <s v="Saving"/>
    <s v="12-3057-xxxxx-01"/>
    <d v="2023-11-02T00:00:00"/>
    <s v="TO CARD 1588  THANK YOU"/>
    <n v="-6.49"/>
    <x v="1"/>
    <x v="1"/>
    <x v="1"/>
  </r>
  <r>
    <s v="ASB"/>
    <s v="Saving"/>
    <s v="12-3057-xxxxx-01"/>
    <d v="2023-11-04T00:00:00"/>
    <s v="MJ 8Denning TowerContent Insurance"/>
    <n v="43.62"/>
    <x v="1"/>
    <x v="1"/>
    <x v="1"/>
  </r>
  <r>
    <s v="ASB"/>
    <s v="Saving"/>
    <s v="12-3057-xxxxx-01"/>
    <d v="2023-11-04T00:00:00"/>
    <s v="MJ Apple Cloud Storage"/>
    <n v="6.4"/>
    <x v="1"/>
    <x v="1"/>
    <x v="1"/>
  </r>
  <r>
    <s v="ASB"/>
    <s v="Saving"/>
    <s v="12-3057-xxxxx-01"/>
    <d v="2023-11-04T00:00:00"/>
    <s v="TO CARD 1588  THANK YOU"/>
    <n v="-65.13"/>
    <x v="1"/>
    <x v="1"/>
    <x v="1"/>
  </r>
  <r>
    <s v="ASB"/>
    <s v="Saving"/>
    <s v="12-3057-xxxxx-01"/>
    <d v="2023-11-05T00:00:00"/>
    <s v="Mobile Sam Skinny"/>
    <n v="13.81"/>
    <x v="1"/>
    <x v="1"/>
    <x v="1"/>
  </r>
  <r>
    <s v="ASB"/>
    <s v="Saving"/>
    <s v="12-3057-xxxxx-01"/>
    <d v="2023-11-05T00:00:00"/>
    <s v="TO CARD 1588  THANK YOU"/>
    <n v="-16.03"/>
    <x v="1"/>
    <x v="1"/>
    <x v="1"/>
  </r>
  <r>
    <s v="ASB"/>
    <s v="Saving"/>
    <s v="12-3057-xxxxx-01"/>
    <d v="2023-11-05T00:00:00"/>
    <s v="EX 12-3637- xxxx-00"/>
    <n v="75.05"/>
    <x v="1"/>
    <x v="1"/>
    <x v="1"/>
  </r>
  <r>
    <s v="ASB"/>
    <s v="Saving"/>
    <s v="12-3057-xxxxx-01"/>
    <d v="2023-11-05T00:00:00"/>
    <s v="TO CARD 1588  THANK YOU"/>
    <n v="-15.84"/>
    <x v="1"/>
    <x v="1"/>
    <x v="1"/>
  </r>
  <r>
    <s v="ASB"/>
    <s v="Saving"/>
    <s v="12-3057-xxxxx-01"/>
    <d v="2023-11-06T00:00:00"/>
    <s v="Water  MJ 8Denning"/>
    <n v="23.76"/>
    <x v="1"/>
    <x v="1"/>
    <x v="1"/>
  </r>
  <r>
    <s v="ASB"/>
    <s v="Saving"/>
    <s v="12-3057-xxxxx-01"/>
    <d v="2023-11-06T00:00:00"/>
    <s v="MJ Mobile US Phone Sam"/>
    <n v="14.49"/>
    <x v="1"/>
    <x v="1"/>
    <x v="1"/>
  </r>
  <r>
    <s v="ASB"/>
    <s v="Saving"/>
    <s v="12-3057-xxxxx-01"/>
    <d v="2023-11-07T00:00:00"/>
    <s v="TO CARD 1588  THANK YOU"/>
    <n v="-8.7200000000000006"/>
    <x v="1"/>
    <x v="1"/>
    <x v="1"/>
  </r>
  <r>
    <s v="ASB"/>
    <s v="Saving"/>
    <s v="12-3057-xxxxx-01"/>
    <d v="2023-11-08T00:00:00"/>
    <s v="akpi4060fbtd 24PanoramaRo Rent myRent"/>
    <n v="1253.07"/>
    <x v="2"/>
    <x v="2"/>
    <x v="2"/>
  </r>
  <r>
    <s v="ASB"/>
    <s v="Saving"/>
    <s v="12-3057-xxxxx-01"/>
    <d v="2023-11-08T00:00:00"/>
    <s v="FC38-9016-xxxx-00 Sam KiwiBank"/>
    <n v="-1125.02"/>
    <x v="1"/>
    <x v="1"/>
    <x v="1"/>
  </r>
  <r>
    <s v="ASB"/>
    <s v="Saving"/>
    <s v="12-3057-xxxxx-01"/>
    <d v="2023-11-08T00:00:00"/>
    <s v="TO CARD 1588  THANK YOU"/>
    <n v="-46.33"/>
    <x v="1"/>
    <x v="1"/>
    <x v="1"/>
  </r>
  <r>
    <s v="ASB"/>
    <s v="Saving"/>
    <s v="12-3057-xxxxx-01"/>
    <d v="2023-11-08T00:00:00"/>
    <s v="TO CARD 1588  THANK YOU"/>
    <n v="-63.39"/>
    <x v="1"/>
    <x v="1"/>
    <x v="1"/>
  </r>
  <r>
    <s v="ASB"/>
    <s v="Saving"/>
    <s v="12-3057-xxxxx-01"/>
    <d v="2023-11-08T00:00:00"/>
    <s v="EX 12-3637- xxxx-00"/>
    <n v="25.58"/>
    <x v="1"/>
    <x v="1"/>
    <x v="1"/>
  </r>
  <r>
    <s v="ASB"/>
    <s v="Saving"/>
    <s v="12-3057-xxxxx-01"/>
    <d v="2023-11-08T00:00:00"/>
    <s v="FC38-9016-xxxx-00 Sam KiwiBank"/>
    <n v="-113.37"/>
    <x v="1"/>
    <x v="1"/>
    <x v="1"/>
  </r>
  <r>
    <s v="ASB"/>
    <s v="Saving"/>
    <s v="12-3057-xxxxx-01"/>
    <d v="2023-11-09T00:00:00"/>
    <s v="TO CARD 1588  THANK YOU"/>
    <n v="-2.2599999999999998"/>
    <x v="1"/>
    <x v="1"/>
    <x v="1"/>
  </r>
  <r>
    <s v="ASB"/>
    <s v="Saving"/>
    <s v="12-3057-xxxxx-01"/>
    <d v="2023-11-12T00:00:00"/>
    <s v="TO CARD 1588  THANK YOU"/>
    <n v="-12.5"/>
    <x v="1"/>
    <x v="1"/>
    <x v="1"/>
  </r>
  <r>
    <s v="ASB"/>
    <s v="Saving"/>
    <s v="12-3057-xxxxx-01"/>
    <d v="2023-11-13T00:00:00"/>
    <s v="AIA Insurance SamMJ"/>
    <n v="76.83"/>
    <x v="1"/>
    <x v="1"/>
    <x v="1"/>
  </r>
  <r>
    <s v="ASB"/>
    <s v="Saving"/>
    <s v="12-3057-xxxxx-01"/>
    <d v="2023-11-15T00:00:00"/>
    <s v="TO CARD 1588  THANK YOU"/>
    <n v="-0.59"/>
    <x v="1"/>
    <x v="1"/>
    <x v="1"/>
  </r>
  <r>
    <s v="ASB"/>
    <s v="Saving"/>
    <s v="12-3057-xxxxx-01"/>
    <d v="2023-11-15T00:00:00"/>
    <s v="MJ ANZ"/>
    <n v="53.18"/>
    <x v="1"/>
    <x v="1"/>
    <x v="1"/>
  </r>
  <r>
    <s v="ASB"/>
    <s v="Saving"/>
    <s v="12-3057-xxxxx-01"/>
    <d v="2023-11-15T00:00:00"/>
    <s v="FC12-3075-xxxx-02 StaffBidone MJ Alavi 64170"/>
    <n v="-234.91"/>
    <x v="0"/>
    <x v="0"/>
    <x v="0"/>
  </r>
  <r>
    <s v="ASB"/>
    <s v="Saving"/>
    <s v="12-3057-xxxxx-01"/>
    <d v="2023-11-15T00:00:00"/>
    <s v="TO CARD 1588  THANK YOU"/>
    <n v="-27.37"/>
    <x v="1"/>
    <x v="1"/>
    <x v="1"/>
  </r>
  <r>
    <s v="ASB"/>
    <s v="Saving"/>
    <s v="12-3057-xxxxx-01"/>
    <d v="2023-11-16T00:00:00"/>
    <s v="TO CARD 1588  THANK YOU"/>
    <n v="-0.66"/>
    <x v="1"/>
    <x v="1"/>
    <x v="1"/>
  </r>
  <r>
    <s v="ASB"/>
    <s v="Saving"/>
    <s v="12-3057-xxxxx-01"/>
    <d v="2023-11-16T00:00:00"/>
    <s v="TO CARD 1588  THANK YOU"/>
    <n v="-9.8800000000000008"/>
    <x v="1"/>
    <x v="1"/>
    <x v="1"/>
  </r>
  <r>
    <s v="ASB"/>
    <s v="Saving"/>
    <s v="12-3057-xxxxx-01"/>
    <d v="2023-11-18T00:00:00"/>
    <s v="MJ 8Denning TowerHouse Insurance"/>
    <n v="116.4"/>
    <x v="1"/>
    <x v="1"/>
    <x v="1"/>
  </r>
  <r>
    <s v="ASB"/>
    <s v="Saving"/>
    <s v="12-3057-xxxxx-01"/>
    <d v="2023-11-18T00:00:00"/>
    <s v="24 Panorama Tower H&amp;C Insurance"/>
    <n v="86.93"/>
    <x v="1"/>
    <x v="1"/>
    <x v="1"/>
  </r>
  <r>
    <s v="ASB"/>
    <s v="Saving"/>
    <s v="12-3057-xxxxx-01"/>
    <d v="2023-11-18T00:00:00"/>
    <s v="MJ 5B Tower H&amp;C Insurance"/>
    <n v="47.53"/>
    <x v="1"/>
    <x v="1"/>
    <x v="1"/>
  </r>
  <r>
    <s v="ASB"/>
    <s v="Saving"/>
    <s v="12-3057-xxxxx-01"/>
    <d v="2023-11-19T00:00:00"/>
    <s v="TO 12-3637- xxxx-00"/>
    <n v="-60.72"/>
    <x v="1"/>
    <x v="1"/>
    <x v="1"/>
  </r>
  <r>
    <s v="ASB"/>
    <s v="Saving"/>
    <s v="12-3057-xxxxx-01"/>
    <d v="2023-11-19T00:00:00"/>
    <s v="EX 12-3637- xxxx-00"/>
    <n v="17.41"/>
    <x v="1"/>
    <x v="1"/>
    <x v="1"/>
  </r>
  <r>
    <s v="ASB"/>
    <s v="Saving"/>
    <s v="12-3057-xxxxx-01"/>
    <d v="2023-11-19T00:00:00"/>
    <s v="FC38-9016-xxxx-00 Sam KiwiBank"/>
    <n v="-274.35000000000002"/>
    <x v="1"/>
    <x v="1"/>
    <x v="1"/>
  </r>
  <r>
    <s v="ASB"/>
    <s v="Saving"/>
    <s v="12-3057-xxxxx-01"/>
    <d v="2023-11-19T00:00:00"/>
    <s v="TO CARD 1588  THANK YOU"/>
    <n v="-24.19"/>
    <x v="1"/>
    <x v="1"/>
    <x v="1"/>
  </r>
  <r>
    <s v="ASB"/>
    <s v="Saving"/>
    <s v="12-3057-xxxxx-01"/>
    <d v="2023-11-20T00:00:00"/>
    <s v="EX 12-3637- xxxx-00"/>
    <n v="126.85"/>
    <x v="1"/>
    <x v="1"/>
    <x v="1"/>
  </r>
  <r>
    <s v="ASB"/>
    <s v="Saving"/>
    <s v="12-3057-xxxxx-01"/>
    <d v="2023-11-20T00:00:00"/>
    <s v="BILL PAYMENT TO Sam KiwiBank"/>
    <n v="-33.82"/>
    <x v="1"/>
    <x v="1"/>
    <x v="1"/>
  </r>
  <r>
    <s v="ASB"/>
    <s v="Saving"/>
    <s v="12-3057-xxxxx-01"/>
    <d v="2023-11-20T00:00:00"/>
    <s v="Electricity ContactEnrgy MJ 8Denning"/>
    <n v="36.869999999999997"/>
    <x v="1"/>
    <x v="1"/>
    <x v="1"/>
  </r>
  <r>
    <s v="ASB"/>
    <s v="Saving"/>
    <s v="12-3057-xxxxx-01"/>
    <d v="2023-11-20T00:00:00"/>
    <s v="TO 12-3637- xxxx-00"/>
    <n v="-210.74"/>
    <x v="1"/>
    <x v="1"/>
    <x v="1"/>
  </r>
  <r>
    <s v="ASB"/>
    <s v="Saving"/>
    <s v="12-3057-xxxxx-01"/>
    <d v="2023-11-20T00:00:00"/>
    <s v="EX 12-3637- xxxx-00"/>
    <n v="79.41"/>
    <x v="1"/>
    <x v="1"/>
    <x v="1"/>
  </r>
  <r>
    <s v="ASB"/>
    <s v="Saving"/>
    <s v="12-3057-xxxxx-01"/>
    <d v="2023-11-20T00:00:00"/>
    <s v="BILL PAYMENT TO Sam KiwiBank"/>
    <n v="-248.91"/>
    <x v="1"/>
    <x v="1"/>
    <x v="1"/>
  </r>
  <r>
    <s v="ASB"/>
    <s v="Saving"/>
    <s v="12-3057-xxxxx-01"/>
    <d v="2023-11-21T00:00:00"/>
    <s v="TO CARD 1588  THANK YOU"/>
    <n v="-45.66"/>
    <x v="1"/>
    <x v="1"/>
    <x v="1"/>
  </r>
  <r>
    <s v="ASB"/>
    <s v="Saving"/>
    <s v="12-3057-xxxxx-01"/>
    <d v="2023-11-22T00:00:00"/>
    <s v="akpxz0c0yz57 24PanoramaRo Rent myRent"/>
    <n v="187.39"/>
    <x v="2"/>
    <x v="2"/>
    <x v="2"/>
  </r>
  <r>
    <s v="ASB"/>
    <s v="Saving"/>
    <s v="12-3057-xxxxx-01"/>
    <d v="2023-11-22T00:00:00"/>
    <s v="TO CARD 1588  THANK YOU"/>
    <n v="-157.13"/>
    <x v="1"/>
    <x v="1"/>
    <x v="1"/>
  </r>
  <r>
    <s v="ASB"/>
    <s v="Saving"/>
    <s v="12-3057-xxxxx-01"/>
    <d v="2023-11-22T00:00:00"/>
    <s v="BILL PAYMENT TO Sam KiwiBank"/>
    <n v="-1169.33"/>
    <x v="1"/>
    <x v="1"/>
    <x v="1"/>
  </r>
  <r>
    <s v="ASB"/>
    <s v="Saving"/>
    <s v="12-3057-xxxxx-01"/>
    <d v="2023-11-22T00:00:00"/>
    <s v="MJ ANZ"/>
    <n v="317.86"/>
    <x v="1"/>
    <x v="1"/>
    <x v="1"/>
  </r>
  <r>
    <s v="ASB"/>
    <s v="Saving"/>
    <s v="12-3057-xxxxx-01"/>
    <d v="2023-11-22T00:00:00"/>
    <s v="TO 12-3637- xxxx-00"/>
    <n v="-422.79"/>
    <x v="1"/>
    <x v="1"/>
    <x v="1"/>
  </r>
  <r>
    <s v="ASB"/>
    <s v="Saving"/>
    <s v="12-3057-xxxxx-01"/>
    <d v="2023-11-23T00:00:00"/>
    <s v="TO CARD 1588  THANK YOU"/>
    <n v="-4.0199999999999996"/>
    <x v="1"/>
    <x v="1"/>
    <x v="1"/>
  </r>
  <r>
    <s v="ASB"/>
    <s v="Saving"/>
    <s v="12-3057-xxxxx-01"/>
    <d v="2023-11-24T00:00:00"/>
    <s v="MJ ASB NetFlix 8Denning"/>
    <n v="6.66"/>
    <x v="1"/>
    <x v="1"/>
    <x v="1"/>
  </r>
  <r>
    <s v="ASB"/>
    <s v="Saving"/>
    <s v="12-3057-xxxxx-01"/>
    <d v="2023-11-24T00:00:00"/>
    <s v="Mobile MJ Skinny"/>
    <n v="12.86"/>
    <x v="1"/>
    <x v="1"/>
    <x v="1"/>
  </r>
  <r>
    <s v="ASB"/>
    <s v="Saving"/>
    <s v="12-3057-xxxxx-01"/>
    <d v="2023-11-25T00:00:00"/>
    <s v="TO CARD 1588  THANK YOU"/>
    <n v="-7.78"/>
    <x v="1"/>
    <x v="1"/>
    <x v="1"/>
  </r>
  <r>
    <s v="ASB"/>
    <s v="Saving"/>
    <s v="12-3057-xxxxx-01"/>
    <d v="2023-11-26T00:00:00"/>
    <s v="TO CARD 1588  THANK YOU"/>
    <n v="-94.7"/>
    <x v="1"/>
    <x v="1"/>
    <x v="1"/>
  </r>
  <r>
    <s v="ASB"/>
    <s v="Saving"/>
    <s v="12-3057-xxxxx-01"/>
    <d v="2023-11-28T00:00:00"/>
    <s v="EX 12-3637- xxxx-00"/>
    <n v="134.56"/>
    <x v="1"/>
    <x v="1"/>
    <x v="1"/>
  </r>
  <r>
    <s v="ASB"/>
    <s v="Saving"/>
    <s v="12-3057-xxxxx-01"/>
    <d v="2023-11-28T00:00:00"/>
    <s v="BILL PAYMENT TO Sam KiwiBank"/>
    <n v="-111.5"/>
    <x v="1"/>
    <x v="1"/>
    <x v="1"/>
  </r>
  <r>
    <s v="ASB"/>
    <s v="Saving"/>
    <s v="12-3057-xxxxx-01"/>
    <d v="2023-11-28T00:00:00"/>
    <s v="EX 12-3637- xxxx-00"/>
    <n v="195.03"/>
    <x v="1"/>
    <x v="1"/>
    <x v="1"/>
  </r>
  <r>
    <s v="ASB"/>
    <s v="Saving"/>
    <s v="12-3057-xxxxx-01"/>
    <d v="2023-11-28T00:00:00"/>
    <s v="TO CARD 1588  THANK YOU"/>
    <n v="-9.2200000000000006"/>
    <x v="1"/>
    <x v="1"/>
    <x v="1"/>
  </r>
  <r>
    <s v="ASB"/>
    <s v="Saving"/>
    <s v="12-3057-xxxxx-01"/>
    <d v="2023-11-28T00:00:00"/>
    <s v="BILL PAYMENT TO Sam KiwiBank"/>
    <n v="-33.590000000000003"/>
    <x v="1"/>
    <x v="1"/>
    <x v="1"/>
  </r>
  <r>
    <s v="ASB"/>
    <s v="Saving"/>
    <s v="12-3057-xxxxx-01"/>
    <d v="2023-11-29T00:00:00"/>
    <s v="MJ ANZ"/>
    <n v="139.18"/>
    <x v="1"/>
    <x v="1"/>
    <x v="1"/>
  </r>
  <r>
    <s v="ASB"/>
    <s v="Saving"/>
    <s v="12-3057-xxxxx-01"/>
    <d v="2023-11-30T00:00:00"/>
    <s v="TO CARD 1588  THANK YOU"/>
    <n v="-8.65"/>
    <x v="1"/>
    <x v="1"/>
    <x v="1"/>
  </r>
  <r>
    <s v="ASB"/>
    <s v="Saving"/>
    <s v="12-3057-xxxxx-01"/>
    <d v="2023-12-01T00:00:00"/>
    <s v="TO CARD 1588  THANK YOU"/>
    <n v="-12.88"/>
    <x v="1"/>
    <x v="1"/>
    <x v="1"/>
  </r>
  <r>
    <s v="ASB"/>
    <s v="Saving"/>
    <s v="12-3057-xxxxx-01"/>
    <d v="2023-12-03T00:00:00"/>
    <s v="TO CARD 1588  THANK YOU"/>
    <n v="-58.37"/>
    <x v="1"/>
    <x v="1"/>
    <x v="1"/>
  </r>
  <r>
    <s v="ASB"/>
    <s v="Saving"/>
    <s v="12-3057-xxxxx-01"/>
    <d v="2023-12-03T00:00:00"/>
    <s v="Mobile Sam Skinny"/>
    <n v="15.09"/>
    <x v="1"/>
    <x v="1"/>
    <x v="1"/>
  </r>
  <r>
    <s v="ASB"/>
    <s v="Saving"/>
    <s v="12-3057-xxxxx-01"/>
    <d v="2023-12-03T00:00:00"/>
    <s v="TO CARD 1588  THANK YOU"/>
    <n v="-6.69"/>
    <x v="1"/>
    <x v="1"/>
    <x v="1"/>
  </r>
  <r>
    <s v="ASB"/>
    <s v="Saving"/>
    <s v="12-3057-xxxxx-01"/>
    <d v="2023-12-03T00:00:00"/>
    <s v="TO CARD 1588  THANK YOU"/>
    <n v="-77.010000000000005"/>
    <x v="1"/>
    <x v="1"/>
    <x v="1"/>
  </r>
  <r>
    <s v="ASB"/>
    <s v="Saving"/>
    <s v="12-3057-xxxxx-01"/>
    <d v="2023-12-04T00:00:00"/>
    <s v="MJ 8Denning TowerContent Insurance"/>
    <n v="58.14"/>
    <x v="1"/>
    <x v="1"/>
    <x v="1"/>
  </r>
  <r>
    <s v="ASB"/>
    <s v="Saving"/>
    <s v="12-3057-xxxxx-01"/>
    <d v="2023-12-04T00:00:00"/>
    <s v="MJ Apple Cloud Storage"/>
    <n v="15.24"/>
    <x v="1"/>
    <x v="1"/>
    <x v="1"/>
  </r>
  <r>
    <s v="ASB"/>
    <s v="Saving"/>
    <s v="12-3057-xxxxx-01"/>
    <d v="2023-12-04T00:00:00"/>
    <s v="TO CARD 1588  THANK YOU"/>
    <n v="-43.99"/>
    <x v="1"/>
    <x v="1"/>
    <x v="1"/>
  </r>
  <r>
    <s v="ASB"/>
    <s v="Saving"/>
    <s v="12-3057-xxxxx-01"/>
    <d v="2023-12-05T00:00:00"/>
    <m/>
    <n v="20.46"/>
    <x v="1"/>
    <x v="1"/>
    <x v="1"/>
  </r>
  <r>
    <s v="ASB"/>
    <s v="Saving"/>
    <s v="12-3057-xxxxx-01"/>
    <d v="2023-12-05T00:00:00"/>
    <s v="TO CARD 1588  THANK YOU"/>
    <n v="-245.47"/>
    <x v="1"/>
    <x v="1"/>
    <x v="1"/>
  </r>
  <r>
    <s v="ASB"/>
    <s v="Saving"/>
    <s v="12-3057-xxxxx-01"/>
    <d v="2023-12-06T00:00:00"/>
    <s v="MJ Mobile US Phone Sam"/>
    <n v="7.29"/>
    <x v="1"/>
    <x v="1"/>
    <x v="1"/>
  </r>
  <r>
    <s v="ASB"/>
    <s v="Saving"/>
    <s v="12-3057-xxxxx-01"/>
    <d v="2023-12-06T00:00:00"/>
    <s v="Water  MJ 8Denning"/>
    <n v="13.29"/>
    <x v="1"/>
    <x v="1"/>
    <x v="1"/>
  </r>
  <r>
    <s v="ASB"/>
    <s v="Saving"/>
    <s v="12-3057-xxxxx-01"/>
    <d v="2023-12-06T00:00:00"/>
    <s v="akp0x0h08x06 24PanoramaRo Rent myRent"/>
    <n v="17.23"/>
    <x v="2"/>
    <x v="2"/>
    <x v="2"/>
  </r>
  <r>
    <s v="ASB"/>
    <s v="Saving"/>
    <s v="12-3057-xxxxx-01"/>
    <d v="2023-12-06T00:00:00"/>
    <s v="BILL PAYMENT TO Sam KiwiBank"/>
    <n v="-1823.42"/>
    <x v="1"/>
    <x v="1"/>
    <x v="1"/>
  </r>
  <r>
    <s v="ASB"/>
    <s v="Saving"/>
    <s v="12-3057-xxxxx-01"/>
    <d v="2023-12-07T00:00:00"/>
    <s v="TO CARD 1588  THANK YOU"/>
    <n v="-8.58"/>
    <x v="1"/>
    <x v="1"/>
    <x v="1"/>
  </r>
  <r>
    <s v="ASB"/>
    <s v="Saving"/>
    <s v="12-3057-xxxxx-01"/>
    <d v="2023-12-09T00:00:00"/>
    <s v="TO CARD 1588  THANK YOU"/>
    <n v="-11.19"/>
    <x v="1"/>
    <x v="1"/>
    <x v="1"/>
  </r>
  <r>
    <s v="ASB"/>
    <s v="Saving"/>
    <s v="12-3057-xxxxx-01"/>
    <d v="2023-12-09T00:00:00"/>
    <s v="TO CARD 1588  THANK YOU"/>
    <n v="-29.45"/>
    <x v="1"/>
    <x v="1"/>
    <x v="1"/>
  </r>
  <r>
    <s v="ASB"/>
    <s v="Saving"/>
    <s v="12-3057-xxxxx-01"/>
    <d v="2023-12-10T00:00:00"/>
    <s v="TO CARD 1588  THANK YOU"/>
    <n v="-23.44"/>
    <x v="1"/>
    <x v="1"/>
    <x v="1"/>
  </r>
  <r>
    <s v="ASB"/>
    <s v="Saving"/>
    <s v="12-3057-xxxxx-01"/>
    <d v="2023-12-10T00:00:00"/>
    <s v="TO CARD 1588  THANK YOU"/>
    <n v="-51.78"/>
    <x v="1"/>
    <x v="1"/>
    <x v="1"/>
  </r>
  <r>
    <s v="ASB"/>
    <s v="Saving"/>
    <s v="12-3057-xxxxx-01"/>
    <d v="2023-12-10T00:00:00"/>
    <m/>
    <n v="134.37"/>
    <x v="1"/>
    <x v="1"/>
    <x v="1"/>
  </r>
  <r>
    <s v="ASB"/>
    <s v="Saving"/>
    <s v="12-3057-xxxxx-01"/>
    <d v="2023-12-11T00:00:00"/>
    <s v="TO CARD 1588  THANK YOU"/>
    <n v="-44"/>
    <x v="1"/>
    <x v="1"/>
    <x v="1"/>
  </r>
  <r>
    <s v="ASB"/>
    <s v="Saving"/>
    <s v="12-3057-xxxxx-01"/>
    <d v="2023-12-13T00:00:00"/>
    <s v="AIA Insurance SamMJ"/>
    <n v="105.54"/>
    <x v="1"/>
    <x v="1"/>
    <x v="1"/>
  </r>
  <r>
    <s v="ASB"/>
    <s v="Saving"/>
    <s v="12-3057-xxxxx-01"/>
    <d v="2023-12-13T00:00:00"/>
    <s v="TO CARD 1588  THANK YOU"/>
    <n v="-8.24"/>
    <x v="1"/>
    <x v="1"/>
    <x v="1"/>
  </r>
  <r>
    <s v="ASB"/>
    <s v="Saving"/>
    <s v="12-3057-xxxxx-01"/>
    <d v="2023-12-14T00:00:00"/>
    <s v="TO CARD 1588  THANK YOU"/>
    <n v="-12.59"/>
    <x v="1"/>
    <x v="1"/>
    <x v="1"/>
  </r>
  <r>
    <s v="ASB"/>
    <s v="Saving"/>
    <s v="12-3057-xxxxx-01"/>
    <d v="2023-12-18T00:00:00"/>
    <s v="MJ 8Denning TowerHouse Insurance"/>
    <n v="74.41"/>
    <x v="1"/>
    <x v="1"/>
    <x v="1"/>
  </r>
  <r>
    <s v="ASB"/>
    <s v="Saving"/>
    <s v="12-3057-xxxxx-01"/>
    <d v="2023-12-18T00:00:00"/>
    <s v="24 Panorama Tower H&amp;C Insurance"/>
    <n v="0.56000000000000005"/>
    <x v="1"/>
    <x v="1"/>
    <x v="1"/>
  </r>
  <r>
    <s v="ASB"/>
    <s v="Saving"/>
    <s v="12-3057-xxxxx-01"/>
    <d v="2023-12-18T00:00:00"/>
    <s v="MJ 5B Tower H&amp;C Insurance"/>
    <n v="24.96"/>
    <x v="1"/>
    <x v="1"/>
    <x v="1"/>
  </r>
  <r>
    <s v="ASB"/>
    <s v="Saving"/>
    <s v="12-3057-xxxxx-01"/>
    <d v="2023-12-19T00:00:00"/>
    <s v="TO CARD 1588  THANK YOU"/>
    <n v="-42.22"/>
    <x v="1"/>
    <x v="1"/>
    <x v="1"/>
  </r>
  <r>
    <s v="ASB"/>
    <s v="Saving"/>
    <s v="12-3057-xxxxx-01"/>
    <d v="2023-12-20T00:00:00"/>
    <s v="TO 12-3637- xxxx-00"/>
    <n v="-136.97"/>
    <x v="1"/>
    <x v="1"/>
    <x v="1"/>
  </r>
  <r>
    <s v="ASB"/>
    <s v="Saving"/>
    <s v="12-3057-xxxxx-01"/>
    <d v="2023-12-20T00:00:00"/>
    <s v="BILL PAYMENT TO Sam KiwiBank"/>
    <n v="-84.66"/>
    <x v="1"/>
    <x v="1"/>
    <x v="1"/>
  </r>
  <r>
    <s v="ASB"/>
    <s v="Saving"/>
    <s v="12-3057-xxxxx-01"/>
    <d v="2023-12-20T00:00:00"/>
    <s v="Electricity ContactEnrgy MJ 8Denning"/>
    <n v="54.01"/>
    <x v="1"/>
    <x v="1"/>
    <x v="1"/>
  </r>
  <r>
    <s v="ASB"/>
    <s v="Saving"/>
    <s v="12-3057-xxxxx-01"/>
    <d v="2023-12-20T00:00:00"/>
    <s v="akphi040jwmu 24PanoramaRo Rent myRent"/>
    <n v="1558.99"/>
    <x v="2"/>
    <x v="2"/>
    <x v="2"/>
  </r>
  <r>
    <s v="ASB"/>
    <s v="Saving"/>
    <s v="12-3057-xxxxx-01"/>
    <d v="2023-12-20T00:00:00"/>
    <s v="BILL PAYMENT TO Sam KiwiBank"/>
    <n v="-74.319999999999993"/>
    <x v="1"/>
    <x v="1"/>
    <x v="1"/>
  </r>
  <r>
    <s v="ASB"/>
    <s v="Saving"/>
    <s v="12-3057-xxxxx-01"/>
    <d v="2023-12-21T00:00:00"/>
    <s v="TO CARD 1588  THANK YOU"/>
    <n v="-0.71"/>
    <x v="1"/>
    <x v="1"/>
    <x v="1"/>
  </r>
  <r>
    <s v="ASB"/>
    <s v="Saving"/>
    <s v="12-3057-xxxxx-01"/>
    <d v="2023-12-22T00:00:00"/>
    <s v="Mobile MJ Skinny"/>
    <n v="1.17"/>
    <x v="1"/>
    <x v="1"/>
    <x v="1"/>
  </r>
  <r>
    <s v="ASB"/>
    <s v="Saving"/>
    <s v="12-3057-xxxxx-01"/>
    <d v="2023-12-24T00:00:00"/>
    <s v="MJ ASB NetFlix 8Denning"/>
    <n v="20.99"/>
    <x v="1"/>
    <x v="1"/>
    <x v="1"/>
  </r>
  <r>
    <s v="ASB"/>
    <s v="Saving"/>
    <s v="12-3057-xxxxx-01"/>
    <d v="2023-12-27T00:00:00"/>
    <s v="TO CARD 1588  THANK YOU"/>
    <n v="-19.11"/>
    <x v="1"/>
    <x v="1"/>
    <x v="1"/>
  </r>
  <r>
    <s v="ASB"/>
    <s v="Saving"/>
    <s v="12-3057-xxxxx-01"/>
    <d v="2023-12-29T00:00:00"/>
    <s v="EX 12-3637- xxxx-00"/>
    <n v="31.4"/>
    <x v="1"/>
    <x v="1"/>
    <x v="1"/>
  </r>
  <r>
    <s v="ASB"/>
    <s v="Saving"/>
    <s v="12-3057-xxxxx-01"/>
    <d v="2023-12-29T00:00:00"/>
    <s v="BY Seyed ALAVI TO CARD 1588"/>
    <n v="-10.33"/>
    <x v="1"/>
    <x v="1"/>
    <x v="1"/>
  </r>
  <r>
    <s v="ASB"/>
    <s v="Saving"/>
    <s v="12-3057-xxxxx-01"/>
    <d v="2023-12-29T00:00:00"/>
    <s v="TO CARD 1588  THANK YOU"/>
    <n v="-29.49"/>
    <x v="1"/>
    <x v="1"/>
    <x v="1"/>
  </r>
  <r>
    <s v="ASB"/>
    <s v="Saving"/>
    <s v="12-3057-xxxxx-01"/>
    <d v="2023-12-31T00:00:00"/>
    <s v="TO CARD 1588  THANK YOU"/>
    <n v="-3.27"/>
    <x v="1"/>
    <x v="1"/>
    <x v="1"/>
  </r>
  <r>
    <s v="ASB"/>
    <s v="Saving"/>
    <s v="12-3057-xxxxx-01"/>
    <d v="2023-12-31T00:00:00"/>
    <s v="TO CARD 1588  THANK YOU"/>
    <n v="-0.42"/>
    <x v="1"/>
    <x v="1"/>
    <x v="1"/>
  </r>
  <r>
    <s v="ASB"/>
    <s v="Saving"/>
    <s v="12-3057-xxxxx-01"/>
    <d v="2023-12-31T00:00:00"/>
    <s v="Mobile Sam Skinny"/>
    <n v="13.92"/>
    <x v="1"/>
    <x v="1"/>
    <x v="1"/>
  </r>
  <r>
    <s v="ASB"/>
    <s v="Saving"/>
    <s v="12-3057-xxxxx-01"/>
    <d v="2024-01-02T00:00:00"/>
    <s v="TO CARD 1588  THANK YOU"/>
    <n v="-40.69"/>
    <x v="1"/>
    <x v="1"/>
    <x v="1"/>
  </r>
  <r>
    <s v="ASB"/>
    <s v="Saving"/>
    <s v="12-3057-xxxxx-01"/>
    <d v="2024-01-03T00:00:00"/>
    <s v="EX 12-3637- xxxx-00"/>
    <n v="20.78"/>
    <x v="1"/>
    <x v="1"/>
    <x v="1"/>
  </r>
  <r>
    <s v="ASB"/>
    <s v="Saving"/>
    <s v="12-3057-xxxxx-01"/>
    <d v="2024-01-03T00:00:00"/>
    <s v="TO CARD 1588  THANK YOU"/>
    <n v="-24.51"/>
    <x v="1"/>
    <x v="1"/>
    <x v="1"/>
  </r>
  <r>
    <s v="ASB"/>
    <s v="Saving"/>
    <s v="12-3057-xxxxx-01"/>
    <d v="2024-01-03T00:00:00"/>
    <s v="MJ ANZ"/>
    <n v="219.41"/>
    <x v="1"/>
    <x v="1"/>
    <x v="1"/>
  </r>
  <r>
    <s v="ASB"/>
    <s v="Saving"/>
    <s v="12-3057-xxxxx-01"/>
    <d v="2024-01-03T00:00:00"/>
    <s v="TO CARD 1588  THANK YOU"/>
    <n v="-28.64"/>
    <x v="1"/>
    <x v="1"/>
    <x v="1"/>
  </r>
  <r>
    <s v="ASB"/>
    <s v="Saving"/>
    <s v="12-3057-xxxxx-01"/>
    <d v="2024-01-04T00:00:00"/>
    <s v="TO CARD 1588  THANK YOU"/>
    <n v="-2.0699999999999998"/>
    <x v="1"/>
    <x v="1"/>
    <x v="1"/>
  </r>
  <r>
    <s v="ASB"/>
    <s v="Saving"/>
    <s v="12-3057-xxxxx-01"/>
    <d v="2024-01-04T00:00:00"/>
    <s v="MJ Apple Cloud Storage"/>
    <n v="16.37"/>
    <x v="1"/>
    <x v="1"/>
    <x v="1"/>
  </r>
  <r>
    <s v="ASB"/>
    <s v="Saving"/>
    <s v="12-3057-xxxxx-01"/>
    <d v="2024-01-04T00:00:00"/>
    <s v="MJ 8Denning TowerContent Insurance"/>
    <n v="14.22"/>
    <x v="1"/>
    <x v="1"/>
    <x v="1"/>
  </r>
  <r>
    <s v="ASB"/>
    <s v="Saving"/>
    <s v="12-3057-xxxxx-01"/>
    <d v="2024-01-04T00:00:00"/>
    <s v="akpua2o07dxl 24PanoramaRo Rent myRent"/>
    <n v="501.53"/>
    <x v="2"/>
    <x v="2"/>
    <x v="2"/>
  </r>
  <r>
    <s v="ASB"/>
    <s v="Saving"/>
    <s v="12-3057-xxxxx-01"/>
    <d v="2024-01-04T00:00:00"/>
    <s v="TO CARD 1588  THANK YOU"/>
    <n v="-11.95"/>
    <x v="1"/>
    <x v="1"/>
    <x v="1"/>
  </r>
  <r>
    <s v="ASB"/>
    <s v="Saving"/>
    <s v="12-3057-xxxxx-01"/>
    <d v="2024-01-04T00:00:00"/>
    <s v="BILL PAYMENT TO Sam KiwiBank"/>
    <n v="-1832.92"/>
    <x v="1"/>
    <x v="1"/>
    <x v="1"/>
  </r>
  <r>
    <s v="ASB"/>
    <s v="Saving"/>
    <s v="12-3057-xxxxx-01"/>
    <d v="2024-01-05T00:00:00"/>
    <s v="TO CARD 1588  THANK YOU"/>
    <n v="-26.98"/>
    <x v="1"/>
    <x v="1"/>
    <x v="1"/>
  </r>
  <r>
    <s v="ASB"/>
    <s v="Saving"/>
    <s v="12-3057-xxxxx-01"/>
    <d v="2024-01-05T00:00:00"/>
    <m/>
    <n v="91398.45"/>
    <x v="1"/>
    <x v="1"/>
    <x v="1"/>
  </r>
  <r>
    <s v="ASB"/>
    <s v="Saving"/>
    <s v="12-3057-xxxxx-01"/>
    <d v="2024-01-06T00:00:00"/>
    <s v="TO CARD 1588  THANK YOU"/>
    <n v="-0.38"/>
    <x v="1"/>
    <x v="1"/>
    <x v="1"/>
  </r>
  <r>
    <s v="ASB"/>
    <s v="Saving"/>
    <s v="12-3057-xxxxx-01"/>
    <d v="2024-01-06T00:00:00"/>
    <s v="BILL PAYMENT TO Sam KiwiBank"/>
    <n v="-71933.02"/>
    <x v="1"/>
    <x v="1"/>
    <x v="1"/>
  </r>
  <r>
    <s v="ASB"/>
    <s v="Saving"/>
    <s v="12-3057-xxxxx-01"/>
    <d v="2024-01-06T00:00:00"/>
    <s v="Water  MJ 8Denning"/>
    <n v="143.6"/>
    <x v="1"/>
    <x v="1"/>
    <x v="1"/>
  </r>
  <r>
    <s v="ASB"/>
    <s v="Saving"/>
    <s v="12-3057-xxxxx-01"/>
    <d v="2024-01-06T00:00:00"/>
    <s v="MJ Mobile US Phone Sam"/>
    <n v="16.82"/>
    <x v="1"/>
    <x v="1"/>
    <x v="1"/>
  </r>
  <r>
    <s v="ASB"/>
    <s v="Saving"/>
    <s v="12-3057-xxxxx-01"/>
    <d v="2024-01-07T00:00:00"/>
    <s v="TO CARD 1588  THANK YOU"/>
    <n v="-291.76"/>
    <x v="1"/>
    <x v="1"/>
    <x v="1"/>
  </r>
  <r>
    <s v="ASB"/>
    <s v="Saving"/>
    <s v="12-3057-xxxxx-01"/>
    <d v="2024-01-08T00:00:00"/>
    <s v="TO CARD 1588  THANK YOU"/>
    <n v="-2"/>
    <x v="1"/>
    <x v="1"/>
    <x v="1"/>
  </r>
  <r>
    <s v="ASB"/>
    <s v="Saving"/>
    <s v="12-3057-xxxxx-01"/>
    <d v="2024-01-09T00:00:00"/>
    <s v="TO CARD 1588  THANK YOU"/>
    <n v="-0.19"/>
    <x v="1"/>
    <x v="1"/>
    <x v="1"/>
  </r>
  <r>
    <s v="ASB"/>
    <s v="Saving"/>
    <s v="12-3057-xxxxx-01"/>
    <d v="2024-01-09T00:00:00"/>
    <m/>
    <n v="728.44"/>
    <x v="1"/>
    <x v="1"/>
    <x v="1"/>
  </r>
  <r>
    <s v="ASB"/>
    <s v="Saving"/>
    <s v="12-3057-xxxxx-01"/>
    <d v="2024-01-09T00:00:00"/>
    <s v="IMT USD 250.00 BOA  Sam Taebi"/>
    <n v="-491.64"/>
    <x v="1"/>
    <x v="1"/>
    <x v="1"/>
  </r>
  <r>
    <s v="ASB"/>
    <s v="Saving"/>
    <s v="12-3057-xxxxx-01"/>
    <d v="2024-01-09T00:00:00"/>
    <s v="TO CARD 1588  THANK YOU"/>
    <n v="-3.13"/>
    <x v="1"/>
    <x v="1"/>
    <x v="1"/>
  </r>
  <r>
    <s v="ASB"/>
    <s v="Saving"/>
    <s v="12-3057-xxxxx-01"/>
    <d v="2024-01-10T00:00:00"/>
    <s v="NTRFFEE  240110003840"/>
    <n v="-10.28"/>
    <x v="5"/>
    <x v="7"/>
    <x v="7"/>
  </r>
  <r>
    <s v="ASB"/>
    <s v="Saving"/>
    <s v="12-3057-xxxxx-01"/>
    <d v="2024-01-10T00:00:00"/>
    <s v="TO CARD 1588  THANK YOU"/>
    <n v="-2.96"/>
    <x v="1"/>
    <x v="1"/>
    <x v="1"/>
  </r>
  <r>
    <s v="ASB"/>
    <s v="Saving"/>
    <s v="12-3057-xxxxx-01"/>
    <d v="2024-01-11T00:00:00"/>
    <s v="MJ ANZ"/>
    <n v="439.32"/>
    <x v="1"/>
    <x v="1"/>
    <x v="1"/>
  </r>
  <r>
    <s v="ASB"/>
    <s v="Saving"/>
    <s v="12-3057-xxxxx-01"/>
    <d v="2024-01-11T00:00:00"/>
    <s v="BILL PAYMENT TO StaffBidone MJ Alavi 64170"/>
    <n v="-300.83"/>
    <x v="0"/>
    <x v="0"/>
    <x v="0"/>
  </r>
  <r>
    <s v="ASB"/>
    <s v="Saving"/>
    <s v="12-3057-xxxxx-01"/>
    <d v="2024-01-12T00:00:00"/>
    <s v="TO CARD 1588  THANK YOU"/>
    <n v="-114.42"/>
    <x v="1"/>
    <x v="1"/>
    <x v="1"/>
  </r>
  <r>
    <s v="ASB"/>
    <s v="Saving"/>
    <s v="12-3057-xxxxx-01"/>
    <d v="2024-01-13T00:00:00"/>
    <s v="AIA Insurance SamMJ"/>
    <n v="119.56"/>
    <x v="1"/>
    <x v="1"/>
    <x v="1"/>
  </r>
  <r>
    <s v="ASB"/>
    <s v="Saving"/>
    <s v="12-3057-xxxxx-01"/>
    <d v="2024-01-14T00:00:00"/>
    <m/>
    <n v="293"/>
    <x v="1"/>
    <x v="1"/>
    <x v="1"/>
  </r>
  <r>
    <s v="ASB"/>
    <s v="Saving"/>
    <s v="12-3057-xxxxx-01"/>
    <d v="2024-01-15T00:00:00"/>
    <s v="D/D IIT 111811989 252205952"/>
    <n v="-527.49"/>
    <x v="5"/>
    <x v="7"/>
    <x v="13"/>
  </r>
  <r>
    <s v="ASB"/>
    <s v="Saving"/>
    <s v="12-3057-xxxxx-01"/>
    <d v="2024-01-16T00:00:00"/>
    <s v="TO CARD 1588  THANK YOU"/>
    <n v="-0.56999999999999995"/>
    <x v="1"/>
    <x v="1"/>
    <x v="1"/>
  </r>
  <r>
    <s v="ASB"/>
    <s v="Saving"/>
    <s v="12-3057-xxxxx-01"/>
    <d v="2024-01-16T00:00:00"/>
    <s v="TO CARD 1588  THANK YOU"/>
    <n v="-0.95"/>
    <x v="1"/>
    <x v="1"/>
    <x v="1"/>
  </r>
  <r>
    <s v="ASB"/>
    <s v="Saving"/>
    <s v="12-3057-xxxxx-01"/>
    <d v="2024-01-17T00:00:00"/>
    <s v="TO CARD 1588  THANK YOU"/>
    <n v="-11.8"/>
    <x v="1"/>
    <x v="1"/>
    <x v="1"/>
  </r>
  <r>
    <s v="ASB"/>
    <s v="Saving"/>
    <s v="12-3057-xxxxx-01"/>
    <d v="2024-01-17T00:00:00"/>
    <s v="akpt522058ic 24PanoramaRo Rent myRent"/>
    <n v="522.66"/>
    <x v="2"/>
    <x v="2"/>
    <x v="2"/>
  </r>
  <r>
    <s v="ASB"/>
    <s v="Saving"/>
    <s v="12-3057-xxxxx-01"/>
    <d v="2024-01-17T00:00:00"/>
    <s v="BILL PAYMENT TO Sam KiwiBank"/>
    <n v="-1739.58"/>
    <x v="1"/>
    <x v="1"/>
    <x v="1"/>
  </r>
  <r>
    <s v="ASB"/>
    <s v="Saving"/>
    <s v="12-3057-xxxxx-01"/>
    <d v="2024-01-18T00:00:00"/>
    <s v="MJ 8Denning TowerHouse Insurance"/>
    <n v="171.27"/>
    <x v="1"/>
    <x v="1"/>
    <x v="1"/>
  </r>
  <r>
    <s v="ASB"/>
    <s v="Saving"/>
    <s v="12-3057-xxxxx-01"/>
    <d v="2024-01-18T00:00:00"/>
    <s v="24 Panorama Tower H&amp;C Insurance"/>
    <n v="79.7"/>
    <x v="1"/>
    <x v="1"/>
    <x v="1"/>
  </r>
  <r>
    <s v="ASB"/>
    <s v="Saving"/>
    <s v="12-3057-xxxxx-01"/>
    <d v="2024-01-18T00:00:00"/>
    <s v="MJ 5B Tower H&amp;C Insurance"/>
    <n v="81.38"/>
    <x v="1"/>
    <x v="1"/>
    <x v="1"/>
  </r>
  <r>
    <s v="ASB"/>
    <s v="Saving"/>
    <s v="12-3057-xxxxx-01"/>
    <d v="2024-01-18T00:00:00"/>
    <s v="TO 12-3637- xxxx-00"/>
    <n v="-245.82"/>
    <x v="1"/>
    <x v="1"/>
    <x v="1"/>
  </r>
  <r>
    <s v="ASB"/>
    <s v="Saving"/>
    <s v="12-3057-xxxxx-01"/>
    <d v="2024-01-19T00:00:00"/>
    <s v="TO CARD 1588  THANK YOU"/>
    <n v="-0.06"/>
    <x v="1"/>
    <x v="1"/>
    <x v="1"/>
  </r>
  <r>
    <s v="ASB"/>
    <s v="Saving"/>
    <s v="12-3057-xxxxx-01"/>
    <d v="2024-01-19T00:00:00"/>
    <s v="Mobile MJ Skinny"/>
    <n v="1.33"/>
    <x v="1"/>
    <x v="1"/>
    <x v="1"/>
  </r>
  <r>
    <s v="ASB"/>
    <s v="Saving"/>
    <s v="12-3057-xxxxx-01"/>
    <d v="2024-01-20T00:00:00"/>
    <s v="Electricity ContactEnrgy MJ 8Denning"/>
    <n v="279.16000000000003"/>
    <x v="1"/>
    <x v="1"/>
    <x v="1"/>
  </r>
  <r>
    <s v="ASB"/>
    <s v="Saving"/>
    <s v="12-3057-xxxxx-01"/>
    <d v="2024-01-20T00:00:00"/>
    <s v="TO 12-3637- xxxx-00"/>
    <n v="-53.96"/>
    <x v="1"/>
    <x v="1"/>
    <x v="1"/>
  </r>
  <r>
    <s v="ASB"/>
    <s v="Saving"/>
    <s v="12-3057-xxxxx-01"/>
    <d v="2024-01-21T00:00:00"/>
    <s v="EFTPOS"/>
    <n v="-10.5"/>
    <x v="0"/>
    <x v="0"/>
    <x v="0"/>
  </r>
  <r>
    <s v="ASB"/>
    <s v="Saving"/>
    <s v="12-3057-xxxxx-01"/>
    <d v="2024-01-22T00:00:00"/>
    <s v="EX 12-3637- xxxx-00"/>
    <n v="250.94"/>
    <x v="1"/>
    <x v="1"/>
    <x v="1"/>
  </r>
  <r>
    <s v="ASB"/>
    <s v="Saving"/>
    <s v="12-3057-xxxxx-01"/>
    <d v="2024-01-22T00:00:00"/>
    <s v="BILL PAYMENT TO Sam KiwiBank"/>
    <n v="-45.52"/>
    <x v="1"/>
    <x v="1"/>
    <x v="1"/>
  </r>
  <r>
    <s v="ASB"/>
    <s v="Saving"/>
    <s v="12-3057-xxxxx-01"/>
    <d v="2024-01-23T00:00:00"/>
    <s v="EX 12-3637- xxxx-00"/>
    <n v="49.26"/>
    <x v="1"/>
    <x v="1"/>
    <x v="1"/>
  </r>
  <r>
    <s v="ASB"/>
    <s v="Saving"/>
    <s v="12-3057-xxxxx-01"/>
    <d v="2024-01-23T00:00:00"/>
    <s v="TO CARD 1588  THANK YOU"/>
    <n v="-23.28"/>
    <x v="1"/>
    <x v="1"/>
    <x v="1"/>
  </r>
  <r>
    <s v="ASB"/>
    <s v="Saving"/>
    <s v="12-3057-xxxxx-01"/>
    <d v="2024-01-24T00:00:00"/>
    <s v="MJ ASB NetFlix 8Denning"/>
    <n v="10.24"/>
    <x v="1"/>
    <x v="1"/>
    <x v="1"/>
  </r>
  <r>
    <s v="ASB"/>
    <s v="Saving"/>
    <s v="12-3057-xxxxx-01"/>
    <d v="2024-01-24T00:00:00"/>
    <s v="TO 12-3637- xxxx-00"/>
    <n v="-3.15"/>
    <x v="1"/>
    <x v="1"/>
    <x v="1"/>
  </r>
  <r>
    <s v="ASB"/>
    <s v="Saving"/>
    <s v="12-3057-xxxxx-01"/>
    <d v="2024-01-24T00:00:00"/>
    <s v="MJ ANZ"/>
    <n v="22.87"/>
    <x v="1"/>
    <x v="1"/>
    <x v="1"/>
  </r>
  <r>
    <s v="ASB"/>
    <s v="Saving"/>
    <s v="12-3057-xxxxx-01"/>
    <d v="2024-01-25T00:00:00"/>
    <s v="TO CARD 1588  THANK YOU"/>
    <n v="-8.43"/>
    <x v="1"/>
    <x v="1"/>
    <x v="1"/>
  </r>
  <r>
    <s v="ASB"/>
    <s v="Saving"/>
    <s v="12-3057-xxxxx-01"/>
    <d v="2024-01-25T00:00:00"/>
    <s v="BILL PAYMENT TO somaye taebi"/>
    <n v="-40.28"/>
    <x v="1"/>
    <x v="1"/>
    <x v="1"/>
  </r>
  <r>
    <s v="ASB"/>
    <s v="Saving"/>
    <s v="12-3057-xxxxx-01"/>
    <d v="2024-01-26T00:00:00"/>
    <s v="EX 12-3637- xxxx-00"/>
    <n v="67.61"/>
    <x v="1"/>
    <x v="1"/>
    <x v="1"/>
  </r>
  <r>
    <s v="ASB"/>
    <s v="Saving"/>
    <s v="12-3057-xxxxx-01"/>
    <d v="2024-01-28T00:00:00"/>
    <s v="Mobile Sam Skinny"/>
    <n v="5.72"/>
    <x v="1"/>
    <x v="1"/>
    <x v="1"/>
  </r>
  <r>
    <s v="ASB"/>
    <s v="Saving"/>
    <s v="12-3057-xxxxx-01"/>
    <d v="2024-01-30T00:00:00"/>
    <s v="TO CARD 1588  THANK YOU"/>
    <n v="-31.16"/>
    <x v="1"/>
    <x v="1"/>
    <x v="1"/>
  </r>
  <r>
    <s v="ASB"/>
    <s v="Saving"/>
    <s v="12-3057-xxxxx-01"/>
    <d v="2024-01-31T00:00:00"/>
    <s v="akpwl0n0aw57 24PanoramaRo Rent myRent"/>
    <n v="116.83"/>
    <x v="2"/>
    <x v="2"/>
    <x v="2"/>
  </r>
  <r>
    <s v="ASB"/>
    <s v="Saving"/>
    <s v="12-3057-xxxxx-01"/>
    <d v="2024-01-31T00:00:00"/>
    <s v="BILL PAYMENT TO Sam KiwiBank"/>
    <n v="-631.79"/>
    <x v="1"/>
    <x v="1"/>
    <x v="1"/>
  </r>
  <r>
    <s v="ASB"/>
    <s v="Saving"/>
    <s v="12-3057-xxxxx-01"/>
    <d v="2024-01-31T00:00:00"/>
    <s v="TO 12-3637- xxxx-00"/>
    <n v="-124.39"/>
    <x v="1"/>
    <x v="1"/>
    <x v="1"/>
  </r>
  <r>
    <s v="ASB"/>
    <s v="Saving"/>
    <s v="12-3057-xxxxx-01"/>
    <d v="2024-01-31T00:00:00"/>
    <s v="MJ ANZ"/>
    <n v="209.57"/>
    <x v="1"/>
    <x v="1"/>
    <x v="1"/>
  </r>
  <r>
    <s v="ASB"/>
    <s v="Saving"/>
    <s v="12-3057-xxxxx-01"/>
    <d v="2024-01-31T00:00:00"/>
    <s v="TO 12-3637- xxxx-00"/>
    <n v="-18.07"/>
    <x v="1"/>
    <x v="1"/>
    <x v="1"/>
  </r>
  <r>
    <s v="ASB"/>
    <s v="Saving"/>
    <s v="12-3057-xxxxx-01"/>
    <d v="2024-02-01T00:00:00"/>
    <s v="TO CARD 1588  THANK YOU"/>
    <n v="-6.2"/>
    <x v="1"/>
    <x v="1"/>
    <x v="1"/>
  </r>
  <r>
    <s v="ASB"/>
    <s v="Saving"/>
    <s v="12-3057-xxxxx-01"/>
    <d v="2024-02-02T00:00:00"/>
    <s v="TO CARD 1588  THANK YOU"/>
    <n v="-35.869999999999997"/>
    <x v="1"/>
    <x v="1"/>
    <x v="1"/>
  </r>
  <r>
    <s v="ASB"/>
    <s v="Saving"/>
    <s v="12-3057-xxxxx-01"/>
    <d v="2024-02-03T00:00:00"/>
    <s v="EFTPOS"/>
    <n v="-2.0499999999999998"/>
    <x v="0"/>
    <x v="0"/>
    <x v="0"/>
  </r>
  <r>
    <s v="ASB"/>
    <s v="Saving"/>
    <s v="12-3057-xxxxx-01"/>
    <d v="2024-02-03T00:00:00"/>
    <s v="EFTPOS"/>
    <n v="-5.46"/>
    <x v="3"/>
    <x v="8"/>
    <x v="8"/>
  </r>
  <r>
    <s v="ASB"/>
    <s v="Saving"/>
    <s v="12-3057-xxxxx-01"/>
    <d v="2024-02-03T00:00:00"/>
    <s v="EX 12-3637- xxxx-00"/>
    <n v="109"/>
    <x v="1"/>
    <x v="1"/>
    <x v="1"/>
  </r>
  <r>
    <s v="ASB"/>
    <s v="Saving"/>
    <s v="12-3057-xxxxx-01"/>
    <d v="2024-02-04T00:00:00"/>
    <s v="MJ 8Denning TowerContent Insurance"/>
    <n v="13.84"/>
    <x v="1"/>
    <x v="1"/>
    <x v="1"/>
  </r>
  <r>
    <s v="ASB"/>
    <s v="Saving"/>
    <s v="12-3057-xxxxx-01"/>
    <d v="2024-02-04T00:00:00"/>
    <s v="MJ Apple Cloud Storage"/>
    <n v="8.48"/>
    <x v="1"/>
    <x v="1"/>
    <x v="1"/>
  </r>
  <r>
    <s v="ASB"/>
    <s v="Saving"/>
    <s v="12-3057-xxxxx-01"/>
    <d v="2024-02-04T00:00:00"/>
    <s v="TO CARD 1588  THANK YOU"/>
    <n v="-6.93"/>
    <x v="1"/>
    <x v="1"/>
    <x v="1"/>
  </r>
  <r>
    <s v="ASB"/>
    <s v="Saving"/>
    <s v="12-3057-xxxxx-01"/>
    <d v="2024-02-04T00:00:00"/>
    <s v="EX 12-3637- xxxx-00"/>
    <n v="69.239999999999995"/>
    <x v="1"/>
    <x v="1"/>
    <x v="1"/>
  </r>
  <r>
    <s v="ASB"/>
    <s v="Saving"/>
    <s v="12-3057-xxxxx-01"/>
    <d v="2024-02-06T00:00:00"/>
    <s v="Water  MJ 8Denning"/>
    <n v="100.23"/>
    <x v="1"/>
    <x v="1"/>
    <x v="1"/>
  </r>
  <r>
    <s v="ASB"/>
    <s v="Saving"/>
    <s v="12-3057-xxxxx-01"/>
    <d v="2024-02-06T00:00:00"/>
    <s v="MJ Mobile US Phone Sam"/>
    <n v="1.38"/>
    <x v="1"/>
    <x v="1"/>
    <x v="1"/>
  </r>
  <r>
    <s v="ASB"/>
    <s v="Saving"/>
    <s v="12-3057-xxxxx-01"/>
    <d v="2024-02-06T00:00:00"/>
    <s v="TO CARD 1588  THANK YOU"/>
    <n v="-76.48"/>
    <x v="1"/>
    <x v="1"/>
    <x v="1"/>
  </r>
  <r>
    <s v="ASB"/>
    <s v="Saving"/>
    <s v="12-3057-xxxxx-01"/>
    <d v="2024-02-07T00:00:00"/>
    <s v="EX 12-3637- xxxx-00"/>
    <n v="63.41"/>
    <x v="1"/>
    <x v="1"/>
    <x v="1"/>
  </r>
  <r>
    <s v="ASB"/>
    <s v="Saving"/>
    <s v="12-3057-xxxxx-01"/>
    <d v="2024-02-08T00:00:00"/>
    <s v="TO CARD 1588  THANK YOU"/>
    <n v="-14.55"/>
    <x v="1"/>
    <x v="1"/>
    <x v="1"/>
  </r>
  <r>
    <s v="ASB"/>
    <s v="Saving"/>
    <s v="12-3057-xxxxx-01"/>
    <d v="2024-02-08T00:00:00"/>
    <s v="TO CARD 1588  THANK YOU"/>
    <n v="-12.61"/>
    <x v="1"/>
    <x v="1"/>
    <x v="1"/>
  </r>
  <r>
    <s v="ASB"/>
    <s v="Saving"/>
    <s v="12-3057-xxxxx-01"/>
    <d v="2024-02-09T00:00:00"/>
    <s v="TO CARD 1588  THANK YOU"/>
    <n v="-32.520000000000003"/>
    <x v="1"/>
    <x v="1"/>
    <x v="1"/>
  </r>
  <r>
    <s v="ASB"/>
    <s v="Saving"/>
    <s v="12-3057-xxxxx-01"/>
    <d v="2024-02-09T00:00:00"/>
    <s v="BILL PAYMENT TO Sam KiwiBank"/>
    <n v="-71.27"/>
    <x v="1"/>
    <x v="1"/>
    <x v="1"/>
  </r>
  <r>
    <s v="ASB"/>
    <s v="Saving"/>
    <s v="12-3057-xxxxx-01"/>
    <d v="2024-02-13T00:00:00"/>
    <s v="TO CARD 1588  THANK YOU"/>
    <n v="-19.86"/>
    <x v="1"/>
    <x v="1"/>
    <x v="1"/>
  </r>
  <r>
    <s v="ASB"/>
    <s v="Saving"/>
    <s v="12-3057-xxxxx-01"/>
    <d v="2024-02-13T00:00:00"/>
    <s v="AIA Insurance SamMJ"/>
    <n v="4.33"/>
    <x v="1"/>
    <x v="1"/>
    <x v="1"/>
  </r>
  <r>
    <s v="ASB"/>
    <s v="Saving"/>
    <s v="12-3057-xxxxx-01"/>
    <d v="2024-02-14T00:00:00"/>
    <s v="akpep050b8aj 24PanoramaRo Rent myRent"/>
    <n v="1866.08"/>
    <x v="2"/>
    <x v="2"/>
    <x v="2"/>
  </r>
  <r>
    <s v="ASB"/>
    <s v="Saving"/>
    <s v="12-3057-xxxxx-01"/>
    <d v="2024-02-14T00:00:00"/>
    <s v="BILL PAYMENT TO Sam KiwiBank"/>
    <n v="-521.98"/>
    <x v="1"/>
    <x v="1"/>
    <x v="1"/>
  </r>
  <r>
    <s v="ASB"/>
    <s v="Saving"/>
    <s v="12-3057-xxxxx-01"/>
    <d v="2024-02-14T00:00:00"/>
    <s v="TO 12-3637- xxxx-00"/>
    <n v="-47.31"/>
    <x v="1"/>
    <x v="1"/>
    <x v="1"/>
  </r>
  <r>
    <s v="ASB"/>
    <s v="Saving"/>
    <s v="12-3057-xxxxx-01"/>
    <d v="2024-02-15T00:00:00"/>
    <s v="TO CARD 1588  THANK YOU"/>
    <n v="-14.69"/>
    <x v="1"/>
    <x v="1"/>
    <x v="1"/>
  </r>
  <r>
    <s v="ASB"/>
    <s v="Saving"/>
    <s v="12-3057-xxxxx-01"/>
    <d v="2024-02-16T00:00:00"/>
    <s v="TO CARD 1588  THANK YOU"/>
    <n v="-4.68"/>
    <x v="1"/>
    <x v="1"/>
    <x v="1"/>
  </r>
  <r>
    <s v="ASB"/>
    <s v="Saving"/>
    <s v="12-3057-xxxxx-01"/>
    <d v="2024-02-16T00:00:00"/>
    <s v="Mobile MJ Skinny"/>
    <n v="14.17"/>
    <x v="1"/>
    <x v="1"/>
    <x v="1"/>
  </r>
  <r>
    <s v="ASB"/>
    <s v="Saving"/>
    <s v="12-3057-xxxxx-01"/>
    <d v="2024-02-16T00:00:00"/>
    <s v="TO CARD 1588  THANK YOU"/>
    <n v="-3.69"/>
    <x v="1"/>
    <x v="1"/>
    <x v="1"/>
  </r>
  <r>
    <s v="ASB"/>
    <s v="Saving"/>
    <s v="12-3057-xxxxx-01"/>
    <d v="2024-02-16T00:00:00"/>
    <s v="TO CARD 1588  THANK YOU"/>
    <n v="-6.09"/>
    <x v="1"/>
    <x v="1"/>
    <x v="1"/>
  </r>
  <r>
    <s v="ASB"/>
    <s v="Saving"/>
    <s v="12-3057-xxxxx-01"/>
    <d v="2024-02-18T00:00:00"/>
    <s v="MJ 8Denning TowerHouse Insurance"/>
    <n v="42.02"/>
    <x v="1"/>
    <x v="1"/>
    <x v="1"/>
  </r>
  <r>
    <s v="ASB"/>
    <s v="Saving"/>
    <s v="12-3057-xxxxx-01"/>
    <d v="2024-02-18T00:00:00"/>
    <s v="24 Panorama Tower H&amp;C Insurance"/>
    <n v="16.14"/>
    <x v="1"/>
    <x v="1"/>
    <x v="1"/>
  </r>
  <r>
    <s v="ASB"/>
    <s v="Saving"/>
    <s v="12-3057-xxxxx-01"/>
    <d v="2024-02-18T00:00:00"/>
    <s v="MJ 5B Tower H&amp;C Insurance"/>
    <n v="53.31"/>
    <x v="1"/>
    <x v="1"/>
    <x v="1"/>
  </r>
  <r>
    <s v="ASB"/>
    <s v="Saving"/>
    <s v="12-3057-xxxxx-01"/>
    <d v="2024-02-18T00:00:00"/>
    <s v="EFTPOS"/>
    <n v="-7.78"/>
    <x v="0"/>
    <x v="0"/>
    <x v="0"/>
  </r>
  <r>
    <s v="ASB"/>
    <s v="Saving"/>
    <s v="12-3057-xxxxx-01"/>
    <d v="2024-02-18T00:00:00"/>
    <s v="EFTPOS"/>
    <n v="-1.1299999999999999"/>
    <x v="0"/>
    <x v="0"/>
    <x v="0"/>
  </r>
  <r>
    <s v="ASB"/>
    <s v="Saving"/>
    <s v="12-3057-xxxxx-01"/>
    <d v="2024-02-18T00:00:00"/>
    <s v="EFTPOS"/>
    <n v="-15.11"/>
    <x v="0"/>
    <x v="0"/>
    <x v="0"/>
  </r>
  <r>
    <s v="ASB"/>
    <s v="Saving"/>
    <s v="12-3057-xxxxx-01"/>
    <d v="2024-02-18T00:00:00"/>
    <s v="EFTPOS"/>
    <n v="-14.56"/>
    <x v="0"/>
    <x v="0"/>
    <x v="0"/>
  </r>
  <r>
    <s v="ASB"/>
    <s v="Saving"/>
    <s v="12-3057-xxxxx-01"/>
    <d v="2024-02-18T00:00:00"/>
    <s v="EFTPOS"/>
    <n v="-4.57"/>
    <x v="0"/>
    <x v="0"/>
    <x v="0"/>
  </r>
  <r>
    <s v="ASB"/>
    <s v="Saving"/>
    <s v="12-3057-xxxxx-01"/>
    <d v="2024-02-18T00:00:00"/>
    <s v="TO CARD 1588  THANK YOU"/>
    <n v="-232.04"/>
    <x v="1"/>
    <x v="1"/>
    <x v="1"/>
  </r>
  <r>
    <s v="ASB"/>
    <s v="Saving"/>
    <s v="12-3057-xxxxx-01"/>
    <d v="2024-02-19T00:00:00"/>
    <s v="BILL PAYMENT TO StaffBidone MJ Alavi 64170"/>
    <n v="-27.21"/>
    <x v="0"/>
    <x v="0"/>
    <x v="0"/>
  </r>
  <r>
    <s v="ASB"/>
    <s v="Saving"/>
    <s v="12-3057-xxxxx-01"/>
    <d v="2024-02-19T00:00:00"/>
    <s v="TO CARD 1588  THANK YOU"/>
    <n v="-141.69999999999999"/>
    <x v="1"/>
    <x v="1"/>
    <x v="1"/>
  </r>
  <r>
    <s v="ASB"/>
    <s v="Saving"/>
    <s v="12-3057-xxxxx-01"/>
    <d v="2024-02-20T00:00:00"/>
    <s v="Electricity ContactEnrgy MJ 8Denning"/>
    <n v="188.08"/>
    <x v="1"/>
    <x v="1"/>
    <x v="1"/>
  </r>
  <r>
    <s v="ASB"/>
    <s v="Saving"/>
    <s v="12-3057-xxxxx-01"/>
    <d v="2024-02-20T00:00:00"/>
    <s v="BILL PAYMENT TO StaffBidone MJ Alavi 64170"/>
    <n v="-282.87"/>
    <x v="0"/>
    <x v="0"/>
    <x v="0"/>
  </r>
  <r>
    <s v="ASB"/>
    <s v="Saving"/>
    <s v="12-3057-xxxxx-01"/>
    <d v="2024-02-20T00:00:00"/>
    <s v="EX 12-3637- xxxx-00"/>
    <n v="188.31"/>
    <x v="1"/>
    <x v="1"/>
    <x v="1"/>
  </r>
  <r>
    <s v="ASB"/>
    <s v="Saving"/>
    <s v="12-3057-xxxxx-01"/>
    <d v="2024-02-20T00:00:00"/>
    <s v="TO CARD 1588  THANK YOU"/>
    <n v="-31.05"/>
    <x v="1"/>
    <x v="1"/>
    <x v="1"/>
  </r>
  <r>
    <s v="ASB"/>
    <s v="Saving"/>
    <s v="12-3057-xxxxx-01"/>
    <d v="2024-02-21T00:00:00"/>
    <s v="MJ ANZ"/>
    <n v="251.16"/>
    <x v="1"/>
    <x v="1"/>
    <x v="1"/>
  </r>
  <r>
    <s v="ASB"/>
    <s v="Saving"/>
    <s v="12-3057-xxxxx-01"/>
    <d v="2024-02-22T00:00:00"/>
    <s v="TO CARD 1588  THANK YOU"/>
    <n v="-1.1399999999999999"/>
    <x v="1"/>
    <x v="1"/>
    <x v="1"/>
  </r>
  <r>
    <s v="ASB"/>
    <s v="Saving"/>
    <s v="12-3057-xxxxx-01"/>
    <d v="2024-02-22T00:00:00"/>
    <s v="TO CARD 1588  THANK YOU"/>
    <n v="-0.48"/>
    <x v="1"/>
    <x v="1"/>
    <x v="1"/>
  </r>
  <r>
    <s v="ASB"/>
    <s v="Saving"/>
    <s v="12-3057-xxxxx-01"/>
    <d v="2024-02-23T00:00:00"/>
    <s v="TO CARD 1588  THANK YOU"/>
    <n v="-2.56"/>
    <x v="1"/>
    <x v="1"/>
    <x v="1"/>
  </r>
  <r>
    <s v="ASB"/>
    <s v="Saving"/>
    <s v="12-3057-xxxxx-01"/>
    <d v="2024-02-24T00:00:00"/>
    <s v="MJ ASB NetFlix 8Denning"/>
    <n v="1.93"/>
    <x v="1"/>
    <x v="1"/>
    <x v="1"/>
  </r>
  <r>
    <s v="ASB"/>
    <s v="Saving"/>
    <s v="12-3057-xxxxx-01"/>
    <d v="2024-02-25T00:00:00"/>
    <s v="Mobile Sam Skinny"/>
    <n v="20.37"/>
    <x v="1"/>
    <x v="1"/>
    <x v="1"/>
  </r>
  <r>
    <s v="ASB"/>
    <s v="Saving"/>
    <s v="12-3057-xxxxx-01"/>
    <d v="2024-02-25T00:00:00"/>
    <s v="TO CARD 1588  THANK YOU"/>
    <n v="-4.79"/>
    <x v="1"/>
    <x v="1"/>
    <x v="1"/>
  </r>
  <r>
    <s v="ASB"/>
    <s v="Saving"/>
    <s v="12-3057-xxxxx-01"/>
    <d v="2024-02-27T00:00:00"/>
    <s v="BILL PAYMENT TO Sam KiwiBank"/>
    <n v="-110.42"/>
    <x v="1"/>
    <x v="1"/>
    <x v="1"/>
  </r>
  <r>
    <s v="ASB"/>
    <s v="Saving"/>
    <s v="12-3057-xxxxx-01"/>
    <d v="2024-02-27T00:00:00"/>
    <s v="TO CARD 1588  THANK YOU"/>
    <n v="-13.41"/>
    <x v="1"/>
    <x v="1"/>
    <x v="1"/>
  </r>
  <r>
    <s v="ASB"/>
    <s v="Saving"/>
    <s v="12-3057-xxxxx-01"/>
    <d v="2024-02-28T00:00:00"/>
    <s v="akp6l010qt7r 24PanoramaRo Rent myRent"/>
    <n v="465.77"/>
    <x v="2"/>
    <x v="2"/>
    <x v="2"/>
  </r>
  <r>
    <s v="ASB"/>
    <s v="Saving"/>
    <s v="12-3057-xxxxx-01"/>
    <d v="2024-02-28T00:00:00"/>
    <s v="BILL PAYMENT TO Sam KiwiBank"/>
    <n v="-718.19"/>
    <x v="1"/>
    <x v="1"/>
    <x v="1"/>
  </r>
  <r>
    <s v="ASB"/>
    <s v="Saving"/>
    <s v="12-3057-xxxxx-01"/>
    <d v="2024-02-29T00:00:00"/>
    <s v="TO CARD 1588  THANK YOU"/>
    <n v="-1.54"/>
    <x v="1"/>
    <x v="1"/>
    <x v="1"/>
  </r>
  <r>
    <s v="ASB"/>
    <s v="Saving"/>
    <s v="12-3057-xxxxx-01"/>
    <d v="2024-02-29T00:00:00"/>
    <s v="TO CARD 1588  THANK YOU"/>
    <n v="-11.43"/>
    <x v="1"/>
    <x v="1"/>
    <x v="1"/>
  </r>
  <r>
    <s v="ASB"/>
    <s v="Saving"/>
    <s v="12-3057-xxxxx-01"/>
    <d v="2024-03-01T00:00:00"/>
    <s v="TO CARD 1588  THANK YOU"/>
    <n v="-33.020000000000003"/>
    <x v="1"/>
    <x v="1"/>
    <x v="1"/>
  </r>
  <r>
    <s v="ASB"/>
    <s v="Saving"/>
    <s v="12-3057-xxxxx-01"/>
    <d v="2024-03-01T00:00:00"/>
    <s v="TO CARD 1588  THANK YOU"/>
    <n v="-122.85"/>
    <x v="1"/>
    <x v="1"/>
    <x v="1"/>
  </r>
  <r>
    <s v="ASB"/>
    <s v="Saving"/>
    <s v="12-3057-xxxxx-01"/>
    <d v="2024-03-02T00:00:00"/>
    <s v="TO CARD 1588  THANK YOU"/>
    <n v="-6.02"/>
    <x v="1"/>
    <x v="1"/>
    <x v="1"/>
  </r>
  <r>
    <s v="ASB"/>
    <s v="Saving"/>
    <s v="12-3057-xxxxx-01"/>
    <d v="2024-03-02T00:00:00"/>
    <s v="TO CARD 1588  THANK YOU"/>
    <n v="-10.18"/>
    <x v="1"/>
    <x v="1"/>
    <x v="1"/>
  </r>
  <r>
    <s v="ASB"/>
    <s v="Saving"/>
    <s v="12-3057-xxxxx-01"/>
    <d v="2024-03-03T00:00:00"/>
    <s v="EFTPOS"/>
    <n v="-21.17"/>
    <x v="0"/>
    <x v="0"/>
    <x v="0"/>
  </r>
  <r>
    <s v="ASB"/>
    <s v="Saving"/>
    <s v="12-3057-xxxxx-01"/>
    <d v="2024-03-04T00:00:00"/>
    <s v="MJ 8Denning TowerContent Insurance"/>
    <n v="39.46"/>
    <x v="1"/>
    <x v="1"/>
    <x v="1"/>
  </r>
  <r>
    <s v="ASB"/>
    <s v="Saving"/>
    <s v="12-3057-xxxxx-01"/>
    <d v="2024-03-04T00:00:00"/>
    <s v="MJ Apple Cloud Storage"/>
    <n v="18.61"/>
    <x v="1"/>
    <x v="1"/>
    <x v="1"/>
  </r>
  <r>
    <s v="ASB"/>
    <s v="Saving"/>
    <s v="12-3057-xxxxx-01"/>
    <d v="2024-03-04T00:00:00"/>
    <s v="TO CARD 1588  THANK YOU"/>
    <n v="-120.82"/>
    <x v="1"/>
    <x v="1"/>
    <x v="1"/>
  </r>
  <r>
    <s v="ASB"/>
    <s v="Saving"/>
    <s v="12-3057-xxxxx-01"/>
    <d v="2024-03-06T00:00:00"/>
    <s v="MJ Mobile US Phone Sam"/>
    <n v="17.39"/>
    <x v="1"/>
    <x v="1"/>
    <x v="1"/>
  </r>
  <r>
    <s v="ASB"/>
    <s v="Saving"/>
    <s v="12-3057-xxxxx-01"/>
    <d v="2024-03-06T00:00:00"/>
    <s v="Water  MJ 8Denning"/>
    <n v="28.55"/>
    <x v="1"/>
    <x v="1"/>
    <x v="1"/>
  </r>
  <r>
    <s v="ASB"/>
    <s v="Saving"/>
    <s v="12-3057-xxxxx-01"/>
    <d v="2024-03-06T00:00:00"/>
    <s v="MJ ANZ"/>
    <n v="153.08000000000001"/>
    <x v="1"/>
    <x v="1"/>
    <x v="1"/>
  </r>
  <r>
    <s v="ASB"/>
    <s v="Saving"/>
    <s v="12-3057-xxxxx-01"/>
    <d v="2024-03-07T00:00:00"/>
    <s v="TO CARD 1588  THANK YOU"/>
    <n v="-8.7100000000000009"/>
    <x v="1"/>
    <x v="1"/>
    <x v="1"/>
  </r>
  <r>
    <s v="ASB"/>
    <s v="Saving"/>
    <s v="12-3057-xxxxx-01"/>
    <d v="2024-03-07T00:00:00"/>
    <s v="TO CARD 1588  THANK YOU"/>
    <n v="-2.14"/>
    <x v="1"/>
    <x v="1"/>
    <x v="1"/>
  </r>
  <r>
    <s v="ASB"/>
    <s v="Saving"/>
    <s v="12-3057-xxxxx-01"/>
    <d v="2024-03-08T00:00:00"/>
    <s v="TO CARD 1588  THANK YOU"/>
    <n v="-31.73"/>
    <x v="1"/>
    <x v="1"/>
    <x v="1"/>
  </r>
  <r>
    <s v="ASB"/>
    <s v="Saving"/>
    <s v="12-3057-xxxxx-01"/>
    <d v="2024-03-09T00:00:00"/>
    <s v="TO CARD 1588  THANK YOU"/>
    <n v="-37.619999999999997"/>
    <x v="1"/>
    <x v="1"/>
    <x v="1"/>
  </r>
  <r>
    <s v="ASB"/>
    <s v="Saving"/>
    <s v="12-3057-xxxxx-01"/>
    <d v="2024-03-09T00:00:00"/>
    <s v="EFTPOS"/>
    <n v="-1.53"/>
    <x v="0"/>
    <x v="0"/>
    <x v="0"/>
  </r>
  <r>
    <s v="ASB"/>
    <s v="Saving"/>
    <s v="12-3057-xxxxx-01"/>
    <d v="2024-03-09T00:00:00"/>
    <s v="EFTPOS"/>
    <n v="-2.14"/>
    <x v="0"/>
    <x v="0"/>
    <x v="0"/>
  </r>
  <r>
    <s v="ASB"/>
    <s v="Saving"/>
    <s v="12-3057-xxxxx-01"/>
    <d v="2024-03-09T00:00:00"/>
    <s v="EFTPOS"/>
    <n v="-3.92"/>
    <x v="0"/>
    <x v="0"/>
    <x v="0"/>
  </r>
  <r>
    <s v="ASB"/>
    <s v="Saving"/>
    <s v="12-3057-xxxxx-01"/>
    <d v="2024-03-09T00:00:00"/>
    <s v="EFTPOS"/>
    <n v="-75.08"/>
    <x v="0"/>
    <x v="0"/>
    <x v="0"/>
  </r>
  <r>
    <s v="ASB"/>
    <s v="Saving"/>
    <s v="12-3057-xxxxx-01"/>
    <d v="2024-03-13T00:00:00"/>
    <s v="AIA Insurance SamMJ"/>
    <n v="45.02"/>
    <x v="1"/>
    <x v="1"/>
    <x v="1"/>
  </r>
  <r>
    <s v="ASB"/>
    <s v="Saving"/>
    <s v="12-3057-xxxxx-01"/>
    <d v="2024-03-13T00:00:00"/>
    <s v="akpoi120mtpj 24PanoramaRo Rent myRent"/>
    <n v="179.97"/>
    <x v="2"/>
    <x v="2"/>
    <x v="2"/>
  </r>
  <r>
    <s v="ASB"/>
    <s v="Saving"/>
    <s v="12-3057-xxxxx-01"/>
    <d v="2024-03-13T00:00:00"/>
    <s v="BILL PAYMENT TO StaffBidone MJ Alavi 64170"/>
    <n v="-59.64"/>
    <x v="0"/>
    <x v="0"/>
    <x v="0"/>
  </r>
  <r>
    <s v="ASB"/>
    <s v="Saving"/>
    <s v="12-3057-xxxxx-01"/>
    <d v="2024-03-13T00:00:00"/>
    <s v="BILL PAYMENT TO Sam KiwiBank"/>
    <n v="-1421.87"/>
    <x v="1"/>
    <x v="1"/>
    <x v="1"/>
  </r>
  <r>
    <s v="ASB"/>
    <s v="Saving"/>
    <s v="12-3057-xxxxx-01"/>
    <d v="2024-03-14T00:00:00"/>
    <s v="TO CARD 1588  THANK YOU"/>
    <n v="-1.57"/>
    <x v="1"/>
    <x v="1"/>
    <x v="1"/>
  </r>
  <r>
    <s v="ASB"/>
    <s v="Saving"/>
    <s v="12-3057-xxxxx-01"/>
    <d v="2024-03-15T00:00:00"/>
    <s v="Mobile MJ Skinny"/>
    <n v="11.66"/>
    <x v="1"/>
    <x v="1"/>
    <x v="1"/>
  </r>
  <r>
    <s v="ASB"/>
    <s v="Saving"/>
    <s v="12-3057-xxxxx-01"/>
    <d v="2024-03-18T00:00:00"/>
    <s v="TO CARD 1588  THANK YOU"/>
    <n v="-15.22"/>
    <x v="1"/>
    <x v="1"/>
    <x v="1"/>
  </r>
  <r>
    <s v="ASB"/>
    <s v="Saving"/>
    <s v="12-3057-xxxxx-01"/>
    <d v="2024-03-18T00:00:00"/>
    <s v="MJ 5B Tower H&amp;C Insurance"/>
    <n v="49.65"/>
    <x v="1"/>
    <x v="1"/>
    <x v="1"/>
  </r>
  <r>
    <s v="ASB"/>
    <s v="Saving"/>
    <s v="12-3057-xxxxx-01"/>
    <d v="2024-03-18T00:00:00"/>
    <s v="MJ 8Denning TowerHouse Insurance"/>
    <n v="145.02000000000001"/>
    <x v="1"/>
    <x v="1"/>
    <x v="1"/>
  </r>
  <r>
    <s v="ASB"/>
    <s v="Saving"/>
    <s v="12-3057-xxxxx-01"/>
    <d v="2024-03-18T00:00:00"/>
    <s v="24 Panorama Tower H&amp;C Insurance"/>
    <n v="22.77"/>
    <x v="1"/>
    <x v="1"/>
    <x v="1"/>
  </r>
  <r>
    <s v="ASB"/>
    <s v="Saving"/>
    <s v="12-3057-xxxxx-01"/>
    <d v="2024-03-19T00:00:00"/>
    <s v="TO CARD 1588  THANK YOU"/>
    <n v="-113.28"/>
    <x v="1"/>
    <x v="1"/>
    <x v="1"/>
  </r>
  <r>
    <s v="ASB"/>
    <s v="Saving"/>
    <s v="12-3057-xxxxx-01"/>
    <d v="2024-03-19T00:00:00"/>
    <s v="TO CARD 1588  THANK YOU"/>
    <n v="-21.31"/>
    <x v="1"/>
    <x v="1"/>
    <x v="1"/>
  </r>
  <r>
    <s v="ASB"/>
    <s v="Saving"/>
    <s v="12-3057-xxxxx-01"/>
    <d v="2024-03-20T00:00:00"/>
    <s v="Electricity ContactEnrgy MJ 8Denning"/>
    <n v="125.89"/>
    <x v="1"/>
    <x v="1"/>
    <x v="1"/>
  </r>
  <r>
    <s v="ASB"/>
    <s v="Saving"/>
    <s v="12-3057-xxxxx-01"/>
    <d v="2024-03-22T00:00:00"/>
    <s v="TO CARD 1588  THANK YOU"/>
    <n v="-24.52"/>
    <x v="1"/>
    <x v="1"/>
    <x v="1"/>
  </r>
  <r>
    <s v="ASB"/>
    <s v="Saving"/>
    <s v="12-3057-xxxxx-01"/>
    <d v="2024-03-24T00:00:00"/>
    <s v="MJ ASB NetFlix 8Denning"/>
    <n v="14.93"/>
    <x v="1"/>
    <x v="1"/>
    <x v="1"/>
  </r>
  <r>
    <s v="ASB"/>
    <s v="Saving"/>
    <s v="12-3057-xxxxx-01"/>
    <d v="2024-03-24T00:00:00"/>
    <s v="Mobile Sam Skinny"/>
    <n v="25.15"/>
    <x v="1"/>
    <x v="1"/>
    <x v="1"/>
  </r>
  <r>
    <s v="ASB"/>
    <s v="Saving"/>
    <s v="12-3057-xxxxx-01"/>
    <d v="2024-03-24T00:00:00"/>
    <s v="TO CARD 1588  THANK YOU"/>
    <n v="-1.22"/>
    <x v="1"/>
    <x v="1"/>
    <x v="1"/>
  </r>
  <r>
    <s v="ASB"/>
    <s v="Saving"/>
    <s v="12-3057-xxxxx-01"/>
    <d v="2024-03-27T00:00:00"/>
    <s v="TO CARD 1588  THANK YOU"/>
    <n v="-2.9"/>
    <x v="1"/>
    <x v="1"/>
    <x v="1"/>
  </r>
  <r>
    <s v="ASB"/>
    <s v="Saving"/>
    <s v="12-3057-xxxxx-01"/>
    <d v="2024-03-27T00:00:00"/>
    <s v="akpws0h069w3 24PanoramaRo Rent myRent"/>
    <n v="1452.87"/>
    <x v="2"/>
    <x v="2"/>
    <x v="2"/>
  </r>
  <r>
    <s v="ASB"/>
    <s v="Saving"/>
    <s v="12-3057-xxxxx-01"/>
    <d v="2024-03-29T00:00:00"/>
    <s v="TO CARD 1588  THANK YOU"/>
    <n v="-2.36"/>
    <x v="1"/>
    <x v="1"/>
    <x v="1"/>
  </r>
  <r>
    <s v="ASB"/>
    <s v="Saving"/>
    <s v="12-3057-xxxxx-01"/>
    <d v="2024-03-31T00:00:00"/>
    <s v="EFTPOS"/>
    <n v="-11.8"/>
    <x v="6"/>
    <x v="9"/>
    <x v="14"/>
  </r>
  <r>
    <s v="ASB"/>
    <s v="Saving"/>
    <s v="12-3637-xxxx-00"/>
    <d v="2023-09-27T00:00:00"/>
    <s v="EX 12-3057- xxxxx-01"/>
    <n v="549.80999999999995"/>
    <x v="1"/>
    <x v="1"/>
    <x v="1"/>
  </r>
  <r>
    <s v="ASB"/>
    <s v="Saving"/>
    <s v="12-3637-xxxx-00"/>
    <d v="2023-09-27T00:00:00"/>
    <s v="TO 12-3057- xxxxx-01"/>
    <n v="-494.15"/>
    <x v="1"/>
    <x v="1"/>
    <x v="1"/>
  </r>
  <r>
    <s v="ASB"/>
    <s v="Saving"/>
    <s v="12-3637-xxxx-00"/>
    <d v="2023-10-04T00:00:00"/>
    <s v="EX 12-3057- xxxxx-01"/>
    <n v="253.05"/>
    <x v="1"/>
    <x v="1"/>
    <x v="1"/>
  </r>
  <r>
    <s v="ASB"/>
    <s v="Saving"/>
    <s v="12-3637-xxxx-00"/>
    <d v="2023-10-05T00:00:00"/>
    <s v="TO 12-3057- xxxxx-01"/>
    <n v="-40.06"/>
    <x v="1"/>
    <x v="1"/>
    <x v="1"/>
  </r>
  <r>
    <s v="ASB"/>
    <s v="Saving"/>
    <s v="12-3637-xxxx-00"/>
    <d v="2023-10-05T00:00:00"/>
    <s v="TO 12-3057- xxxxx-01"/>
    <n v="-64.930000000000007"/>
    <x v="1"/>
    <x v="1"/>
    <x v="1"/>
  </r>
  <r>
    <s v="ASB"/>
    <s v="Saving"/>
    <s v="12-3637-xxxx-00"/>
    <d v="2023-10-07T00:00:00"/>
    <s v="EX 12-3057- xxxxx-01"/>
    <n v="122.63"/>
    <x v="1"/>
    <x v="1"/>
    <x v="1"/>
  </r>
  <r>
    <s v="ASB"/>
    <s v="Saving"/>
    <s v="12-3637-xxxx-00"/>
    <d v="2023-10-11T00:00:00"/>
    <s v="EX 12-3057- xxxxx-01"/>
    <n v="238.93"/>
    <x v="1"/>
    <x v="1"/>
    <x v="1"/>
  </r>
  <r>
    <s v="ASB"/>
    <s v="Saving"/>
    <s v="12-3637-xxxx-00"/>
    <d v="2023-10-11T00:00:00"/>
    <s v="TO 12-3057- xxxxx-01"/>
    <n v="-73.45"/>
    <x v="1"/>
    <x v="1"/>
    <x v="1"/>
  </r>
  <r>
    <s v="ASB"/>
    <s v="Saving"/>
    <s v="12-3637-xxxx-00"/>
    <d v="2023-10-13T00:00:00"/>
    <s v="EX 12-3057- xxxxx-01"/>
    <n v="60.37"/>
    <x v="1"/>
    <x v="1"/>
    <x v="1"/>
  </r>
  <r>
    <s v="ASB"/>
    <s v="Saving"/>
    <s v="12-3637-xxxx-00"/>
    <d v="2023-10-15T00:00:00"/>
    <s v="TO 12-3057- xxxxx-01 anz"/>
    <n v="-338.2"/>
    <x v="1"/>
    <x v="1"/>
    <x v="1"/>
  </r>
  <r>
    <s v="ASB"/>
    <s v="Saving"/>
    <s v="12-3637-xxxx-00"/>
    <d v="2023-10-15T00:00:00"/>
    <s v="TO 12-3057- xxxxx-01"/>
    <n v="-64.28"/>
    <x v="1"/>
    <x v="1"/>
    <x v="1"/>
  </r>
  <r>
    <s v="ASB"/>
    <s v="Saving"/>
    <s v="12-3637-xxxx-00"/>
    <d v="2023-10-20T00:00:00"/>
    <s v="EX 12-3057- xxxxx-01"/>
    <n v="68.010000000000005"/>
    <x v="1"/>
    <x v="1"/>
    <x v="1"/>
  </r>
  <r>
    <s v="ASB"/>
    <s v="Saving"/>
    <s v="12-3637-xxxx-00"/>
    <d v="2023-10-20T00:00:00"/>
    <s v="TO 12-3057- xxxxx-01"/>
    <n v="-21.21"/>
    <x v="1"/>
    <x v="1"/>
    <x v="1"/>
  </r>
  <r>
    <s v="ASB"/>
    <s v="Saving"/>
    <s v="12-3637-xxxx-00"/>
    <d v="2023-10-21T00:00:00"/>
    <s v="TO 12-3057- xxxxx-01"/>
    <n v="-141.97"/>
    <x v="1"/>
    <x v="1"/>
    <x v="1"/>
  </r>
  <r>
    <s v="ASB"/>
    <s v="Saving"/>
    <s v="12-3637-xxxx-00"/>
    <d v="2023-10-26T00:00:00"/>
    <s v="EX 12-3057- xxxxx-01"/>
    <n v="109.64"/>
    <x v="1"/>
    <x v="1"/>
    <x v="1"/>
  </r>
  <r>
    <s v="ASB"/>
    <s v="Saving"/>
    <s v="12-3637-xxxx-00"/>
    <d v="2023-10-26T00:00:00"/>
    <s v="TO 12-3057- xxxxx-01"/>
    <n v="-90.1"/>
    <x v="1"/>
    <x v="1"/>
    <x v="1"/>
  </r>
  <r>
    <s v="ASB"/>
    <s v="Saving"/>
    <s v="12-3637-xxxx-00"/>
    <d v="2023-10-26T00:00:00"/>
    <s v="TO 12-3057- xxxxx-01"/>
    <n v="-46.72"/>
    <x v="1"/>
    <x v="1"/>
    <x v="1"/>
  </r>
  <r>
    <s v="ASB"/>
    <s v="Saving"/>
    <s v="12-3637-xxxx-00"/>
    <d v="2023-10-29T00:00:00"/>
    <s v="TO 12-3057- xxxxx-01"/>
    <n v="-2.2200000000000002"/>
    <x v="1"/>
    <x v="1"/>
    <x v="1"/>
  </r>
  <r>
    <s v="ASB"/>
    <s v="Saving"/>
    <s v="12-3637-xxxx-00"/>
    <d v="2023-11-02T00:00:00"/>
    <s v="EX 12-3057- xxxxx-01"/>
    <n v="4.7699999999999996"/>
    <x v="1"/>
    <x v="1"/>
    <x v="1"/>
  </r>
  <r>
    <s v="ASB"/>
    <s v="Saving"/>
    <s v="12-3637-xxxx-00"/>
    <d v="2023-11-05T00:00:00"/>
    <s v="TO 12-3057- xxxxx-01"/>
    <n v="-117.97"/>
    <x v="1"/>
    <x v="1"/>
    <x v="1"/>
  </r>
  <r>
    <s v="ASB"/>
    <s v="Saving"/>
    <s v="12-3637-xxxx-00"/>
    <d v="2023-11-08T00:00:00"/>
    <s v="TO 12-3057- xxxxx-01"/>
    <n v="-2.46"/>
    <x v="1"/>
    <x v="1"/>
    <x v="1"/>
  </r>
  <r>
    <s v="ASB"/>
    <s v="Saving"/>
    <s v="12-3637-xxxx-00"/>
    <d v="2023-11-19T00:00:00"/>
    <s v="EX 12-3057- xxxxx-01"/>
    <n v="433.9"/>
    <x v="1"/>
    <x v="1"/>
    <x v="1"/>
  </r>
  <r>
    <s v="ASB"/>
    <s v="Saving"/>
    <s v="12-3637-xxxx-00"/>
    <d v="2023-11-19T00:00:00"/>
    <s v="TO 12-3057- xxxxx-01"/>
    <n v="-3.26"/>
    <x v="1"/>
    <x v="1"/>
    <x v="1"/>
  </r>
  <r>
    <s v="ASB"/>
    <s v="Saving"/>
    <s v="12-3637-xxxx-00"/>
    <d v="2023-11-20T00:00:00"/>
    <s v="TO 12-3057- xxxxx-01"/>
    <n v="-88.74"/>
    <x v="1"/>
    <x v="1"/>
    <x v="1"/>
  </r>
  <r>
    <s v="ASB"/>
    <s v="Saving"/>
    <s v="12-3637-xxxx-00"/>
    <d v="2023-11-20T00:00:00"/>
    <s v="EX 12-3057- xxxxx-01"/>
    <n v="228.76"/>
    <x v="1"/>
    <x v="1"/>
    <x v="1"/>
  </r>
  <r>
    <s v="ASB"/>
    <s v="Saving"/>
    <s v="12-3637-xxxx-00"/>
    <d v="2023-11-20T00:00:00"/>
    <s v="TO 12-3057- xxxxx-01"/>
    <n v="-71.92"/>
    <x v="1"/>
    <x v="1"/>
    <x v="1"/>
  </r>
  <r>
    <s v="ASB"/>
    <s v="Saving"/>
    <s v="12-3637-xxxx-00"/>
    <d v="2023-11-22T00:00:00"/>
    <s v="EX 12-3057- xxxxx-01"/>
    <n v="390.23"/>
    <x v="1"/>
    <x v="1"/>
    <x v="1"/>
  </r>
  <r>
    <s v="ASB"/>
    <s v="Saving"/>
    <s v="12-3637-xxxx-00"/>
    <d v="2023-11-28T00:00:00"/>
    <s v="TO 12-3057- xxxxx-01"/>
    <n v="-80.05"/>
    <x v="1"/>
    <x v="1"/>
    <x v="1"/>
  </r>
  <r>
    <s v="ASB"/>
    <s v="Saving"/>
    <s v="12-3637-xxxx-00"/>
    <d v="2023-11-28T00:00:00"/>
    <s v="TO 12-3057- xxxxx-01"/>
    <n v="-296.11"/>
    <x v="1"/>
    <x v="1"/>
    <x v="1"/>
  </r>
  <r>
    <s v="ASB"/>
    <s v="Saving"/>
    <s v="12-3637-xxxx-00"/>
    <d v="2023-12-20T00:00:00"/>
    <s v="EX 12-3057- xxxxx-01"/>
    <n v="53.64"/>
    <x v="1"/>
    <x v="1"/>
    <x v="1"/>
  </r>
  <r>
    <s v="ASB"/>
    <s v="Saving"/>
    <s v="12-3637-xxxx-00"/>
    <d v="2023-12-22T00:00:00"/>
    <s v="TO CARD 1588  THANK YOU"/>
    <n v="-37.32"/>
    <x v="1"/>
    <x v="1"/>
    <x v="1"/>
  </r>
  <r>
    <s v="ASB"/>
    <s v="Saving"/>
    <s v="12-3637-xxxx-00"/>
    <d v="2023-12-29T00:00:00"/>
    <s v="TO 12-3057- xxxxx-01"/>
    <n v="-94.67"/>
    <x v="1"/>
    <x v="1"/>
    <x v="1"/>
  </r>
  <r>
    <s v="ASB"/>
    <s v="Saving"/>
    <s v="12-3637-xxxx-00"/>
    <d v="2024-01-03T00:00:00"/>
    <s v="TO 12-3057- xxxxx-01"/>
    <n v="-30.93"/>
    <x v="1"/>
    <x v="1"/>
    <x v="1"/>
  </r>
  <r>
    <s v="ASB"/>
    <s v="Saving"/>
    <s v="12-3637-xxxx-00"/>
    <d v="2024-01-18T00:00:00"/>
    <s v="EX 12-3057- xxxxx-01"/>
    <n v="386.73"/>
    <x v="1"/>
    <x v="1"/>
    <x v="1"/>
  </r>
  <r>
    <s v="ASB"/>
    <s v="Saving"/>
    <s v="12-3637-xxxx-00"/>
    <d v="2024-01-20T00:00:00"/>
    <s v="EX 12-3057- xxxxx-01"/>
    <n v="125.63"/>
    <x v="1"/>
    <x v="1"/>
    <x v="1"/>
  </r>
  <r>
    <s v="ASB"/>
    <s v="Saving"/>
    <s v="12-3637-xxxx-00"/>
    <d v="2024-01-22T00:00:00"/>
    <s v="TO 12-3057- xxxxx-01"/>
    <n v="-188.25"/>
    <x v="1"/>
    <x v="1"/>
    <x v="1"/>
  </r>
  <r>
    <s v="ASB"/>
    <s v="Saving"/>
    <s v="12-3637-xxxx-00"/>
    <d v="2024-01-23T00:00:00"/>
    <s v="TO 12-3057- xxxxx-01"/>
    <n v="-51.18"/>
    <x v="1"/>
    <x v="1"/>
    <x v="1"/>
  </r>
  <r>
    <s v="ASB"/>
    <s v="Saving"/>
    <s v="12-3637-xxxx-00"/>
    <d v="2024-01-24T00:00:00"/>
    <s v="EX 12-3057- xxxxx-01"/>
    <n v="55.88"/>
    <x v="1"/>
    <x v="1"/>
    <x v="1"/>
  </r>
  <r>
    <s v="ASB"/>
    <s v="Saving"/>
    <s v="12-3637-xxxx-00"/>
    <d v="2024-01-26T00:00:00"/>
    <s v="TO CARD 1588  THANK YOU"/>
    <n v="-0.93"/>
    <x v="1"/>
    <x v="1"/>
    <x v="1"/>
  </r>
  <r>
    <s v="ASB"/>
    <s v="Saving"/>
    <s v="12-3637-xxxx-00"/>
    <d v="2024-01-26T00:00:00"/>
    <s v="TO CARD 1588  THANK YOU"/>
    <n v="-8.15"/>
    <x v="1"/>
    <x v="1"/>
    <x v="1"/>
  </r>
  <r>
    <s v="ASB"/>
    <s v="Saving"/>
    <s v="12-3637-xxxx-00"/>
    <d v="2024-01-26T00:00:00"/>
    <s v="TO 12-3057- xxxxx-01"/>
    <n v="-147.6"/>
    <x v="1"/>
    <x v="1"/>
    <x v="1"/>
  </r>
  <r>
    <s v="ASB"/>
    <s v="Saving"/>
    <s v="12-3637-xxxx-00"/>
    <d v="2024-01-31T00:00:00"/>
    <s v="EX 12-3057- xxxxx-01"/>
    <n v="147.15"/>
    <x v="1"/>
    <x v="1"/>
    <x v="1"/>
  </r>
  <r>
    <s v="ASB"/>
    <s v="Saving"/>
    <s v="12-3637-xxxx-00"/>
    <d v="2024-01-31T00:00:00"/>
    <s v="EX 12-3057- xxxxx-01"/>
    <n v="77.73"/>
    <x v="1"/>
    <x v="1"/>
    <x v="1"/>
  </r>
  <r>
    <s v="ASB"/>
    <s v="Saving"/>
    <s v="12-3637-xxxx-00"/>
    <d v="2024-02-03T00:00:00"/>
    <s v="TO 12-3057- xxxxx-01"/>
    <n v="-15.1"/>
    <x v="1"/>
    <x v="1"/>
    <x v="1"/>
  </r>
  <r>
    <s v="ASB"/>
    <s v="Saving"/>
    <s v="12-3637-xxxx-00"/>
    <d v="2024-02-04T00:00:00"/>
    <s v="TO 12-3057- xxxxx-01"/>
    <n v="-79.87"/>
    <x v="1"/>
    <x v="1"/>
    <x v="1"/>
  </r>
  <r>
    <s v="ASB"/>
    <s v="Saving"/>
    <s v="12-3637-xxxx-00"/>
    <d v="2024-02-07T00:00:00"/>
    <s v="TO 12-3057- xxxxx-01"/>
    <n v="-146.32"/>
    <x v="1"/>
    <x v="1"/>
    <x v="1"/>
  </r>
  <r>
    <s v="ASB"/>
    <s v="Saving"/>
    <s v="12-3637-xxxx-00"/>
    <d v="2024-02-14T00:00:00"/>
    <s v="EX 12-3057- xxxxx-01"/>
    <n v="17.239999999999998"/>
    <x v="1"/>
    <x v="1"/>
    <x v="1"/>
  </r>
  <r>
    <s v="ASB"/>
    <s v="Saving"/>
    <s v="12-3637-xxxx-00"/>
    <d v="2024-02-20T00:00:00"/>
    <s v="TO 12-3057- xxxxx-01"/>
    <n v="-26.39"/>
    <x v="1"/>
    <x v="1"/>
    <x v="1"/>
  </r>
  <r>
    <s v="ASB"/>
    <s v="Credit"/>
    <s v="xxxx-xxxx-xxxx-1588"/>
    <d v="2023-03-31T00:00:00"/>
    <s v="COUNTDOWN GREENLANE AUCKLAND"/>
    <n v="-10.68"/>
    <x v="0"/>
    <x v="0"/>
    <x v="0"/>
  </r>
  <r>
    <s v="ASB"/>
    <s v="Credit"/>
    <s v="xxxx-xxxx-xxxx-1588"/>
    <d v="2023-03-31T00:00:00"/>
    <s v="BP CONNECT BOULEVARD AUCKLAND"/>
    <n v="-102.57"/>
    <x v="6"/>
    <x v="9"/>
    <x v="14"/>
  </r>
  <r>
    <s v="ASB"/>
    <s v="Credit"/>
    <s v="xxxx-xxxx-xxxx-1588"/>
    <d v="2023-03-30T00:00:00"/>
    <s v="US MOBILE  US MOBILE WWW.USMOBILE. NY 9.07 US DOLLAR at a Conversion Rate  of 0.6212 (NZ$14.60)"/>
    <n v="-0.34"/>
    <x v="7"/>
    <x v="13"/>
    <x v="15"/>
  </r>
  <r>
    <s v="ASB"/>
    <s v="Credit"/>
    <s v="xxxx-xxxx-xxxx-1588"/>
    <d v="2023-03-30T00:00:00"/>
    <s v="OFFSHORE SERVICE MARGINS"/>
    <n v="-0.23"/>
    <x v="5"/>
    <x v="7"/>
    <x v="7"/>
  </r>
  <r>
    <s v="ASB"/>
    <s v="Credit"/>
    <s v="xxxx-xxxx-xxxx-1588"/>
    <d v="2023-03-31T00:00:00"/>
    <s v="DREAMERS CAFE EPSOM"/>
    <n v="-6.56"/>
    <x v="3"/>
    <x v="8"/>
    <x v="8"/>
  </r>
  <r>
    <s v="ASB"/>
    <s v="Credit"/>
    <s v="xxxx-xxxx-xxxx-1588"/>
    <d v="2023-03-31T00:00:00"/>
    <s v="SKINNY AUCKLAND"/>
    <n v="-11.48"/>
    <x v="7"/>
    <x v="10"/>
    <x v="10"/>
  </r>
  <r>
    <s v="ASB"/>
    <s v="Credit"/>
    <s v="xxxx-xxxx-xxxx-1588"/>
    <d v="2023-04-01T00:00:00"/>
    <s v="SKINNY AUCKLAND"/>
    <n v="-17.54"/>
    <x v="7"/>
    <x v="10"/>
    <x v="10"/>
  </r>
  <r>
    <s v="ASB"/>
    <s v="Credit"/>
    <s v="xxxx-xxxx-xxxx-1588"/>
    <d v="2023-04-03T00:00:00"/>
    <s v="LE PETITE FOURCHETTE AUCKLAND"/>
    <n v="-10.4"/>
    <x v="3"/>
    <x v="8"/>
    <x v="8"/>
  </r>
  <r>
    <s v="ASB"/>
    <s v="Credit"/>
    <s v="xxxx-xxxx-xxxx-1588"/>
    <d v="2023-04-05T00:00:00"/>
    <s v="PAYMENT RECEIVED THANK YOU"/>
    <n v="202.98"/>
    <x v="1"/>
    <x v="1"/>
    <x v="16"/>
  </r>
  <r>
    <s v="ASB"/>
    <s v="Credit"/>
    <s v="xxxx-xxxx-xxxx-1588"/>
    <d v="2023-04-06T00:00:00"/>
    <s v="PAYMENT RECEIVED THANK YOU"/>
    <n v="47.74"/>
    <x v="1"/>
    <x v="1"/>
    <x v="16"/>
  </r>
  <r>
    <s v="ASB"/>
    <s v="Credit"/>
    <s v="xxxx-xxxx-xxxx-1588"/>
    <d v="2023-04-07T00:00:00"/>
    <s v="Sprint Fit Newton"/>
    <n v="-63.33"/>
    <x v="3"/>
    <x v="14"/>
    <x v="17"/>
  </r>
  <r>
    <s v="ASB"/>
    <s v="Credit"/>
    <s v="xxxx-xxxx-xxxx-1588"/>
    <d v="2023-04-07T00:00:00"/>
    <s v="Beach Cafe Pukekohe"/>
    <n v="-4.32"/>
    <x v="3"/>
    <x v="8"/>
    <x v="8"/>
  </r>
  <r>
    <s v="ASB"/>
    <s v="Credit"/>
    <s v="xxxx-xxxx-xxxx-1588"/>
    <d v="2023-04-05T00:00:00"/>
    <s v="DBS Jetts Remuera North Harbour"/>
    <n v="-0.9"/>
    <x v="3"/>
    <x v="14"/>
    <x v="17"/>
  </r>
  <r>
    <s v="ASB"/>
    <s v="Credit"/>
    <s v="xxxx-xxxx-xxxx-1588"/>
    <d v="2023-04-06T00:00:00"/>
    <s v="TOWER INSURANCE - EIS 093692079"/>
    <n v="-7.08"/>
    <x v="8"/>
    <x v="15"/>
    <x v="18"/>
  </r>
  <r>
    <s v="ASB"/>
    <s v="Credit"/>
    <s v="xxxx-xxxx-xxxx-1588"/>
    <d v="2023-04-05T00:00:00"/>
    <s v="APPLE.COM/BILL SYDNEY"/>
    <n v="-24.94"/>
    <x v="7"/>
    <x v="16"/>
    <x v="19"/>
  </r>
  <r>
    <s v="ASB"/>
    <s v="Credit"/>
    <s v="xxxx-xxxx-xxxx-1588"/>
    <d v="2023-04-08T00:00:00"/>
    <s v="PAYMENT RECEIVED THANK YOU"/>
    <n v="89.06"/>
    <x v="1"/>
    <x v="1"/>
    <x v="16"/>
  </r>
  <r>
    <s v="ASB"/>
    <s v="Credit"/>
    <s v="xxxx-xxxx-xxxx-1588"/>
    <d v="2023-04-09T00:00:00"/>
    <s v="Kings Plant Barn Mount Welling"/>
    <n v="-24.43"/>
    <x v="4"/>
    <x v="12"/>
    <x v="12"/>
  </r>
  <r>
    <s v="ASB"/>
    <s v="Credit"/>
    <s v="xxxx-xxxx-xxxx-1588"/>
    <d v="2023-04-10T00:00:00"/>
    <s v="PAYMENT RECEIVED THANK YOU"/>
    <n v="1.89"/>
    <x v="1"/>
    <x v="1"/>
    <x v="16"/>
  </r>
  <r>
    <s v="ASB"/>
    <s v="Credit"/>
    <s v="xxxx-xxxx-xxxx-1588"/>
    <d v="2023-04-10T00:00:00"/>
    <s v="PAYMENT RECEIVED THANK YOU"/>
    <n v="23.63"/>
    <x v="1"/>
    <x v="1"/>
    <x v="16"/>
  </r>
  <r>
    <s v="ASB"/>
    <s v="Credit"/>
    <s v="xxxx-xxxx-xxxx-1588"/>
    <d v="2023-04-11T00:00:00"/>
    <s v="PAYMENT RECEIVED THANK YOU"/>
    <n v="9.33"/>
    <x v="1"/>
    <x v="1"/>
    <x v="16"/>
  </r>
  <r>
    <s v="ASB"/>
    <s v="Credit"/>
    <s v="xxxx-xxxx-xxxx-1588"/>
    <d v="2023-04-10T00:00:00"/>
    <s v="MYRENT AUCKLAND"/>
    <n v="-14.76"/>
    <x v="4"/>
    <x v="17"/>
    <x v="20"/>
  </r>
  <r>
    <s v="ASB"/>
    <s v="Credit"/>
    <s v="xxxx-xxxx-xxxx-1588"/>
    <d v="2023-04-12T00:00:00"/>
    <s v="PAYMENT RECEIVED THANK YOU"/>
    <n v="25.02"/>
    <x v="1"/>
    <x v="1"/>
    <x v="16"/>
  </r>
  <r>
    <s v="ASB"/>
    <s v="Credit"/>
    <s v="xxxx-xxxx-xxxx-1588"/>
    <d v="2023-04-11T00:00:00"/>
    <s v="VICTORY CHRISTIAN CHURCH AUCKLAND"/>
    <n v="-6.22"/>
    <x v="6"/>
    <x v="9"/>
    <x v="21"/>
  </r>
  <r>
    <s v="ASB"/>
    <s v="Credit"/>
    <s v="xxxx-xxxx-xxxx-1588"/>
    <d v="2023-04-12T00:00:00"/>
    <s v="LE PETITE FOURCHETTE AUCKLAND"/>
    <n v="-16.079999999999998"/>
    <x v="3"/>
    <x v="8"/>
    <x v="8"/>
  </r>
  <r>
    <s v="ASB"/>
    <s v="Credit"/>
    <s v="xxxx-xxxx-xxxx-1588"/>
    <d v="2023-04-12T00:00:00"/>
    <s v="MKT ROAD KITCHEN AUCKLAND"/>
    <n v="-2.1"/>
    <x v="3"/>
    <x v="8"/>
    <x v="8"/>
  </r>
  <r>
    <s v="ASB"/>
    <s v="Credit"/>
    <s v="xxxx-xxxx-xxxx-1588"/>
    <d v="2023-04-13T00:00:00"/>
    <s v="DBS Jetts Remuera North Harbour"/>
    <n v="-4.1100000000000003"/>
    <x v="3"/>
    <x v="14"/>
    <x v="17"/>
  </r>
  <r>
    <s v="ASB"/>
    <s v="Credit"/>
    <s v="xxxx-xxxx-xxxx-1588"/>
    <d v="2023-04-13T00:00:00"/>
    <s v="PAYMENT RECEIVED THANK YOU"/>
    <n v="12.52"/>
    <x v="1"/>
    <x v="1"/>
    <x v="16"/>
  </r>
  <r>
    <s v="ASB"/>
    <s v="Credit"/>
    <s v="xxxx-xxxx-xxxx-1588"/>
    <d v="2023-04-15T00:00:00"/>
    <s v="PAYMENT RECEIVED THANK YOU"/>
    <n v="29.59"/>
    <x v="1"/>
    <x v="1"/>
    <x v="16"/>
  </r>
  <r>
    <s v="ASB"/>
    <s v="Credit"/>
    <s v="xxxx-xxxx-xxxx-1588"/>
    <d v="2023-04-15T00:00:00"/>
    <s v="PAYMENT RECEIVED THANK YOU"/>
    <n v="24.82"/>
    <x v="1"/>
    <x v="1"/>
    <x v="16"/>
  </r>
  <r>
    <s v="ASB"/>
    <s v="Credit"/>
    <s v="xxxx-xxxx-xxxx-1588"/>
    <d v="2023-04-15T00:00:00"/>
    <s v="PAYMENT RECEIVED THANK YOU"/>
    <n v="8.18"/>
    <x v="1"/>
    <x v="1"/>
    <x v="16"/>
  </r>
  <r>
    <s v="ASB"/>
    <s v="Credit"/>
    <s v="xxxx-xxxx-xxxx-1588"/>
    <d v="2023-04-13T00:00:00"/>
    <s v="www.aliexpress.com WWW.ALIEXPRES"/>
    <n v="-10.36"/>
    <x v="9"/>
    <x v="18"/>
    <x v="22"/>
  </r>
  <r>
    <s v="ASB"/>
    <s v="Credit"/>
    <s v="xxxx-xxxx-xxxx-1588"/>
    <d v="2023-04-15T00:00:00"/>
    <s v="PAYMENT RECEIVED THANK YOU"/>
    <n v="7.41"/>
    <x v="1"/>
    <x v="1"/>
    <x v="16"/>
  </r>
  <r>
    <s v="ASB"/>
    <s v="Credit"/>
    <s v="xxxx-xxxx-xxxx-1588"/>
    <d v="2023-04-15T00:00:00"/>
    <s v="DREAMERS CAFE EPSOM"/>
    <n v="-16.11"/>
    <x v="3"/>
    <x v="8"/>
    <x v="8"/>
  </r>
  <r>
    <s v="ASB"/>
    <s v="Credit"/>
    <s v="xxxx-xxxx-xxxx-1588"/>
    <d v="2023-04-15T00:00:00"/>
    <s v="HESARISUPERMARKETPANMURE AUCKLAND"/>
    <n v="-11.65"/>
    <x v="0"/>
    <x v="0"/>
    <x v="0"/>
  </r>
  <r>
    <s v="ASB"/>
    <s v="Credit"/>
    <s v="xxxx-xxxx-xxxx-1588"/>
    <d v="2023-04-16T00:00:00"/>
    <s v="PAYMENT RECEIVED THANK YOU"/>
    <n v="2.98"/>
    <x v="1"/>
    <x v="1"/>
    <x v="16"/>
  </r>
  <r>
    <s v="ASB"/>
    <s v="Credit"/>
    <s v="xxxx-xxxx-xxxx-1588"/>
    <d v="2023-04-17T00:00:00"/>
    <s v="VICTORY CHRISTIAN CHURCH AUCKLAND"/>
    <n v="-7.17"/>
    <x v="6"/>
    <x v="9"/>
    <x v="21"/>
  </r>
  <r>
    <s v="ASB"/>
    <s v="Credit"/>
    <s v="xxxx-xxxx-xxxx-1588"/>
    <d v="2023-04-16T00:00:00"/>
    <s v="PONSONBY CENTRAL CARPARK AUCKLAND"/>
    <n v="-3.24"/>
    <x v="3"/>
    <x v="8"/>
    <x v="8"/>
  </r>
  <r>
    <s v="ASB"/>
    <s v="Credit"/>
    <s v="xxxx-xxxx-xxxx-1588"/>
    <d v="2023-04-14T00:00:00"/>
    <s v="AIA NEW ZEALAND AUCKLAND"/>
    <n v="-41.24"/>
    <x v="8"/>
    <x v="19"/>
    <x v="23"/>
  </r>
  <r>
    <s v="ASB"/>
    <s v="Credit"/>
    <s v="xxxx-xxxx-xxxx-1588"/>
    <d v="2023-04-19T00:00:00"/>
    <s v="PAYMENT RECEIVED THANK YOU"/>
    <n v="221.73"/>
    <x v="1"/>
    <x v="1"/>
    <x v="16"/>
  </r>
  <r>
    <s v="ASB"/>
    <s v="Credit"/>
    <s v="xxxx-xxxx-xxxx-1588"/>
    <d v="2023-04-18T00:00:00"/>
    <s v="PAK N SAVE SYLVIA PARK AUCKLAND"/>
    <n v="-118.58"/>
    <x v="0"/>
    <x v="0"/>
    <x v="0"/>
  </r>
  <r>
    <s v="ASB"/>
    <s v="Credit"/>
    <s v="xxxx-xxxx-xxxx-1588"/>
    <d v="2023-04-17T00:00:00"/>
    <s v="PAYPAL  AIRBNB  HMN5PT 35314369001"/>
    <n v="-933.25"/>
    <x v="3"/>
    <x v="6"/>
    <x v="6"/>
  </r>
  <r>
    <s v="ASB"/>
    <s v="Credit"/>
    <s v="xxxx-xxxx-xxxx-1588"/>
    <d v="2023-04-20T00:00:00"/>
    <s v="PAYMENT RECEIVED THANK YOU"/>
    <n v="2117.33"/>
    <x v="1"/>
    <x v="1"/>
    <x v="16"/>
  </r>
  <r>
    <s v="ASB"/>
    <s v="Credit"/>
    <s v="xxxx-xxxx-xxxx-1588"/>
    <d v="2023-04-20T00:00:00"/>
    <s v="PAYMENT RECEIVED THANK YOU"/>
    <n v="10.99"/>
    <x v="1"/>
    <x v="1"/>
    <x v="16"/>
  </r>
  <r>
    <s v="ASB"/>
    <s v="Credit"/>
    <s v="xxxx-xxxx-xxxx-1588"/>
    <d v="2023-04-19T00:00:00"/>
    <s v="MKT ROAD KITCHEN AUCKLAND"/>
    <n v="-2.5099999999999998"/>
    <x v="3"/>
    <x v="8"/>
    <x v="8"/>
  </r>
  <r>
    <s v="ASB"/>
    <s v="Credit"/>
    <s v="xxxx-xxxx-xxxx-1588"/>
    <d v="2023-04-19T00:00:00"/>
    <s v="PARKMATE NZ AUCKLAND"/>
    <n v="-42.48"/>
    <x v="6"/>
    <x v="9"/>
    <x v="21"/>
  </r>
  <r>
    <s v="ASB"/>
    <s v="Credit"/>
    <s v="xxxx-xxxx-xxxx-1588"/>
    <d v="2023-04-20T00:00:00"/>
    <s v="TOWER INSURANCE - EIS 093692079"/>
    <n v="-65.03"/>
    <x v="8"/>
    <x v="15"/>
    <x v="18"/>
  </r>
  <r>
    <s v="ASB"/>
    <s v="Credit"/>
    <s v="xxxx-xxxx-xxxx-1588"/>
    <d v="2023-04-20T00:00:00"/>
    <s v="TOWER INSURANCE - EIS 093692079"/>
    <n v="-96.45"/>
    <x v="8"/>
    <x v="15"/>
    <x v="18"/>
  </r>
  <r>
    <s v="ASB"/>
    <s v="Credit"/>
    <s v="xxxx-xxxx-xxxx-1588"/>
    <d v="2023-04-20T00:00:00"/>
    <s v="TOWER INSURANCE - EIS 093692079"/>
    <n v="-9.18"/>
    <x v="8"/>
    <x v="15"/>
    <x v="18"/>
  </r>
  <r>
    <s v="ASB"/>
    <s v="Credit"/>
    <s v="xxxx-xxxx-xxxx-1588"/>
    <d v="2023-04-22T00:00:00"/>
    <s v="PAYMENT RECEIVED THANK YOU"/>
    <n v="22.26"/>
    <x v="1"/>
    <x v="1"/>
    <x v="16"/>
  </r>
  <r>
    <s v="ASB"/>
    <s v="Credit"/>
    <s v="xxxx-xxxx-xxxx-1588"/>
    <d v="2023-04-20T00:00:00"/>
    <s v="DBS Jetts Remuera North Harbour"/>
    <n v="-3.58"/>
    <x v="3"/>
    <x v="14"/>
    <x v="17"/>
  </r>
  <r>
    <s v="ASB"/>
    <s v="Credit"/>
    <s v="xxxx-xxxx-xxxx-1588"/>
    <d v="2023-04-24T00:00:00"/>
    <s v="PAYMENT RECEIVED THANK YOU"/>
    <n v="10.69"/>
    <x v="1"/>
    <x v="1"/>
    <x v="16"/>
  </r>
  <r>
    <s v="ASB"/>
    <s v="Credit"/>
    <s v="xxxx-xxxx-xxxx-1588"/>
    <d v="2023-04-27T00:00:00"/>
    <s v="PAYMENT RECEIVED THANK YOU"/>
    <n v="610.33000000000004"/>
    <x v="1"/>
    <x v="1"/>
    <x v="16"/>
  </r>
  <r>
    <s v="ASB"/>
    <s v="Credit"/>
    <s v="xxxx-xxxx-xxxx-1588"/>
    <d v="2023-04-27T00:00:00"/>
    <s v="PAYMENT RECEIVED THANK YOU"/>
    <n v="59.86"/>
    <x v="1"/>
    <x v="1"/>
    <x v="16"/>
  </r>
  <r>
    <s v="ASB"/>
    <s v="Credit"/>
    <s v="xxxx-xxxx-xxxx-1588"/>
    <d v="2023-04-26T00:00:00"/>
    <s v="Akl Airport Carpark Auckland"/>
    <n v="-0.54"/>
    <x v="3"/>
    <x v="6"/>
    <x v="6"/>
  </r>
  <r>
    <s v="ASB"/>
    <s v="Credit"/>
    <s v="xxxx-xxxx-xxxx-1588"/>
    <d v="2023-04-26T00:00:00"/>
    <s v="MODERENTALS AUCKLAND"/>
    <n v="-211.31"/>
    <x v="6"/>
    <x v="9"/>
    <x v="24"/>
  </r>
  <r>
    <s v="ASB"/>
    <s v="Credit"/>
    <s v="xxxx-xxxx-xxxx-1588"/>
    <d v="2023-04-27T00:00:00"/>
    <s v="Qldc Parking Queenstown"/>
    <n v="-3.83"/>
    <x v="6"/>
    <x v="9"/>
    <x v="21"/>
  </r>
  <r>
    <s v="ASB"/>
    <s v="Credit"/>
    <s v="xxxx-xxxx-xxxx-1588"/>
    <d v="2023-04-28T00:00:00"/>
    <s v="PAYMENT RECEIVED THANK YOU"/>
    <n v="21.95"/>
    <x v="1"/>
    <x v="1"/>
    <x v="16"/>
  </r>
  <r>
    <s v="ASB"/>
    <s v="Credit"/>
    <s v="xxxx-xxxx-xxxx-1588"/>
    <d v="2023-04-28T00:00:00"/>
    <s v="PAYMENT RECEIVED THANK YOU"/>
    <n v="10.039999999999999"/>
    <x v="1"/>
    <x v="1"/>
    <x v="16"/>
  </r>
  <r>
    <s v="ASB"/>
    <s v="Credit"/>
    <s v="xxxx-xxxx-xxxx-1588"/>
    <d v="2023-04-27T00:00:00"/>
    <s v="Qldc Parking Queenstown"/>
    <n v="-9"/>
    <x v="6"/>
    <x v="9"/>
    <x v="21"/>
  </r>
  <r>
    <s v="ASB"/>
    <s v="Credit"/>
    <s v="xxxx-xxxx-xxxx-1588"/>
    <d v="2023-04-28T00:00:00"/>
    <s v="211 Remarks Road Entry Queenstown"/>
    <n v="-11.66"/>
    <x v="3"/>
    <x v="6"/>
    <x v="6"/>
  </r>
  <r>
    <s v="ASB"/>
    <s v="Credit"/>
    <s v="xxxx-xxxx-xxxx-1588"/>
    <d v="2023-04-27T00:00:00"/>
    <s v="FOUR SQUARE QUEENSTOWN QUEENSTOWN"/>
    <n v="-9.57"/>
    <x v="0"/>
    <x v="0"/>
    <x v="0"/>
  </r>
  <r>
    <s v="ASB"/>
    <s v="Credit"/>
    <s v="xxxx-xxxx-xxxx-1588"/>
    <d v="2023-04-26T00:00:00"/>
    <s v="DBS Jetts Remuera North Harbour"/>
    <n v="-8.98"/>
    <x v="3"/>
    <x v="14"/>
    <x v="17"/>
  </r>
  <r>
    <s v="ASB"/>
    <s v="Credit"/>
    <s v="xxxx-xxxx-xxxx-1588"/>
    <d v="2023-04-27T00:00:00"/>
    <s v="THE LODGE BAR AUCKLAND"/>
    <n v="-36.659999999999997"/>
    <x v="3"/>
    <x v="8"/>
    <x v="8"/>
  </r>
  <r>
    <s v="ASB"/>
    <s v="Credit"/>
    <s v="xxxx-xxxx-xxxx-1588"/>
    <d v="2023-04-28T00:00:00"/>
    <s v="SKINNY AUCKLAND"/>
    <n v="-9.2100000000000009"/>
    <x v="7"/>
    <x v="10"/>
    <x v="10"/>
  </r>
  <r>
    <s v="ASB"/>
    <s v="Credit"/>
    <s v="xxxx-xxxx-xxxx-1588"/>
    <d v="2023-04-30T00:00:00"/>
    <s v="PAYMENT RECEIVED THANK YOU"/>
    <n v="5.95"/>
    <x v="1"/>
    <x v="1"/>
    <x v="16"/>
  </r>
  <r>
    <s v="ASB"/>
    <s v="Credit"/>
    <s v="xxxx-xxxx-xxxx-1588"/>
    <d v="2023-04-29T00:00:00"/>
    <s v="SKINNY AUCKLAND"/>
    <n v="-11.15"/>
    <x v="7"/>
    <x v="10"/>
    <x v="10"/>
  </r>
  <r>
    <s v="ASB"/>
    <s v="Credit"/>
    <s v="xxxx-xxxx-xxxx-1588"/>
    <d v="2023-05-01T00:00:00"/>
    <s v="PAYMENT RECEIVED THANK YOU"/>
    <n v="16.170000000000002"/>
    <x v="1"/>
    <x v="1"/>
    <x v="16"/>
  </r>
  <r>
    <s v="ASB"/>
    <s v="Credit"/>
    <s v="xxxx-xxxx-xxxx-1588"/>
    <d v="2023-04-30T00:00:00"/>
    <s v="VICTORY CHRISTIAN CHURCH AUCKLAND"/>
    <n v="-15.88"/>
    <x v="6"/>
    <x v="9"/>
    <x v="21"/>
  </r>
  <r>
    <s v="ASB"/>
    <s v="Credit"/>
    <s v="xxxx-xxxx-xxxx-1588"/>
    <d v="2023-04-30T00:00:00"/>
    <s v="Fergbaker Queenstown"/>
    <n v="-11.23"/>
    <x v="3"/>
    <x v="8"/>
    <x v="8"/>
  </r>
  <r>
    <s v="ASB"/>
    <s v="Credit"/>
    <s v="xxxx-xxxx-xxxx-1588"/>
    <d v="2023-04-30T00:00:00"/>
    <s v="Fergbaker Queenstown"/>
    <n v="-2.89"/>
    <x v="3"/>
    <x v="8"/>
    <x v="8"/>
  </r>
  <r>
    <s v="ASB"/>
    <s v="Credit"/>
    <s v="xxxx-xxxx-xxxx-1588"/>
    <d v="2023-04-30T00:00:00"/>
    <s v="BP CONNECT QUEENSTOWN QUEENSTOWN"/>
    <n v="-32.409999999999997"/>
    <x v="6"/>
    <x v="9"/>
    <x v="14"/>
  </r>
  <r>
    <s v="ASB"/>
    <s v="Credit"/>
    <s v="xxxx-xxxx-xxxx-1588"/>
    <d v="2023-04-29T00:00:00"/>
    <s v="US MOBILE  US MOBILE WWW.USMOBILE. NY 9.07 US DOLLAR at a Conversion Rate  of 0.6120 (NZ$14.82)"/>
    <n v="-2.56"/>
    <x v="7"/>
    <x v="13"/>
    <x v="15"/>
  </r>
  <r>
    <s v="ASB"/>
    <s v="Credit"/>
    <s v="xxxx-xxxx-xxxx-1588"/>
    <d v="2023-04-29T00:00:00"/>
    <s v="OFFSHORE SERVICE MARGINS"/>
    <n v="-0.09"/>
    <x v="5"/>
    <x v="7"/>
    <x v="7"/>
  </r>
  <r>
    <s v="ASB"/>
    <s v="Credit"/>
    <s v="xxxx-xxxx-xxxx-1588"/>
    <d v="2023-05-02T00:00:00"/>
    <s v="PAYMENT RECEIVED THANK YOU"/>
    <n v="14.01"/>
    <x v="1"/>
    <x v="1"/>
    <x v="16"/>
  </r>
  <r>
    <s v="ASB"/>
    <s v="Credit"/>
    <s v="xxxx-xxxx-xxxx-1588"/>
    <d v="2023-05-01T00:00:00"/>
    <s v="GULL MARUA ROAD AUCKLAND"/>
    <n v="-13.51"/>
    <x v="6"/>
    <x v="9"/>
    <x v="14"/>
  </r>
  <r>
    <s v="ASB"/>
    <s v="Credit"/>
    <s v="xxxx-xxxx-xxxx-1588"/>
    <d v="2023-04-30T00:00:00"/>
    <s v="PATAGONIA CHOCOLATES QUEENSTOWN"/>
    <n v="-3.59"/>
    <x v="3"/>
    <x v="8"/>
    <x v="8"/>
  </r>
  <r>
    <s v="ASB"/>
    <s v="Credit"/>
    <s v="xxxx-xxxx-xxxx-1588"/>
    <d v="2023-05-02T00:00:00"/>
    <s v="LITTLE LUSCIOUS CAFE AUCKLAND"/>
    <n v="-2.23"/>
    <x v="3"/>
    <x v="8"/>
    <x v="8"/>
  </r>
  <r>
    <s v="ASB"/>
    <s v="Credit"/>
    <s v="xxxx-xxxx-xxxx-1588"/>
    <d v="2023-05-02T00:00:00"/>
    <s v="ELLERSLIE CENTRAL POST SH AUCKLAND"/>
    <n v="-6.9"/>
    <x v="5"/>
    <x v="7"/>
    <x v="25"/>
  </r>
  <r>
    <s v="ASB"/>
    <s v="Credit"/>
    <s v="xxxx-xxxx-xxxx-1588"/>
    <d v="2023-05-02T00:00:00"/>
    <s v="NEW WORLD STONEFIELDS AUCKLAND NZ"/>
    <n v="-141.91"/>
    <x v="0"/>
    <x v="0"/>
    <x v="0"/>
  </r>
  <r>
    <s v="ASB"/>
    <s v="Credit"/>
    <s v="xxxx-xxxx-xxxx-1588"/>
    <d v="2023-05-02T00:00:00"/>
    <s v="Downtown Car Park Auckland"/>
    <n v="-6.28"/>
    <x v="6"/>
    <x v="9"/>
    <x v="21"/>
  </r>
  <r>
    <s v="ASB"/>
    <s v="Credit"/>
    <s v="xxxx-xxxx-xxxx-1588"/>
    <d v="2023-05-04T00:00:00"/>
    <s v="PAYMENT RECEIVED THANK YOU"/>
    <n v="10.34"/>
    <x v="1"/>
    <x v="1"/>
    <x v="16"/>
  </r>
  <r>
    <s v="ASB"/>
    <s v="Credit"/>
    <s v="xxxx-xxxx-xxxx-1588"/>
    <d v="2023-05-04T00:00:00"/>
    <s v="PAYMENT RECEIVED THANK YOU"/>
    <n v="160.9"/>
    <x v="1"/>
    <x v="1"/>
    <x v="16"/>
  </r>
  <r>
    <s v="ASB"/>
    <s v="Credit"/>
    <s v="xxxx-xxxx-xxxx-1588"/>
    <d v="2023-05-04T00:00:00"/>
    <s v="TSUJIRI AUCKLAND"/>
    <n v="-13.44"/>
    <x v="0"/>
    <x v="0"/>
    <x v="0"/>
  </r>
  <r>
    <s v="ASB"/>
    <s v="Credit"/>
    <s v="xxxx-xxxx-xxxx-1588"/>
    <d v="2023-05-04T00:00:00"/>
    <s v="PAYMENT RECEIVED THANK YOU"/>
    <n v="32.69"/>
    <x v="1"/>
    <x v="1"/>
    <x v="16"/>
  </r>
  <r>
    <s v="ASB"/>
    <s v="Credit"/>
    <s v="xxxx-xxxx-xxxx-1588"/>
    <d v="2023-05-05T00:00:00"/>
    <s v="PAYMENT RECEIVED THANK YOU"/>
    <n v="45.26"/>
    <x v="1"/>
    <x v="1"/>
    <x v="16"/>
  </r>
  <r>
    <s v="ASB"/>
    <s v="Credit"/>
    <s v="xxxx-xxxx-xxxx-1588"/>
    <d v="2023-05-04T00:00:00"/>
    <s v="WILSON P27 FORT AUCKLAND"/>
    <n v="-40.69"/>
    <x v="6"/>
    <x v="9"/>
    <x v="21"/>
  </r>
  <r>
    <s v="ASB"/>
    <s v="Credit"/>
    <s v="xxxx-xxxx-xxxx-1588"/>
    <d v="2023-05-04T00:00:00"/>
    <s v="ALTEZANO SNICKEL LANE WHANGAREI"/>
    <n v="-6.69"/>
    <x v="3"/>
    <x v="6"/>
    <x v="6"/>
  </r>
  <r>
    <s v="ASB"/>
    <s v="Credit"/>
    <s v="xxxx-xxxx-xxxx-1588"/>
    <d v="2023-05-06T00:00:00"/>
    <s v="PAYMENT RECEIVED THANK YOU"/>
    <n v="2.2400000000000002"/>
    <x v="1"/>
    <x v="1"/>
    <x v="16"/>
  </r>
  <r>
    <s v="ASB"/>
    <s v="Credit"/>
    <s v="xxxx-xxxx-xxxx-1588"/>
    <d v="2023-05-05T00:00:00"/>
    <s v="DREAMERS CAFE EPSOM"/>
    <n v="-1.45"/>
    <x v="3"/>
    <x v="8"/>
    <x v="8"/>
  </r>
  <r>
    <s v="ASB"/>
    <s v="Credit"/>
    <s v="xxxx-xxxx-xxxx-1588"/>
    <d v="2023-05-04T00:00:00"/>
    <s v="DBS Jetts Remuera North Harbour"/>
    <n v="-0.82"/>
    <x v="3"/>
    <x v="14"/>
    <x v="17"/>
  </r>
  <r>
    <s v="ASB"/>
    <s v="Credit"/>
    <s v="xxxx-xxxx-xxxx-1588"/>
    <d v="2023-05-06T00:00:00"/>
    <s v="AT Parking Auckland"/>
    <n v="-0.72"/>
    <x v="6"/>
    <x v="9"/>
    <x v="21"/>
  </r>
  <r>
    <s v="ASB"/>
    <s v="Credit"/>
    <s v="xxxx-xxxx-xxxx-1588"/>
    <d v="2023-05-05T00:00:00"/>
    <s v="APPLE.COM/BILL SYDNEY"/>
    <n v="-15.09"/>
    <x v="7"/>
    <x v="16"/>
    <x v="19"/>
  </r>
  <r>
    <s v="ASB"/>
    <s v="Credit"/>
    <s v="xxxx-xxxx-xxxx-1588"/>
    <d v="2023-05-08T00:00:00"/>
    <s v="PAYMENT RECEIVED THANK YOU"/>
    <n v="2.19"/>
    <x v="1"/>
    <x v="1"/>
    <x v="16"/>
  </r>
  <r>
    <s v="ASB"/>
    <s v="Credit"/>
    <s v="xxxx-xxxx-xxxx-1588"/>
    <d v="2023-05-07T00:00:00"/>
    <s v="BAKLAWA CAFE AUCKLAND"/>
    <n v="-7.33"/>
    <x v="0"/>
    <x v="0"/>
    <x v="0"/>
  </r>
  <r>
    <s v="ASB"/>
    <s v="Credit"/>
    <s v="xxxx-xxxx-xxxx-1588"/>
    <d v="2023-05-06T00:00:00"/>
    <s v="TOWER INSURANCE - EIS 093692079"/>
    <n v="-5.49"/>
    <x v="8"/>
    <x v="15"/>
    <x v="18"/>
  </r>
  <r>
    <s v="ASB"/>
    <s v="Credit"/>
    <s v="xxxx-xxxx-xxxx-1588"/>
    <d v="2023-05-09T00:00:00"/>
    <s v="PAYMENT RECEIVED THANK YOU"/>
    <n v="31.41"/>
    <x v="1"/>
    <x v="1"/>
    <x v="16"/>
  </r>
  <r>
    <s v="ASB"/>
    <s v="Credit"/>
    <s v="xxxx-xxxx-xxxx-1588"/>
    <d v="2023-05-09T00:00:00"/>
    <s v="PAYMENT RECEIVED THANK YOU"/>
    <n v="63.98"/>
    <x v="1"/>
    <x v="1"/>
    <x v="16"/>
  </r>
  <r>
    <s v="ASB"/>
    <s v="Credit"/>
    <s v="xxxx-xxxx-xxxx-1588"/>
    <d v="2023-05-09T00:00:00"/>
    <s v="MyGoodnessGiftBaskets 6494158868"/>
    <n v="-89.4"/>
    <x v="3"/>
    <x v="3"/>
    <x v="26"/>
  </r>
  <r>
    <s v="ASB"/>
    <s v="Credit"/>
    <s v="xxxx-xxxx-xxxx-1588"/>
    <d v="2023-05-10T00:00:00"/>
    <s v="MYRENT AUCKLAND"/>
    <n v="-29.16"/>
    <x v="4"/>
    <x v="17"/>
    <x v="20"/>
  </r>
  <r>
    <s v="ASB"/>
    <s v="Credit"/>
    <s v="xxxx-xxxx-xxxx-1588"/>
    <d v="2023-05-10T00:00:00"/>
    <s v="PAK N SAVE SYLVIA PARK AUCKLAND"/>
    <n v="-82.53"/>
    <x v="0"/>
    <x v="0"/>
    <x v="0"/>
  </r>
  <r>
    <s v="ASB"/>
    <s v="Credit"/>
    <s v="xxxx-xxxx-xxxx-1588"/>
    <d v="2023-05-12T00:00:00"/>
    <s v="PAYMENT RECEIVED THANK YOU"/>
    <n v="3.48"/>
    <x v="1"/>
    <x v="1"/>
    <x v="16"/>
  </r>
  <r>
    <s v="ASB"/>
    <s v="Credit"/>
    <s v="xxxx-xxxx-xxxx-1588"/>
    <d v="2023-05-12T00:00:00"/>
    <s v="PAYMENT RECEIVED THANK YOU"/>
    <n v="43.92"/>
    <x v="1"/>
    <x v="1"/>
    <x v="16"/>
  </r>
  <r>
    <s v="ASB"/>
    <s v="Credit"/>
    <s v="xxxx-xxxx-xxxx-1588"/>
    <d v="2023-05-11T00:00:00"/>
    <s v="DBS Jetts Remuera North Harbour"/>
    <n v="-2.59"/>
    <x v="3"/>
    <x v="14"/>
    <x v="17"/>
  </r>
  <r>
    <s v="ASB"/>
    <s v="Credit"/>
    <s v="xxxx-xxxx-xxxx-1588"/>
    <d v="2023-05-12T00:00:00"/>
    <s v="Kings Plant Barn Mount Welling"/>
    <n v="-29.29"/>
    <x v="4"/>
    <x v="12"/>
    <x v="12"/>
  </r>
  <r>
    <s v="ASB"/>
    <s v="Credit"/>
    <s v="xxxx-xxxx-xxxx-1588"/>
    <d v="2023-05-12T00:00:00"/>
    <s v="NEW WORLD STONEFIELDS AUCKLAND NZ"/>
    <n v="-5.4"/>
    <x v="0"/>
    <x v="0"/>
    <x v="0"/>
  </r>
  <r>
    <s v="ASB"/>
    <s v="Credit"/>
    <s v="xxxx-xxxx-xxxx-1588"/>
    <d v="2023-05-13T00:00:00"/>
    <s v="GULL MARUA ROAD AUCKLAND"/>
    <n v="-70.52"/>
    <x v="6"/>
    <x v="9"/>
    <x v="14"/>
  </r>
  <r>
    <s v="ASB"/>
    <s v="Credit"/>
    <s v="xxxx-xxxx-xxxx-1588"/>
    <d v="2023-05-15T00:00:00"/>
    <s v="PAYMENT RECEIVED THANK YOU"/>
    <n v="215.17"/>
    <x v="1"/>
    <x v="1"/>
    <x v="16"/>
  </r>
  <r>
    <s v="ASB"/>
    <s v="Credit"/>
    <s v="xxxx-xxxx-xxxx-1588"/>
    <d v="2023-05-14T00:00:00"/>
    <s v="VICTORY CHRISTIAN CHURCH AUCKLAND"/>
    <n v="-23.16"/>
    <x v="6"/>
    <x v="9"/>
    <x v="21"/>
  </r>
  <r>
    <s v="ASB"/>
    <s v="Credit"/>
    <s v="xxxx-xxxx-xxxx-1588"/>
    <d v="2023-05-15T00:00:00"/>
    <s v="Unichem Wynyard Pharmcy Auckland"/>
    <n v="-28.31"/>
    <x v="10"/>
    <x v="20"/>
    <x v="27"/>
  </r>
  <r>
    <s v="ASB"/>
    <s v="Credit"/>
    <s v="xxxx-xxxx-xxxx-1588"/>
    <d v="2023-05-17T00:00:00"/>
    <s v="PAYMENT RECEIVED THANK YOU"/>
    <n v="58.95"/>
    <x v="1"/>
    <x v="1"/>
    <x v="16"/>
  </r>
  <r>
    <s v="ASB"/>
    <s v="Credit"/>
    <s v="xxxx-xxxx-xxxx-1588"/>
    <d v="2023-05-19T00:00:00"/>
    <s v="PAYMENT RECEIVED THANK YOU"/>
    <n v="4.2300000000000004"/>
    <x v="1"/>
    <x v="1"/>
    <x v="16"/>
  </r>
  <r>
    <s v="ASB"/>
    <s v="Credit"/>
    <s v="xxxx-xxxx-xxxx-1588"/>
    <d v="2023-05-20T00:00:00"/>
    <s v="PAYMENT RECEIVED THANK YOU"/>
    <n v="0.52"/>
    <x v="1"/>
    <x v="1"/>
    <x v="16"/>
  </r>
  <r>
    <s v="ASB"/>
    <s v="Credit"/>
    <s v="xxxx-xxxx-xxxx-1588"/>
    <d v="2023-05-18T00:00:00"/>
    <s v="aliexpress London"/>
    <n v="-5.82"/>
    <x v="9"/>
    <x v="18"/>
    <x v="22"/>
  </r>
  <r>
    <s v="ASB"/>
    <s v="Credit"/>
    <s v="xxxx-xxxx-xxxx-1588"/>
    <d v="2023-05-21T00:00:00"/>
    <s v="PAYMENT RECEIVED THANK YOU"/>
    <n v="30.94"/>
    <x v="1"/>
    <x v="1"/>
    <x v="16"/>
  </r>
  <r>
    <s v="ASB"/>
    <s v="Credit"/>
    <s v="xxxx-xxxx-xxxx-1588"/>
    <d v="2023-05-21T00:00:00"/>
    <s v="VICTORY CHRISTIAN CHURCH AUCKLAND"/>
    <n v="-10.37"/>
    <x v="6"/>
    <x v="9"/>
    <x v="21"/>
  </r>
  <r>
    <s v="ASB"/>
    <s v="Credit"/>
    <s v="xxxx-xxxx-xxxx-1588"/>
    <d v="2023-05-21T00:00:00"/>
    <s v="MEGA CAFE MT WGTN AUCKLAND"/>
    <n v="-30.37"/>
    <x v="3"/>
    <x v="8"/>
    <x v="8"/>
  </r>
  <r>
    <s v="ASB"/>
    <s v="Credit"/>
    <s v="xxxx-xxxx-xxxx-1588"/>
    <d v="2023-05-21T00:00:00"/>
    <s v="NEW WORLD STONEFIELDS AUCKLAND NZ"/>
    <n v="-88.47"/>
    <x v="0"/>
    <x v="0"/>
    <x v="0"/>
  </r>
  <r>
    <s v="ASB"/>
    <s v="Credit"/>
    <s v="xxxx-xxxx-xxxx-1588"/>
    <d v="2023-05-21T00:00:00"/>
    <s v="MITRE 10 MEGA MT WTGN MOUNT WELLING"/>
    <n v="-43.82"/>
    <x v="4"/>
    <x v="12"/>
    <x v="12"/>
  </r>
  <r>
    <s v="ASB"/>
    <s v="Credit"/>
    <s v="xxxx-xxxx-xxxx-1588"/>
    <d v="2023-05-21T00:00:00"/>
    <s v="GOODFOR LUNN AVE AUCKLAND"/>
    <n v="-15.77"/>
    <x v="0"/>
    <x v="0"/>
    <x v="0"/>
  </r>
  <r>
    <s v="ASB"/>
    <s v="Credit"/>
    <s v="xxxx-xxxx-xxxx-1588"/>
    <d v="2023-05-20T00:00:00"/>
    <s v="MCDONALDS MT WELLINGTON AUCKLAND"/>
    <n v="-0.85"/>
    <x v="3"/>
    <x v="8"/>
    <x v="8"/>
  </r>
  <r>
    <s v="ASB"/>
    <s v="Credit"/>
    <s v="xxxx-xxxx-xxxx-1588"/>
    <d v="2023-05-22T00:00:00"/>
    <s v="PAYMENT RECEIVED THANK YOU"/>
    <n v="301.56"/>
    <x v="1"/>
    <x v="1"/>
    <x v="16"/>
  </r>
  <r>
    <s v="ASB"/>
    <s v="Credit"/>
    <s v="xxxx-xxxx-xxxx-1588"/>
    <d v="2023-05-24T00:00:00"/>
    <s v="PAYMENT RECEIVED THANK YOU"/>
    <n v="182.59"/>
    <x v="1"/>
    <x v="1"/>
    <x v="16"/>
  </r>
  <r>
    <s v="ASB"/>
    <s v="Credit"/>
    <s v="xxxx-xxxx-xxxx-1588"/>
    <d v="2023-05-23T00:00:00"/>
    <s v="BAT (NEW ZEALAND) LIMITED VENDOR_INVOIC"/>
    <n v="-1.99"/>
    <x v="3"/>
    <x v="3"/>
    <x v="28"/>
  </r>
  <r>
    <s v="ASB"/>
    <s v="Credit"/>
    <s v="xxxx-xxxx-xxxx-1588"/>
    <d v="2023-05-26T00:00:00"/>
    <s v="PAYMENT RECEIVED THANK YOU"/>
    <n v="38.270000000000003"/>
    <x v="1"/>
    <x v="1"/>
    <x v="16"/>
  </r>
  <r>
    <s v="ASB"/>
    <s v="Credit"/>
    <s v="xxxx-xxxx-xxxx-1588"/>
    <d v="2023-05-25T00:00:00"/>
    <s v="MINT CAKERY AUCKLAND"/>
    <n v="-7.57"/>
    <x v="0"/>
    <x v="0"/>
    <x v="0"/>
  </r>
  <r>
    <s v="ASB"/>
    <s v="Credit"/>
    <s v="xxxx-xxxx-xxxx-1588"/>
    <d v="2023-05-28T00:00:00"/>
    <s v="VICTORY CHRISTIAN CHURCH AUCKLAND"/>
    <n v="-4.5"/>
    <x v="6"/>
    <x v="9"/>
    <x v="21"/>
  </r>
  <r>
    <s v="ASB"/>
    <s v="Credit"/>
    <s v="xxxx-xxxx-xxxx-1588"/>
    <d v="2023-06-01T00:00:00"/>
    <s v="PAYMENT RECEIVED THANK YOU"/>
    <n v="25.58"/>
    <x v="1"/>
    <x v="1"/>
    <x v="16"/>
  </r>
  <r>
    <s v="ASB"/>
    <s v="Credit"/>
    <s v="xxxx-xxxx-xxxx-1588"/>
    <d v="2023-06-01T00:00:00"/>
    <s v="BP CONNECT BOULEVARD AUCKLAND"/>
    <n v="-59.21"/>
    <x v="6"/>
    <x v="9"/>
    <x v="14"/>
  </r>
  <r>
    <s v="ASB"/>
    <s v="Credit"/>
    <s v="xxxx-xxxx-xxxx-1588"/>
    <d v="2023-06-05T00:00:00"/>
    <s v="PAYMENT RECEIVED THANK YOU"/>
    <n v="23.17"/>
    <x v="1"/>
    <x v="1"/>
    <x v="16"/>
  </r>
  <r>
    <s v="ASB"/>
    <s v="Credit"/>
    <s v="xxxx-xxxx-xxxx-1588"/>
    <d v="2023-06-04T00:00:00"/>
    <s v="FALSE CREEK FERRIES VANCOUVER BC 36.00 CANADIAN DOLLAR at a Conversion Rate  of 0.8077 (NZ$44.57)"/>
    <n v="-11.18"/>
    <x v="3"/>
    <x v="8"/>
    <x v="8"/>
  </r>
  <r>
    <s v="ASB"/>
    <s v="Credit"/>
    <s v="xxxx-xxxx-xxxx-1588"/>
    <d v="2023-06-04T00:00:00"/>
    <s v="OFFSHORE SERVICE MARGINS"/>
    <n v="-0.65"/>
    <x v="5"/>
    <x v="7"/>
    <x v="7"/>
  </r>
  <r>
    <s v="ASB"/>
    <s v="Credit"/>
    <s v="xxxx-xxxx-xxxx-1588"/>
    <d v="2023-06-08T00:00:00"/>
    <s v="PAYMENT RECEIVED THANK YOU"/>
    <n v="2.84"/>
    <x v="1"/>
    <x v="1"/>
    <x v="16"/>
  </r>
  <r>
    <s v="ASB"/>
    <s v="Credit"/>
    <s v="xxxx-xxxx-xxxx-1588"/>
    <d v="2023-06-07T00:00:00"/>
    <s v="FRESHLY SQUEEZED VAUGH VAUGHAN ON 7.63 CANADIAN DOLLAR at a Conversion Rate  of 0.8091 (NZ$9.43)"/>
    <n v="-5.44"/>
    <x v="3"/>
    <x v="8"/>
    <x v="8"/>
  </r>
  <r>
    <s v="ASB"/>
    <s v="Credit"/>
    <s v="xxxx-xxxx-xxxx-1588"/>
    <d v="2023-06-07T00:00:00"/>
    <s v="OFFSHORE SERVICE MARGINS"/>
    <n v="-0.21"/>
    <x v="5"/>
    <x v="7"/>
    <x v="7"/>
  </r>
  <r>
    <s v="ASB"/>
    <s v="Credit"/>
    <s v="xxxx-xxxx-xxxx-1588"/>
    <d v="2023-06-10T00:00:00"/>
    <s v="MYRENT AUCKLAND"/>
    <n v="-67.5"/>
    <x v="4"/>
    <x v="17"/>
    <x v="20"/>
  </r>
  <r>
    <s v="ASB"/>
    <s v="Credit"/>
    <s v="xxxx-xxxx-xxxx-1588"/>
    <d v="2023-06-13T00:00:00"/>
    <s v="PAYMENT RECEIVED THANK YOU"/>
    <n v="43.7"/>
    <x v="1"/>
    <x v="1"/>
    <x v="16"/>
  </r>
  <r>
    <s v="ASB"/>
    <s v="Credit"/>
    <s v="xxxx-xxxx-xxxx-1588"/>
    <d v="2023-06-21T00:00:00"/>
    <s v="PAYMENT RECEIVED THANK YOU"/>
    <n v="1665.18"/>
    <x v="1"/>
    <x v="1"/>
    <x v="16"/>
  </r>
  <r>
    <s v="ASB"/>
    <s v="Credit"/>
    <s v="xxxx-xxxx-xxxx-1588"/>
    <d v="2023-06-25T00:00:00"/>
    <s v="PAYMENT RECEIVED THANK YOU"/>
    <n v="9.33"/>
    <x v="1"/>
    <x v="1"/>
    <x v="16"/>
  </r>
  <r>
    <s v="ASB"/>
    <s v="Credit"/>
    <s v="xxxx-xxxx-xxxx-1588"/>
    <d v="2023-06-26T00:00:00"/>
    <s v="PAYMENT RECEIVED THANK YOU"/>
    <n v="18.14"/>
    <x v="1"/>
    <x v="1"/>
    <x v="16"/>
  </r>
  <r>
    <s v="ASB"/>
    <s v="Credit"/>
    <s v="xxxx-xxxx-xxxx-1588"/>
    <d v="2023-06-24T00:00:00"/>
    <s v="STARBUCKS 00157 VANCOUVER BC 7.09 CANADIAN DOLLAR at a Conversion Rate  of 0.8039 (NZ$8.82)"/>
    <n v="-11.59"/>
    <x v="3"/>
    <x v="8"/>
    <x v="8"/>
  </r>
  <r>
    <s v="ASB"/>
    <s v="Credit"/>
    <s v="xxxx-xxxx-xxxx-1588"/>
    <d v="2023-06-24T00:00:00"/>
    <s v="OFFSHORE SERVICE MARGINS"/>
    <n v="-0.21"/>
    <x v="5"/>
    <x v="7"/>
    <x v="7"/>
  </r>
  <r>
    <s v="ASB"/>
    <s v="Credit"/>
    <s v="xxxx-xxxx-xxxx-1588"/>
    <d v="2023-06-27T00:00:00"/>
    <s v="PAYMENT RECEIVED THANK YOU"/>
    <n v="46.35"/>
    <x v="1"/>
    <x v="1"/>
    <x v="16"/>
  </r>
  <r>
    <s v="ASB"/>
    <s v="Credit"/>
    <s v="xxxx-xxxx-xxxx-1588"/>
    <d v="2023-06-24T00:00:00"/>
    <s v="MINK A CHOCOLATE CAFE VANCOUVER BC 36.49 CANADIAN DOLLAR at a Conversion Rate  of 0.8036 (NZ$45.41)"/>
    <n v="-45.41"/>
    <x v="3"/>
    <x v="8"/>
    <x v="8"/>
  </r>
  <r>
    <s v="ASB"/>
    <s v="Credit"/>
    <s v="xxxx-xxxx-xxxx-1588"/>
    <d v="2023-06-24T00:00:00"/>
    <s v="OFFSHORE SERVICE MARGINS"/>
    <n v="-7.0000000000000007E-2"/>
    <x v="5"/>
    <x v="7"/>
    <x v="7"/>
  </r>
  <r>
    <s v="ASB"/>
    <s v="Credit"/>
    <s v="xxxx-xxxx-xxxx-1588"/>
    <d v="2023-06-25T00:00:00"/>
    <s v="0836-VAN RELAY W'ILLY RICHMOND BC 1.18 CANADIAN DOLLAR at a Conversion Rate  of 0.8027 (NZ$1.47)"/>
    <n v="-1.92"/>
    <x v="3"/>
    <x v="8"/>
    <x v="8"/>
  </r>
  <r>
    <s v="ASB"/>
    <s v="Credit"/>
    <s v="xxxx-xxxx-xxxx-1588"/>
    <d v="2023-06-25T00:00:00"/>
    <s v="OFFSHORE SERVICE MARGINS"/>
    <n v="-0.01"/>
    <x v="5"/>
    <x v="7"/>
    <x v="7"/>
  </r>
  <r>
    <s v="ASB"/>
    <s v="Credit"/>
    <s v="xxxx-xxxx-xxxx-1588"/>
    <d v="2023-06-28T00:00:00"/>
    <s v="PAYMENT RECEIVED THANK YOU"/>
    <n v="0.36"/>
    <x v="1"/>
    <x v="1"/>
    <x v="16"/>
  </r>
  <r>
    <s v="ASB"/>
    <s v="Credit"/>
    <s v="xxxx-xxxx-xxxx-1588"/>
    <d v="2023-07-02T00:00:00"/>
    <s v="Philip Morris New Zealan Auckland"/>
    <n v="-116.27"/>
    <x v="3"/>
    <x v="3"/>
    <x v="28"/>
  </r>
  <r>
    <s v="ASB"/>
    <s v="Credit"/>
    <s v="xxxx-xxxx-xxxx-1588"/>
    <d v="2023-07-04T00:00:00"/>
    <s v="PAYMENT RECEIVED THANK YOU"/>
    <n v="13.52"/>
    <x v="1"/>
    <x v="1"/>
    <x v="16"/>
  </r>
  <r>
    <s v="ASB"/>
    <s v="Credit"/>
    <s v="xxxx-xxxx-xxxx-1588"/>
    <d v="2023-07-04T00:00:00"/>
    <s v="PAYMENT RECEIVED THANK YOU"/>
    <n v="12.38"/>
    <x v="1"/>
    <x v="1"/>
    <x v="16"/>
  </r>
  <r>
    <s v="ASB"/>
    <s v="Credit"/>
    <s v="xxxx-xxxx-xxxx-1588"/>
    <d v="2023-07-05T00:00:00"/>
    <s v="PAYMENT RECEIVED THANK YOU"/>
    <n v="30.02"/>
    <x v="1"/>
    <x v="1"/>
    <x v="16"/>
  </r>
  <r>
    <s v="ASB"/>
    <s v="Credit"/>
    <s v="xxxx-xxxx-xxxx-1588"/>
    <d v="2023-07-07T00:00:00"/>
    <s v="PAYMENT RECEIVED THANK YOU"/>
    <n v="53.01"/>
    <x v="1"/>
    <x v="1"/>
    <x v="16"/>
  </r>
  <r>
    <s v="ASB"/>
    <s v="Credit"/>
    <s v="xxxx-xxxx-xxxx-1588"/>
    <d v="2023-07-07T00:00:00"/>
    <s v="PAYMENT RECEIVED THANK YOU"/>
    <n v="10.56"/>
    <x v="1"/>
    <x v="1"/>
    <x v="16"/>
  </r>
  <r>
    <s v="ASB"/>
    <s v="Credit"/>
    <s v="xxxx-xxxx-xxxx-1588"/>
    <d v="2023-07-07T00:00:00"/>
    <s v="PAYMENT RECEIVED THANK YOU"/>
    <n v="3.74"/>
    <x v="1"/>
    <x v="1"/>
    <x v="16"/>
  </r>
  <r>
    <s v="ASB"/>
    <s v="Credit"/>
    <s v="xxxx-xxxx-xxxx-1588"/>
    <d v="2023-07-07T00:00:00"/>
    <s v="PONSONBY FRIENDS AUCKLAND"/>
    <n v="-2.62"/>
    <x v="3"/>
    <x v="8"/>
    <x v="8"/>
  </r>
  <r>
    <s v="ASB"/>
    <s v="Credit"/>
    <s v="xxxx-xxxx-xxxx-1588"/>
    <d v="2023-07-07T00:00:00"/>
    <s v="PAPA TASTY KEBABS AUCKLAND"/>
    <n v="-35.19"/>
    <x v="3"/>
    <x v="8"/>
    <x v="8"/>
  </r>
  <r>
    <s v="ASB"/>
    <s v="Credit"/>
    <s v="xxxx-xxxx-xxxx-1588"/>
    <d v="2023-07-07T00:00:00"/>
    <s v="SPRINT FIT AUCKLAND"/>
    <n v="-82.21"/>
    <x v="3"/>
    <x v="14"/>
    <x v="17"/>
  </r>
  <r>
    <s v="ASB"/>
    <s v="Credit"/>
    <s v="xxxx-xxxx-xxxx-1588"/>
    <d v="2023-07-09T00:00:00"/>
    <s v="PAYMENT RECEIVED THANK YOU"/>
    <n v="35.92"/>
    <x v="1"/>
    <x v="1"/>
    <x v="16"/>
  </r>
  <r>
    <s v="ASB"/>
    <s v="Credit"/>
    <s v="xxxx-xxxx-xxxx-1588"/>
    <d v="2023-07-09T00:00:00"/>
    <s v="PAYMENT RECEIVED THANK YOU"/>
    <n v="42.53"/>
    <x v="1"/>
    <x v="1"/>
    <x v="16"/>
  </r>
  <r>
    <s v="ASB"/>
    <s v="Credit"/>
    <s v="xxxx-xxxx-xxxx-1588"/>
    <d v="2023-07-09T00:00:00"/>
    <s v="Watercare Online Remuera"/>
    <n v="-266.41000000000003"/>
    <x v="4"/>
    <x v="4"/>
    <x v="4"/>
  </r>
  <r>
    <s v="ASB"/>
    <s v="Credit"/>
    <s v="xxxx-xxxx-xxxx-1588"/>
    <d v="2023-07-10T00:00:00"/>
    <s v="PAYMENT RECEIVED THANK YOU"/>
    <n v="0.14000000000000001"/>
    <x v="1"/>
    <x v="1"/>
    <x v="16"/>
  </r>
  <r>
    <s v="ASB"/>
    <s v="Credit"/>
    <s v="xxxx-xxxx-xxxx-1588"/>
    <d v="2023-07-10T00:00:00"/>
    <s v="PAYMENT RECEIVED THANK YOU"/>
    <n v="0.15"/>
    <x v="1"/>
    <x v="1"/>
    <x v="16"/>
  </r>
  <r>
    <s v="ASB"/>
    <s v="Credit"/>
    <s v="xxxx-xxxx-xxxx-1588"/>
    <d v="2023-07-10T00:00:00"/>
    <s v="MYRENT AUCKLAND"/>
    <n v="-68.14"/>
    <x v="4"/>
    <x v="17"/>
    <x v="20"/>
  </r>
  <r>
    <s v="ASB"/>
    <s v="Credit"/>
    <s v="xxxx-xxxx-xxxx-1588"/>
    <d v="2023-07-09T00:00:00"/>
    <s v="aliexpress London"/>
    <n v="-27.71"/>
    <x v="9"/>
    <x v="18"/>
    <x v="22"/>
  </r>
  <r>
    <s v="ASB"/>
    <s v="Credit"/>
    <s v="xxxx-xxxx-xxxx-1588"/>
    <d v="2023-07-12T00:00:00"/>
    <s v="PAYMENT RECEIVED THANK YOU"/>
    <n v="66.38"/>
    <x v="1"/>
    <x v="1"/>
    <x v="16"/>
  </r>
  <r>
    <s v="ASB"/>
    <s v="Credit"/>
    <s v="xxxx-xxxx-xxxx-1588"/>
    <d v="2023-07-11T00:00:00"/>
    <s v="TOPDOG NUTRITION WAIRAU VALLEY"/>
    <n v="-50.61"/>
    <x v="3"/>
    <x v="14"/>
    <x v="17"/>
  </r>
  <r>
    <s v="ASB"/>
    <s v="Credit"/>
    <s v="xxxx-xxxx-xxxx-1588"/>
    <d v="2023-07-17T00:00:00"/>
    <s v="PAYMENT RECEIVED THANK YOU"/>
    <n v="41.27"/>
    <x v="1"/>
    <x v="1"/>
    <x v="16"/>
  </r>
  <r>
    <s v="ASB"/>
    <s v="Credit"/>
    <s v="xxxx-xxxx-xxxx-1588"/>
    <d v="2023-07-26T00:00:00"/>
    <s v="PAYMENT RECEIVED THANK YOU"/>
    <n v="36.82"/>
    <x v="1"/>
    <x v="1"/>
    <x v="16"/>
  </r>
  <r>
    <s v="ASB"/>
    <s v="Credit"/>
    <s v="xxxx-xxxx-xxxx-1588"/>
    <d v="2023-07-30T00:00:00"/>
    <s v="PAYMENT RECEIVED THANK YOU"/>
    <n v="8.8800000000000008"/>
    <x v="1"/>
    <x v="1"/>
    <x v="16"/>
  </r>
  <r>
    <s v="ASB"/>
    <s v="Credit"/>
    <s v="xxxx-xxxx-xxxx-1588"/>
    <d v="2023-07-29T00:00:00"/>
    <s v="PAYPAL  TEMU 35314369001"/>
    <n v="-6.8"/>
    <x v="9"/>
    <x v="18"/>
    <x v="22"/>
  </r>
  <r>
    <s v="ASB"/>
    <s v="Credit"/>
    <s v="xxxx-xxxx-xxxx-1588"/>
    <d v="2023-07-29T00:00:00"/>
    <s v="PAYPAL  TEMU 35314369001"/>
    <n v="-1.89"/>
    <x v="9"/>
    <x v="18"/>
    <x v="22"/>
  </r>
  <r>
    <s v="ASB"/>
    <s v="Credit"/>
    <s v="xxxx-xxxx-xxxx-1588"/>
    <d v="2023-08-02T00:00:00"/>
    <s v="PAYMENT RECEIVED THANK YOU"/>
    <n v="18.64"/>
    <x v="1"/>
    <x v="1"/>
    <x v="16"/>
  </r>
  <r>
    <s v="ASB"/>
    <s v="Credit"/>
    <s v="xxxx-xxxx-xxxx-1588"/>
    <d v="2023-08-04T00:00:00"/>
    <s v="PAYMENT RECEIVED THANK YOU"/>
    <n v="0.27"/>
    <x v="1"/>
    <x v="1"/>
    <x v="16"/>
  </r>
  <r>
    <s v="ASB"/>
    <s v="Credit"/>
    <s v="xxxx-xxxx-xxxx-1588"/>
    <d v="2023-08-04T00:00:00"/>
    <s v="DREAMERS CAFE EPSOM"/>
    <n v="-6.33"/>
    <x v="3"/>
    <x v="8"/>
    <x v="8"/>
  </r>
  <r>
    <s v="ASB"/>
    <s v="Credit"/>
    <s v="xxxx-xxxx-xxxx-1588"/>
    <d v="2023-08-06T00:00:00"/>
    <s v="PAYMENT RECEIVED THANK YOU"/>
    <n v="64.010000000000005"/>
    <x v="1"/>
    <x v="1"/>
    <x v="16"/>
  </r>
  <r>
    <s v="ASB"/>
    <s v="Credit"/>
    <s v="xxxx-xxxx-xxxx-1588"/>
    <d v="2023-08-10T00:00:00"/>
    <s v="MYRENT AUCKLAND"/>
    <n v="-57.28"/>
    <x v="4"/>
    <x v="17"/>
    <x v="20"/>
  </r>
  <r>
    <s v="ASB"/>
    <s v="Credit"/>
    <s v="xxxx-xxxx-xxxx-1588"/>
    <d v="2023-08-11T00:00:00"/>
    <s v="PAYMENT RECEIVED THANK YOU"/>
    <n v="4.8899999999999997"/>
    <x v="1"/>
    <x v="1"/>
    <x v="16"/>
  </r>
  <r>
    <s v="ASB"/>
    <s v="Credit"/>
    <s v="xxxx-xxxx-xxxx-1588"/>
    <d v="2023-08-13T00:00:00"/>
    <s v="PAYMENT RECEIVED THANK YOU"/>
    <n v="76.22"/>
    <x v="1"/>
    <x v="1"/>
    <x v="16"/>
  </r>
  <r>
    <s v="ASB"/>
    <s v="Credit"/>
    <s v="xxxx-xxxx-xxxx-1588"/>
    <d v="2023-08-14T00:00:00"/>
    <s v="PAYMENT RECEIVED THANK YOU"/>
    <n v="1.01"/>
    <x v="1"/>
    <x v="1"/>
    <x v="16"/>
  </r>
  <r>
    <s v="ASB"/>
    <s v="Credit"/>
    <s v="xxxx-xxxx-xxxx-1588"/>
    <d v="2023-08-14T00:00:00"/>
    <s v="FIFA SYDNEY"/>
    <n v="-156.58000000000001"/>
    <x v="3"/>
    <x v="3"/>
    <x v="3"/>
  </r>
  <r>
    <s v="ASB"/>
    <s v="Credit"/>
    <s v="xxxx-xxxx-xxxx-1588"/>
    <d v="2023-08-15T00:00:00"/>
    <s v="BP CONNECT BOULEVARD AUCKLAND"/>
    <n v="-63.77"/>
    <x v="6"/>
    <x v="9"/>
    <x v="14"/>
  </r>
  <r>
    <s v="ASB"/>
    <s v="Credit"/>
    <s v="xxxx-xxxx-xxxx-1588"/>
    <d v="2023-08-16T00:00:00"/>
    <s v="PAYMENT RECEIVED THANK YOU"/>
    <n v="302.25"/>
    <x v="1"/>
    <x v="1"/>
    <x v="16"/>
  </r>
  <r>
    <s v="ASB"/>
    <s v="Credit"/>
    <s v="xxxx-xxxx-xxxx-1588"/>
    <d v="2023-08-23T00:00:00"/>
    <s v="PAYMENT RECEIVED THANK YOU"/>
    <n v="0.56000000000000005"/>
    <x v="1"/>
    <x v="1"/>
    <x v="16"/>
  </r>
  <r>
    <s v="ASB"/>
    <s v="Credit"/>
    <s v="xxxx-xxxx-xxxx-1588"/>
    <d v="2023-08-24T00:00:00"/>
    <s v="PAYMENT RECEIVED THANK YOU"/>
    <n v="6.19"/>
    <x v="1"/>
    <x v="1"/>
    <x v="16"/>
  </r>
  <r>
    <s v="ASB"/>
    <s v="Credit"/>
    <s v="xxxx-xxxx-xxxx-1588"/>
    <d v="2023-08-25T00:00:00"/>
    <s v="PAYMENT RECEIVED THANK YOU"/>
    <n v="10.09"/>
    <x v="1"/>
    <x v="1"/>
    <x v="16"/>
  </r>
  <r>
    <s v="ASB"/>
    <s v="Credit"/>
    <s v="xxxx-xxxx-xxxx-1588"/>
    <d v="2023-08-25T00:00:00"/>
    <s v="PAYMENT RECEIVED THANK YOU"/>
    <n v="19.7"/>
    <x v="1"/>
    <x v="1"/>
    <x v="16"/>
  </r>
  <r>
    <s v="ASB"/>
    <s v="Credit"/>
    <s v="xxxx-xxxx-xxxx-1588"/>
    <d v="2023-08-24T00:00:00"/>
    <s v="VICTORY CHRISTIAN CHURCH AUCKLAND"/>
    <n v="-3.8"/>
    <x v="6"/>
    <x v="9"/>
    <x v="21"/>
  </r>
  <r>
    <s v="ASB"/>
    <s v="Credit"/>
    <s v="xxxx-xxxx-xxxx-1588"/>
    <d v="2023-08-26T00:00:00"/>
    <s v="PAYMENT RECEIVED THANK YOU"/>
    <n v="116.68"/>
    <x v="1"/>
    <x v="1"/>
    <x v="16"/>
  </r>
  <r>
    <s v="ASB"/>
    <s v="Credit"/>
    <s v="xxxx-xxxx-xxxx-1588"/>
    <d v="2023-08-26T00:00:00"/>
    <s v="PAYMENT RECEIVED THANK YOU"/>
    <n v="0.67"/>
    <x v="1"/>
    <x v="1"/>
    <x v="16"/>
  </r>
  <r>
    <s v="ASB"/>
    <s v="Credit"/>
    <s v="xxxx-xxxx-xxxx-1588"/>
    <d v="2023-08-25T00:00:00"/>
    <s v="RIPE DELI EPSOM AUCKLAND"/>
    <n v="-4.9400000000000004"/>
    <x v="3"/>
    <x v="8"/>
    <x v="8"/>
  </r>
  <r>
    <s v="ASB"/>
    <s v="Credit"/>
    <s v="xxxx-xxxx-xxxx-1588"/>
    <d v="2023-08-25T00:00:00"/>
    <s v="LE PETITE FOURCHETTE AUCKLAND"/>
    <n v="-2.88"/>
    <x v="3"/>
    <x v="8"/>
    <x v="8"/>
  </r>
  <r>
    <s v="ASB"/>
    <s v="Credit"/>
    <s v="xxxx-xxxx-xxxx-1588"/>
    <d v="2023-08-27T00:00:00"/>
    <s v="PAYMENT RECEIVED THANK YOU"/>
    <n v="19.079999999999998"/>
    <x v="1"/>
    <x v="1"/>
    <x v="16"/>
  </r>
  <r>
    <s v="ASB"/>
    <s v="Credit"/>
    <s v="xxxx-xxxx-xxxx-1588"/>
    <d v="2023-08-26T00:00:00"/>
    <s v="PAK N SAVE SYLVIA PARK AUCKLAND"/>
    <n v="-5.58"/>
    <x v="0"/>
    <x v="0"/>
    <x v="0"/>
  </r>
  <r>
    <s v="ASB"/>
    <s v="Credit"/>
    <s v="xxxx-xxxx-xxxx-1588"/>
    <d v="2023-08-26T00:00:00"/>
    <s v="Deadshot Grey Lynn"/>
    <n v="-29.88"/>
    <x v="3"/>
    <x v="8"/>
    <x v="8"/>
  </r>
  <r>
    <s v="ASB"/>
    <s v="Credit"/>
    <s v="xxxx-xxxx-xxxx-1588"/>
    <d v="2023-08-26T00:00:00"/>
    <s v="READING CINEMAS WELLINGTON"/>
    <n v="-2.02"/>
    <x v="3"/>
    <x v="3"/>
    <x v="29"/>
  </r>
  <r>
    <s v="ASB"/>
    <s v="Credit"/>
    <s v="xxxx-xxxx-xxxx-1588"/>
    <d v="2023-08-26T00:00:00"/>
    <s v="HESARISUPERMARKETPANMURE AUCKLAND"/>
    <n v="-5.52"/>
    <x v="0"/>
    <x v="0"/>
    <x v="0"/>
  </r>
  <r>
    <s v="ASB"/>
    <s v="Credit"/>
    <s v="xxxx-xxxx-xxxx-1588"/>
    <d v="2023-08-26T00:00:00"/>
    <s v="PASTRAMI   RYE AUCKLAND"/>
    <n v="-11.55"/>
    <x v="0"/>
    <x v="0"/>
    <x v="0"/>
  </r>
  <r>
    <s v="ASB"/>
    <s v="Credit"/>
    <s v="xxxx-xxxx-xxxx-1588"/>
    <d v="2023-08-26T00:00:00"/>
    <s v="MOBIL PANMURE AUCKLAND"/>
    <n v="-53.56"/>
    <x v="6"/>
    <x v="9"/>
    <x v="14"/>
  </r>
  <r>
    <s v="ASB"/>
    <s v="Credit"/>
    <s v="xxxx-xxxx-xxxx-1588"/>
    <d v="2023-08-27T00:00:00"/>
    <s v="NEW WORLD STONEFIELDS AUCKLAND NZ"/>
    <n v="-16.489999999999998"/>
    <x v="0"/>
    <x v="0"/>
    <x v="0"/>
  </r>
  <r>
    <s v="ASB"/>
    <s v="Credit"/>
    <s v="xxxx-xxxx-xxxx-1588"/>
    <d v="2023-08-26T00:00:00"/>
    <s v="SOUL BAR AUCKLAND"/>
    <n v="-44.04"/>
    <x v="3"/>
    <x v="8"/>
    <x v="8"/>
  </r>
  <r>
    <s v="ASB"/>
    <s v="Credit"/>
    <s v="xxxx-xxxx-xxxx-1588"/>
    <d v="2023-08-27T00:00:00"/>
    <s v="DBS Jetts Remuera Auckland"/>
    <n v="-20.69"/>
    <x v="3"/>
    <x v="14"/>
    <x v="17"/>
  </r>
  <r>
    <s v="ASB"/>
    <s v="Credit"/>
    <s v="xxxx-xxxx-xxxx-1588"/>
    <d v="2023-08-27T00:00:00"/>
    <s v="MOBIL AVONDALE AUCKLAND"/>
    <n v="-0.44"/>
    <x v="6"/>
    <x v="9"/>
    <x v="14"/>
  </r>
  <r>
    <s v="ASB"/>
    <s v="Credit"/>
    <s v="xxxx-xxxx-xxxx-1588"/>
    <d v="2023-08-30T00:00:00"/>
    <s v="PAYMENT RECEIVED THANK YOU"/>
    <n v="199.83"/>
    <x v="1"/>
    <x v="1"/>
    <x v="16"/>
  </r>
  <r>
    <s v="ASB"/>
    <s v="Credit"/>
    <s v="xxxx-xxxx-xxxx-1588"/>
    <d v="2023-08-29T00:00:00"/>
    <s v="VICTORY CHRISTIAN CHURCH AUCKLAND"/>
    <n v="-1.36"/>
    <x v="6"/>
    <x v="9"/>
    <x v="21"/>
  </r>
  <r>
    <s v="ASB"/>
    <s v="Credit"/>
    <s v="xxxx-xxxx-xxxx-1588"/>
    <d v="2023-08-29T00:00:00"/>
    <s v="NEW WORLD STONEFIELDS AUCKLAND NZ"/>
    <n v="-27.64"/>
    <x v="0"/>
    <x v="0"/>
    <x v="0"/>
  </r>
  <r>
    <s v="ASB"/>
    <s v="Credit"/>
    <s v="xxxx-xxxx-xxxx-1588"/>
    <d v="2023-09-01T00:00:00"/>
    <s v="PAYMENT RECEIVED THANK YOU"/>
    <n v="3.31"/>
    <x v="1"/>
    <x v="1"/>
    <x v="16"/>
  </r>
  <r>
    <s v="ASB"/>
    <s v="Credit"/>
    <s v="xxxx-xxxx-xxxx-1588"/>
    <d v="2023-08-31T00:00:00"/>
    <s v="DBS Jetts Remuera North Harbour"/>
    <n v="-1.96"/>
    <x v="3"/>
    <x v="14"/>
    <x v="17"/>
  </r>
  <r>
    <s v="ASB"/>
    <s v="Credit"/>
    <s v="xxxx-xxxx-xxxx-1588"/>
    <d v="2023-09-02T00:00:00"/>
    <s v="PAYMENT RECEIVED THANK YOU"/>
    <n v="28.88"/>
    <x v="1"/>
    <x v="1"/>
    <x v="16"/>
  </r>
  <r>
    <s v="ASB"/>
    <s v="Credit"/>
    <s v="xxxx-xxxx-xxxx-1588"/>
    <d v="2023-09-02T00:00:00"/>
    <s v="HESARI BAKERY LIMITED AUCKLAND"/>
    <n v="-1.46"/>
    <x v="0"/>
    <x v="0"/>
    <x v="0"/>
  </r>
  <r>
    <s v="ASB"/>
    <s v="Credit"/>
    <s v="xxxx-xxxx-xxxx-1588"/>
    <d v="2023-09-03T00:00:00"/>
    <s v="PAYMENT RECEIVED THANK YOU"/>
    <n v="26.95"/>
    <x v="1"/>
    <x v="1"/>
    <x v="16"/>
  </r>
  <r>
    <s v="ASB"/>
    <s v="Credit"/>
    <s v="xxxx-xxxx-xxxx-1588"/>
    <d v="2023-09-03T00:00:00"/>
    <s v="COUNTDOWN GREEN/326 GREAT GREENLANE"/>
    <n v="-52.8"/>
    <x v="0"/>
    <x v="0"/>
    <x v="0"/>
  </r>
  <r>
    <s v="ASB"/>
    <s v="Credit"/>
    <s v="xxxx-xxxx-xxxx-1588"/>
    <d v="2023-09-03T00:00:00"/>
    <s v="BP CONNECT BOULEVARD AUCKLAND"/>
    <n v="-32.08"/>
    <x v="6"/>
    <x v="9"/>
    <x v="14"/>
  </r>
  <r>
    <s v="ASB"/>
    <s v="Credit"/>
    <s v="xxxx-xxxx-xxxx-1588"/>
    <d v="2023-09-06T00:00:00"/>
    <s v="PAYMENT RECEIVED THANK YOU"/>
    <n v="2.72"/>
    <x v="1"/>
    <x v="1"/>
    <x v="16"/>
  </r>
  <r>
    <s v="ASB"/>
    <s v="Credit"/>
    <s v="xxxx-xxxx-xxxx-1588"/>
    <d v="2023-09-06T00:00:00"/>
    <s v="PAYMENT RECEIVED THANK YOU"/>
    <n v="12.25"/>
    <x v="1"/>
    <x v="1"/>
    <x v="16"/>
  </r>
  <r>
    <s v="ASB"/>
    <s v="Credit"/>
    <s v="xxxx-xxxx-xxxx-1588"/>
    <d v="2023-09-05T00:00:00"/>
    <s v="WAIRAKEI TERRACES TAUPO"/>
    <n v="5.89"/>
    <x v="3"/>
    <x v="8"/>
    <x v="8"/>
  </r>
  <r>
    <s v="ASB"/>
    <s v="Credit"/>
    <s v="xxxx-xxxx-xxxx-1588"/>
    <d v="2023-09-05T00:00:00"/>
    <s v="2 MILE BAY LAKE TAUPO TAUPO"/>
    <n v="-28.25"/>
    <x v="3"/>
    <x v="8"/>
    <x v="8"/>
  </r>
  <r>
    <s v="ASB"/>
    <s v="Credit"/>
    <s v="xxxx-xxxx-xxxx-1588"/>
    <d v="2023-09-05T00:00:00"/>
    <s v="2 MILE BAY LAKE TAUPO TAUPO"/>
    <n v="-11.48"/>
    <x v="3"/>
    <x v="8"/>
    <x v="8"/>
  </r>
  <r>
    <s v="ASB"/>
    <s v="Credit"/>
    <s v="xxxx-xxxx-xxxx-1588"/>
    <d v="2023-09-05T00:00:00"/>
    <s v="WAIRAKEI TERRACES TAUPO"/>
    <n v="-74.91"/>
    <x v="3"/>
    <x v="8"/>
    <x v="8"/>
  </r>
  <r>
    <s v="ASB"/>
    <s v="Credit"/>
    <s v="xxxx-xxxx-xxxx-1588"/>
    <d v="2023-09-06T00:00:00"/>
    <s v="COUNTDOWN TAUPO/SPA ROAD TAUPO"/>
    <n v="-52.86"/>
    <x v="0"/>
    <x v="0"/>
    <x v="0"/>
  </r>
  <r>
    <s v="ASB"/>
    <s v="Credit"/>
    <s v="xxxx-xxxx-xxxx-1588"/>
    <d v="2023-09-06T00:00:00"/>
    <s v="HUKA HONEY HIVE TAUPO"/>
    <n v="-92.63"/>
    <x v="3"/>
    <x v="8"/>
    <x v="8"/>
  </r>
  <r>
    <s v="ASB"/>
    <s v="Credit"/>
    <s v="xxxx-xxxx-xxxx-1588"/>
    <d v="2023-09-07T00:00:00"/>
    <s v="PAYMENT RECEIVED THANK YOU"/>
    <n v="11.57"/>
    <x v="1"/>
    <x v="1"/>
    <x v="16"/>
  </r>
  <r>
    <s v="ASB"/>
    <s v="Credit"/>
    <s v="xxxx-xxxx-xxxx-1588"/>
    <d v="2023-09-07T00:00:00"/>
    <s v="PAYMENT RECEIVED THANK YOU"/>
    <n v="128.25"/>
    <x v="1"/>
    <x v="1"/>
    <x v="16"/>
  </r>
  <r>
    <s v="ASB"/>
    <s v="Credit"/>
    <s v="xxxx-xxxx-xxxx-1588"/>
    <d v="2023-09-08T00:00:00"/>
    <s v="PAYMENT RECEIVED THANK YOU"/>
    <n v="76.849999999999994"/>
    <x v="1"/>
    <x v="1"/>
    <x v="16"/>
  </r>
  <r>
    <s v="ASB"/>
    <s v="Credit"/>
    <s v="xxxx-xxxx-xxxx-1588"/>
    <d v="2023-09-08T00:00:00"/>
    <s v="PAYMENT RECEIVED THANK YOU"/>
    <n v="0.09"/>
    <x v="1"/>
    <x v="1"/>
    <x v="16"/>
  </r>
  <r>
    <s v="ASB"/>
    <s v="Credit"/>
    <s v="xxxx-xxxx-xxxx-1588"/>
    <d v="2023-09-07T00:00:00"/>
    <s v="DBS Jetts Remuera North Harbour"/>
    <n v="-14.9"/>
    <x v="3"/>
    <x v="14"/>
    <x v="17"/>
  </r>
  <r>
    <s v="ASB"/>
    <s v="Credit"/>
    <s v="xxxx-xxxx-xxxx-1588"/>
    <d v="2023-09-08T00:00:00"/>
    <s v="RUAPEHU ALPINE LIFTS LTD MT RUAPEHU"/>
    <n v="-11.17"/>
    <x v="3"/>
    <x v="6"/>
    <x v="6"/>
  </r>
  <r>
    <s v="ASB"/>
    <s v="Credit"/>
    <s v="xxxx-xxxx-xxxx-1588"/>
    <d v="2023-09-08T00:00:00"/>
    <s v="MOBIL TAUPO TAUPO"/>
    <n v="-68.09"/>
    <x v="6"/>
    <x v="9"/>
    <x v="14"/>
  </r>
  <r>
    <s v="ASB"/>
    <s v="Credit"/>
    <s v="xxxx-xxxx-xxxx-1588"/>
    <d v="2023-09-11T00:00:00"/>
    <s v="PAYMENT RECEIVED THANK YOU"/>
    <n v="1.41"/>
    <x v="1"/>
    <x v="1"/>
    <x v="16"/>
  </r>
  <r>
    <s v="ASB"/>
    <s v="Credit"/>
    <s v="xxxx-xxxx-xxxx-1588"/>
    <d v="2023-09-12T00:00:00"/>
    <s v="VICTORY CHRISTIAN CHURCH AUCKLAND"/>
    <n v="-27.71"/>
    <x v="6"/>
    <x v="9"/>
    <x v="21"/>
  </r>
  <r>
    <s v="ASB"/>
    <s v="Credit"/>
    <s v="xxxx-xxxx-xxxx-1588"/>
    <d v="2023-09-12T00:00:00"/>
    <s v="PAYMENT RECEIVED THANK YOU"/>
    <n v="13.8"/>
    <x v="1"/>
    <x v="1"/>
    <x v="16"/>
  </r>
  <r>
    <s v="ASB"/>
    <s v="Credit"/>
    <s v="xxxx-xxxx-xxxx-1588"/>
    <d v="2023-09-14T00:00:00"/>
    <s v="PAYMENT RECEIVED THANK YOU"/>
    <n v="8.06"/>
    <x v="1"/>
    <x v="1"/>
    <x v="16"/>
  </r>
  <r>
    <s v="ASB"/>
    <s v="Credit"/>
    <s v="xxxx-xxxx-xxxx-1588"/>
    <d v="2023-09-14T00:00:00"/>
    <s v="DBS Jetts Remuera North Harbour"/>
    <n v="-4.9400000000000004"/>
    <x v="3"/>
    <x v="14"/>
    <x v="17"/>
  </r>
  <r>
    <s v="ASB"/>
    <s v="Credit"/>
    <s v="xxxx-xxxx-xxxx-1588"/>
    <d v="2023-09-15T00:00:00"/>
    <s v="PAYMENT RECEIVED THANK YOU"/>
    <n v="2.17"/>
    <x v="1"/>
    <x v="1"/>
    <x v="16"/>
  </r>
  <r>
    <s v="ASB"/>
    <s v="Credit"/>
    <s v="xxxx-xxxx-xxxx-1588"/>
    <d v="2023-09-15T00:00:00"/>
    <s v="KFC GREENLANE - 604 GREENLANE"/>
    <n v="-5.7"/>
    <x v="3"/>
    <x v="8"/>
    <x v="8"/>
  </r>
  <r>
    <s v="ASB"/>
    <s v="Credit"/>
    <s v="xxxx-xxxx-xxxx-1588"/>
    <d v="2023-09-17T00:00:00"/>
    <s v="VICTORY CHRISTIAN CHURCH AUCKLAND"/>
    <n v="-28.44"/>
    <x v="6"/>
    <x v="9"/>
    <x v="21"/>
  </r>
  <r>
    <s v="ASB"/>
    <s v="Credit"/>
    <s v="xxxx-xxxx-xxxx-1588"/>
    <d v="2023-09-18T00:00:00"/>
    <s v="PAYMENT RECEIVED THANK YOU"/>
    <n v="24.41"/>
    <x v="1"/>
    <x v="1"/>
    <x v="16"/>
  </r>
  <r>
    <s v="ASB"/>
    <s v="Credit"/>
    <s v="xxxx-xxxx-xxxx-1588"/>
    <d v="2023-09-19T00:00:00"/>
    <s v="PAYMENT RECEIVED THANK YOU"/>
    <n v="1.25"/>
    <x v="1"/>
    <x v="1"/>
    <x v="16"/>
  </r>
  <r>
    <s v="ASB"/>
    <s v="Credit"/>
    <s v="xxxx-xxxx-xxxx-1588"/>
    <d v="2023-09-19T00:00:00"/>
    <s v="PAYMENT RECEIVED THANK YOU"/>
    <n v="41.29"/>
    <x v="1"/>
    <x v="1"/>
    <x v="16"/>
  </r>
  <r>
    <s v="ASB"/>
    <s v="Credit"/>
    <s v="xxxx-xxxx-xxxx-1588"/>
    <d v="2023-09-19T00:00:00"/>
    <s v="BBB Stonefields Stonefields"/>
    <n v="-102.9"/>
    <x v="3"/>
    <x v="8"/>
    <x v="8"/>
  </r>
  <r>
    <s v="ASB"/>
    <s v="Credit"/>
    <s v="xxxx-xxxx-xxxx-1588"/>
    <d v="2023-09-19T00:00:00"/>
    <s v="GOODFOR LUNN AVE AUCKLAND"/>
    <n v="-1.35"/>
    <x v="0"/>
    <x v="0"/>
    <x v="0"/>
  </r>
  <r>
    <s v="ASB"/>
    <s v="Credit"/>
    <s v="xxxx-xxxx-xxxx-1588"/>
    <d v="2023-09-21T00:00:00"/>
    <s v="PAYMENT RECEIVED THANK YOU"/>
    <n v="123.89"/>
    <x v="1"/>
    <x v="1"/>
    <x v="16"/>
  </r>
  <r>
    <s v="ASB"/>
    <s v="Credit"/>
    <s v="xxxx-xxxx-xxxx-1588"/>
    <d v="2023-09-21T00:00:00"/>
    <s v="PAYMENT RECEIVED THANK YOU"/>
    <n v="7.02"/>
    <x v="1"/>
    <x v="1"/>
    <x v="16"/>
  </r>
  <r>
    <s v="ASB"/>
    <s v="Credit"/>
    <s v="xxxx-xxxx-xxxx-1588"/>
    <d v="2023-09-20T00:00:00"/>
    <s v="Witchery NZ - Newmarket Auckland"/>
    <n v="-154.72"/>
    <x v="9"/>
    <x v="18"/>
    <x v="30"/>
  </r>
  <r>
    <s v="ASB"/>
    <s v="Credit"/>
    <s v="xxxx-xxxx-xxxx-1588"/>
    <d v="2023-09-20T00:00:00"/>
    <s v="SRI MAKHOTA MALAYSIAN AUCKLAND"/>
    <n v="-17.77"/>
    <x v="3"/>
    <x v="8"/>
    <x v="8"/>
  </r>
  <r>
    <s v="ASB"/>
    <s v="Credit"/>
    <s v="xxxx-xxxx-xxxx-1588"/>
    <d v="2023-09-20T00:00:00"/>
    <s v="NZAA ALBERT STREET AUCKLAND"/>
    <n v="-1.44"/>
    <x v="5"/>
    <x v="7"/>
    <x v="31"/>
  </r>
  <r>
    <s v="ASB"/>
    <s v="Credit"/>
    <s v="xxxx-xxxx-xxxx-1588"/>
    <d v="2023-09-21T00:00:00"/>
    <s v="PAYMENT RECEIVED THANK YOU"/>
    <n v="83.29"/>
    <x v="1"/>
    <x v="1"/>
    <x v="16"/>
  </r>
  <r>
    <s v="ASB"/>
    <s v="Credit"/>
    <s v="xxxx-xxxx-xxxx-1588"/>
    <d v="2023-09-21T00:00:00"/>
    <s v="PAYMENT RECEIVED THANK YOU"/>
    <n v="14.44"/>
    <x v="1"/>
    <x v="1"/>
    <x v="16"/>
  </r>
  <r>
    <s v="ASB"/>
    <s v="Credit"/>
    <s v="xxxx-xxxx-xxxx-1588"/>
    <d v="2023-09-21T00:00:00"/>
    <s v="DBS Jetts Remuera North Harbour"/>
    <n v="-10.23"/>
    <x v="3"/>
    <x v="14"/>
    <x v="17"/>
  </r>
  <r>
    <s v="ASB"/>
    <s v="Credit"/>
    <s v="xxxx-xxxx-xxxx-1588"/>
    <d v="2023-09-22T00:00:00"/>
    <s v="PAYMENT RECEIVED THANK YOU"/>
    <n v="15.44"/>
    <x v="1"/>
    <x v="1"/>
    <x v="16"/>
  </r>
  <r>
    <s v="ASB"/>
    <s v="Credit"/>
    <s v="xxxx-xxxx-xxxx-1588"/>
    <d v="2023-09-22T00:00:00"/>
    <s v="CHOICE RETAIL AUCKLAND"/>
    <n v="-0.17"/>
    <x v="0"/>
    <x v="0"/>
    <x v="0"/>
  </r>
  <r>
    <s v="ASB"/>
    <s v="Credit"/>
    <s v="xxxx-xxxx-xxxx-1588"/>
    <d v="2023-09-22T00:00:00"/>
    <s v="DREAMERS CAFE EPSOM"/>
    <n v="-3.14"/>
    <x v="3"/>
    <x v="8"/>
    <x v="8"/>
  </r>
  <r>
    <s v="ASB"/>
    <s v="Credit"/>
    <s v="xxxx-xxxx-xxxx-1588"/>
    <d v="2023-09-24T00:00:00"/>
    <s v="VICTORY CHRISTIAN CHURCH AUCKLAND"/>
    <n v="-12.86"/>
    <x v="6"/>
    <x v="9"/>
    <x v="21"/>
  </r>
  <r>
    <s v="ASB"/>
    <s v="Credit"/>
    <s v="xxxx-xxxx-xxxx-1588"/>
    <d v="2023-09-24T00:00:00"/>
    <s v="PAYMENT RECEIVED THANK YOU"/>
    <n v="61.99"/>
    <x v="1"/>
    <x v="1"/>
    <x v="16"/>
  </r>
  <r>
    <s v="ASB"/>
    <s v="Credit"/>
    <s v="xxxx-xxxx-xxxx-1588"/>
    <d v="2023-09-25T00:00:00"/>
    <s v="PAYMENT RECEIVED THANK YOU"/>
    <n v="11.5"/>
    <x v="1"/>
    <x v="1"/>
    <x v="16"/>
  </r>
  <r>
    <s v="ASB"/>
    <s v="Credit"/>
    <s v="xxxx-xxxx-xxxx-1588"/>
    <d v="2023-09-26T00:00:00"/>
    <s v="PAYMENT RECEIVED THANK YOU"/>
    <n v="19.68"/>
    <x v="1"/>
    <x v="1"/>
    <x v="16"/>
  </r>
  <r>
    <s v="ASB"/>
    <s v="Credit"/>
    <s v="xxxx-xxxx-xxxx-1588"/>
    <d v="2023-09-26T00:00:00"/>
    <s v="BP CONNECT BOULEVARD AUCKLAND"/>
    <n v="-102.27"/>
    <x v="6"/>
    <x v="9"/>
    <x v="14"/>
  </r>
  <r>
    <s v="ASB"/>
    <s v="Credit"/>
    <s v="xxxx-xxxx-xxxx-1588"/>
    <d v="2023-09-28T00:00:00"/>
    <s v="PAYMENT RECEIVED THANK YOU"/>
    <n v="6.61"/>
    <x v="1"/>
    <x v="1"/>
    <x v="16"/>
  </r>
  <r>
    <s v="ASB"/>
    <s v="Credit"/>
    <s v="xxxx-xxxx-xxxx-1588"/>
    <d v="2023-09-27T00:00:00"/>
    <s v="DBS Jetts Remuera North Harbour"/>
    <n v="-7.2"/>
    <x v="3"/>
    <x v="14"/>
    <x v="17"/>
  </r>
  <r>
    <s v="ASB"/>
    <s v="Credit"/>
    <s v="xxxx-xxxx-xxxx-1588"/>
    <d v="2023-09-29T00:00:00"/>
    <s v="PAYMENT RECEIVED THANK YOU"/>
    <n v="145.66999999999999"/>
    <x v="1"/>
    <x v="1"/>
    <x v="16"/>
  </r>
  <r>
    <s v="ASB"/>
    <s v="Credit"/>
    <s v="xxxx-xxxx-xxxx-1588"/>
    <d v="2023-09-29T00:00:00"/>
    <s v="ANDREW SIMMS MITSUBI AUCKLAND"/>
    <n v="-154.08000000000001"/>
    <x v="6"/>
    <x v="9"/>
    <x v="9"/>
  </r>
  <r>
    <s v="ASB"/>
    <s v="Credit"/>
    <s v="xxxx-xxxx-xxxx-1588"/>
    <d v="2023-10-03T00:00:00"/>
    <s v="PAYMENT RECEIVED THANK YOU"/>
    <n v="8.23"/>
    <x v="1"/>
    <x v="1"/>
    <x v="16"/>
  </r>
  <r>
    <s v="ASB"/>
    <s v="Credit"/>
    <s v="xxxx-xxxx-xxxx-1588"/>
    <d v="2023-10-03T00:00:00"/>
    <s v="VICTORY CHRISTIAN CHURCH AUCKLAND"/>
    <n v="-10.08"/>
    <x v="6"/>
    <x v="9"/>
    <x v="21"/>
  </r>
  <r>
    <s v="ASB"/>
    <s v="Credit"/>
    <s v="xxxx-xxxx-xxxx-1588"/>
    <d v="2023-10-04T00:00:00"/>
    <s v="PAYMENT RECEIVED THANK YOU"/>
    <n v="368.35"/>
    <x v="1"/>
    <x v="1"/>
    <x v="16"/>
  </r>
  <r>
    <s v="ASB"/>
    <s v="Credit"/>
    <s v="xxxx-xxxx-xxxx-1588"/>
    <d v="2023-10-04T00:00:00"/>
    <s v="PAYMENT RECEIVED THANK YOU"/>
    <n v="52.35"/>
    <x v="1"/>
    <x v="1"/>
    <x v="16"/>
  </r>
  <r>
    <s v="ASB"/>
    <s v="Credit"/>
    <s v="xxxx-xxxx-xxxx-1588"/>
    <d v="2023-10-05T00:00:00"/>
    <s v="Watercare Services Ltd Remuera"/>
    <n v="-0.43"/>
    <x v="4"/>
    <x v="4"/>
    <x v="4"/>
  </r>
  <r>
    <s v="ASB"/>
    <s v="Credit"/>
    <s v="xxxx-xxxx-xxxx-1588"/>
    <d v="2023-10-05T00:00:00"/>
    <s v="Watercare Online Remuera"/>
    <n v="-34.74"/>
    <x v="4"/>
    <x v="4"/>
    <x v="4"/>
  </r>
  <r>
    <s v="ASB"/>
    <s v="Credit"/>
    <s v="xxxx-xxxx-xxxx-1588"/>
    <d v="2023-10-04T00:00:00"/>
    <s v="BAT (NEW ZEALAND) LIMITED VENDOR_INVOIC"/>
    <n v="-3.85"/>
    <x v="3"/>
    <x v="3"/>
    <x v="28"/>
  </r>
  <r>
    <s v="ASB"/>
    <s v="Credit"/>
    <s v="xxxx-xxxx-xxxx-1588"/>
    <d v="2023-10-05T00:00:00"/>
    <s v="PAYMENT RECEIVED THANK YOU"/>
    <n v="3.86"/>
    <x v="1"/>
    <x v="1"/>
    <x v="16"/>
  </r>
  <r>
    <s v="ASB"/>
    <s v="Credit"/>
    <s v="xxxx-xxxx-xxxx-1588"/>
    <d v="2023-10-05T00:00:00"/>
    <s v="PAYMENT RECEIVED THANK YOU"/>
    <n v="23.44"/>
    <x v="1"/>
    <x v="1"/>
    <x v="16"/>
  </r>
  <r>
    <s v="ASB"/>
    <s v="Credit"/>
    <s v="xxxx-xxxx-xxxx-1588"/>
    <d v="2023-10-05T00:00:00"/>
    <s v="PAYMENT RECEIVED THANK YOU"/>
    <n v="30.29"/>
    <x v="1"/>
    <x v="1"/>
    <x v="16"/>
  </r>
  <r>
    <s v="ASB"/>
    <s v="Credit"/>
    <s v="xxxx-xxxx-xxxx-1588"/>
    <d v="2023-10-05T00:00:00"/>
    <s v="PAYMENT RECEIVED THANK YOU"/>
    <n v="40.950000000000003"/>
    <x v="1"/>
    <x v="1"/>
    <x v="16"/>
  </r>
  <r>
    <s v="ASB"/>
    <s v="Credit"/>
    <s v="xxxx-xxxx-xxxx-1588"/>
    <d v="2023-10-05T00:00:00"/>
    <s v="HESARISUPERMARKETPANMURE AUCKLAND"/>
    <n v="-15.82"/>
    <x v="0"/>
    <x v="0"/>
    <x v="0"/>
  </r>
  <r>
    <s v="ASB"/>
    <s v="Credit"/>
    <s v="xxxx-xxxx-xxxx-1588"/>
    <d v="2023-10-04T00:00:00"/>
    <s v="DBS Jetts Remuera North Harbour"/>
    <n v="-9.4"/>
    <x v="3"/>
    <x v="14"/>
    <x v="17"/>
  </r>
  <r>
    <s v="ASB"/>
    <s v="Credit"/>
    <s v="xxxx-xxxx-xxxx-1588"/>
    <d v="2023-10-08T00:00:00"/>
    <s v="VICTORY CHRISTIAN CHURCH AUCKLAND"/>
    <n v="-25.84"/>
    <x v="6"/>
    <x v="9"/>
    <x v="21"/>
  </r>
  <r>
    <s v="ASB"/>
    <s v="Credit"/>
    <s v="xxxx-xxxx-xxxx-1588"/>
    <d v="2023-10-08T00:00:00"/>
    <s v="PAYMENT RECEIVED THANK YOU"/>
    <n v="17.88"/>
    <x v="1"/>
    <x v="1"/>
    <x v="16"/>
  </r>
  <r>
    <s v="ASB"/>
    <s v="Credit"/>
    <s v="xxxx-xxxx-xxxx-1588"/>
    <d v="2023-10-10T00:00:00"/>
    <s v="PITA HOUSE PAKURANGA AUCKLAND"/>
    <n v="-165.82"/>
    <x v="3"/>
    <x v="8"/>
    <x v="8"/>
  </r>
  <r>
    <s v="ASB"/>
    <s v="Credit"/>
    <s v="xxxx-xxxx-xxxx-1588"/>
    <d v="2023-10-11T00:00:00"/>
    <s v="PAYMENT RECEIVED THANK YOU"/>
    <n v="138.58000000000001"/>
    <x v="1"/>
    <x v="1"/>
    <x v="16"/>
  </r>
  <r>
    <s v="ASB"/>
    <s v="Credit"/>
    <s v="xxxx-xxxx-xxxx-1588"/>
    <d v="2023-10-11T00:00:00"/>
    <s v="PAYMENT RECEIVED THANK YOU"/>
    <n v="18.89"/>
    <x v="1"/>
    <x v="1"/>
    <x v="16"/>
  </r>
  <r>
    <s v="ASB"/>
    <s v="Credit"/>
    <s v="xxxx-xxxx-xxxx-1588"/>
    <d v="2023-10-11T00:00:00"/>
    <s v="DBS Jetts Remuera North Harbour"/>
    <n v="-3.38"/>
    <x v="3"/>
    <x v="14"/>
    <x v="17"/>
  </r>
  <r>
    <s v="ASB"/>
    <s v="Credit"/>
    <s v="xxxx-xxxx-xxxx-1588"/>
    <d v="2023-10-13T00:00:00"/>
    <s v="PAYMENT RECEIVED THANK YOU"/>
    <n v="5.37"/>
    <x v="1"/>
    <x v="1"/>
    <x v="16"/>
  </r>
  <r>
    <s v="ASB"/>
    <s v="Credit"/>
    <s v="xxxx-xxxx-xxxx-1588"/>
    <d v="2023-10-14T00:00:00"/>
    <s v="PAYMENT RECEIVED THANK YOU"/>
    <n v="18.27"/>
    <x v="1"/>
    <x v="1"/>
    <x v="16"/>
  </r>
  <r>
    <s v="ASB"/>
    <s v="Credit"/>
    <s v="xxxx-xxxx-xxxx-1588"/>
    <d v="2023-10-14T00:00:00"/>
    <s v="PIKUNIKU AUCKLAND"/>
    <n v="-17.37"/>
    <x v="3"/>
    <x v="8"/>
    <x v="8"/>
  </r>
  <r>
    <s v="ASB"/>
    <s v="Credit"/>
    <s v="xxxx-xxxx-xxxx-1588"/>
    <d v="2023-10-15T00:00:00"/>
    <s v="PAK N SAVE SYLVIA PARK AUCKLAND"/>
    <n v="-8.57"/>
    <x v="0"/>
    <x v="0"/>
    <x v="0"/>
  </r>
  <r>
    <s v="ASB"/>
    <s v="Credit"/>
    <s v="xxxx-xxxx-xxxx-1588"/>
    <d v="2023-10-15T00:00:00"/>
    <s v="VICTORY CHRISTIAN CHURCH AUCKLAND"/>
    <n v="-12.27"/>
    <x v="6"/>
    <x v="9"/>
    <x v="21"/>
  </r>
  <r>
    <s v="ASB"/>
    <s v="Credit"/>
    <s v="xxxx-xxxx-xxxx-1588"/>
    <d v="2023-10-18T00:00:00"/>
    <s v="PAYMENT RECEIVED THANK YOU"/>
    <n v="59.99"/>
    <x v="1"/>
    <x v="1"/>
    <x v="16"/>
  </r>
  <r>
    <s v="ASB"/>
    <s v="Credit"/>
    <s v="xxxx-xxxx-xxxx-1588"/>
    <d v="2023-10-18T00:00:00"/>
    <s v="DBS Jetts Remuera North Harbour"/>
    <n v="-7.33"/>
    <x v="3"/>
    <x v="14"/>
    <x v="17"/>
  </r>
  <r>
    <s v="ASB"/>
    <s v="Credit"/>
    <s v="xxxx-xxxx-xxxx-1588"/>
    <d v="2023-10-19T00:00:00"/>
    <s v="PAYMENT RECEIVED THANK YOU"/>
    <n v="4.45"/>
    <x v="1"/>
    <x v="1"/>
    <x v="16"/>
  </r>
  <r>
    <s v="ASB"/>
    <s v="Credit"/>
    <s v="xxxx-xxxx-xxxx-1588"/>
    <d v="2023-10-20T00:00:00"/>
    <s v="PAYMENT RECEIVED THANK YOU"/>
    <n v="37.25"/>
    <x v="1"/>
    <x v="1"/>
    <x v="16"/>
  </r>
  <r>
    <s v="ASB"/>
    <s v="Credit"/>
    <s v="xxxx-xxxx-xxxx-1588"/>
    <d v="2023-10-23T00:00:00"/>
    <s v="VICTORY CHRISTIAN CHURCH AUCKLAND"/>
    <n v="-7.98"/>
    <x v="6"/>
    <x v="9"/>
    <x v="21"/>
  </r>
  <r>
    <s v="ASB"/>
    <s v="Credit"/>
    <s v="xxxx-xxxx-xxxx-1588"/>
    <d v="2023-10-23T00:00:00"/>
    <s v="PAYMENT RECEIVED THANK YOU"/>
    <n v="18.41"/>
    <x v="1"/>
    <x v="1"/>
    <x v="16"/>
  </r>
  <r>
    <s v="ASB"/>
    <s v="Credit"/>
    <s v="xxxx-xxxx-xxxx-1588"/>
    <d v="2023-10-25T00:00:00"/>
    <s v="PAYMENT RECEIVED THANK YOU"/>
    <n v="42.79"/>
    <x v="1"/>
    <x v="1"/>
    <x v="16"/>
  </r>
  <r>
    <s v="ASB"/>
    <s v="Credit"/>
    <s v="xxxx-xxxx-xxxx-1588"/>
    <d v="2023-10-26T00:00:00"/>
    <s v="PAYMENT RECEIVED THANK YOU"/>
    <n v="80.12"/>
    <x v="1"/>
    <x v="1"/>
    <x v="16"/>
  </r>
  <r>
    <s v="ASB"/>
    <s v="Credit"/>
    <s v="xxxx-xxxx-xxxx-1588"/>
    <d v="2023-10-26T00:00:00"/>
    <s v="PAYMENT RECEIVED THANK YOU"/>
    <n v="38.29"/>
    <x v="1"/>
    <x v="1"/>
    <x v="16"/>
  </r>
  <r>
    <s v="ASB"/>
    <s v="Credit"/>
    <s v="xxxx-xxxx-xxxx-1588"/>
    <d v="2023-10-26T00:00:00"/>
    <s v="PAYMENT RECEIVED THANK YOU"/>
    <n v="0.59"/>
    <x v="1"/>
    <x v="1"/>
    <x v="16"/>
  </r>
  <r>
    <s v="ASB"/>
    <s v="Credit"/>
    <s v="xxxx-xxxx-xxxx-1588"/>
    <d v="2023-10-27T00:00:00"/>
    <s v="PAYMENT RECEIVED THANK YOU"/>
    <n v="17.41"/>
    <x v="1"/>
    <x v="1"/>
    <x v="16"/>
  </r>
  <r>
    <s v="ASB"/>
    <s v="Credit"/>
    <s v="xxxx-xxxx-xxxx-1588"/>
    <d v="2023-10-25T00:00:00"/>
    <s v="DBS Jetts Remuera North Harbour"/>
    <n v="-5.68"/>
    <x v="3"/>
    <x v="14"/>
    <x v="17"/>
  </r>
  <r>
    <s v="ASB"/>
    <s v="Credit"/>
    <s v="xxxx-xxxx-xxxx-1588"/>
    <d v="2023-10-26T00:00:00"/>
    <s v="BAT (NEW ZEALAND) LIMITED VENDOR_INVOIC"/>
    <n v="-107.66"/>
    <x v="3"/>
    <x v="3"/>
    <x v="28"/>
  </r>
  <r>
    <s v="ASB"/>
    <s v="Credit"/>
    <s v="xxxx-xxxx-xxxx-1588"/>
    <d v="2023-10-25T00:00:00"/>
    <s v="GUMRD.COM  MICHAEL SHP HTTPSGUMROAD. CA 44.00 US DOLLAR at a Conversion Rate  of 0.5826 (NZ$75.52)"/>
    <n v="-31.55"/>
    <x v="5"/>
    <x v="7"/>
    <x v="32"/>
  </r>
  <r>
    <s v="ASB"/>
    <s v="Credit"/>
    <s v="xxxx-xxxx-xxxx-1588"/>
    <d v="2023-10-25T00:00:00"/>
    <s v="OFFSHORE SERVICE MARGINS"/>
    <n v="-2.27"/>
    <x v="5"/>
    <x v="7"/>
    <x v="7"/>
  </r>
  <r>
    <s v="ASB"/>
    <s v="Credit"/>
    <s v="xxxx-xxxx-xxxx-1588"/>
    <d v="2023-10-26T00:00:00"/>
    <s v="VICTORY CHRISTIAN CHURCH AUCKLAND"/>
    <n v="-14.55"/>
    <x v="6"/>
    <x v="9"/>
    <x v="21"/>
  </r>
  <r>
    <s v="ASB"/>
    <s v="Credit"/>
    <s v="xxxx-xxxx-xxxx-1588"/>
    <d v="2023-10-29T00:00:00"/>
    <s v="VICTORY CHRISTIAN CHURCH AUCKLAND"/>
    <n v="-21.36"/>
    <x v="6"/>
    <x v="9"/>
    <x v="21"/>
  </r>
  <r>
    <s v="ASB"/>
    <s v="Credit"/>
    <s v="xxxx-xxxx-xxxx-1588"/>
    <d v="2023-10-28T00:00:00"/>
    <s v="PAYMENT RECEIVED THANK YOU"/>
    <n v="0.18"/>
    <x v="1"/>
    <x v="1"/>
    <x v="16"/>
  </r>
  <r>
    <s v="ASB"/>
    <s v="Credit"/>
    <s v="xxxx-xxxx-xxxx-1588"/>
    <d v="2023-10-29T00:00:00"/>
    <s v="PAYMENT RECEIVED THANK YOU"/>
    <n v="24.96"/>
    <x v="1"/>
    <x v="1"/>
    <x v="16"/>
  </r>
  <r>
    <s v="ASB"/>
    <s v="Credit"/>
    <s v="xxxx-xxxx-xxxx-1588"/>
    <d v="2023-11-02T00:00:00"/>
    <s v="PAYMENT RECEIVED THANK YOU"/>
    <n v="10.3"/>
    <x v="1"/>
    <x v="1"/>
    <x v="16"/>
  </r>
  <r>
    <s v="ASB"/>
    <s v="Credit"/>
    <s v="xxxx-xxxx-xxxx-1588"/>
    <d v="2023-11-02T00:00:00"/>
    <s v="DBS Jetts Remuera North Harbour"/>
    <n v="-10.84"/>
    <x v="3"/>
    <x v="14"/>
    <x v="17"/>
  </r>
  <r>
    <s v="ASB"/>
    <s v="Credit"/>
    <s v="xxxx-xxxx-xxxx-1588"/>
    <d v="2023-11-05T00:00:00"/>
    <s v="Washpod 06 Mt Wellington"/>
    <n v="-9.5299999999999994"/>
    <x v="0"/>
    <x v="0"/>
    <x v="0"/>
  </r>
  <r>
    <s v="ASB"/>
    <s v="Credit"/>
    <s v="xxxx-xxxx-xxxx-1588"/>
    <d v="2023-11-04T00:00:00"/>
    <s v="MITRE 10 MEGA MT WTGN MOUNT WELLING"/>
    <n v="-57.14"/>
    <x v="4"/>
    <x v="12"/>
    <x v="12"/>
  </r>
  <r>
    <s v="ASB"/>
    <s v="Credit"/>
    <s v="xxxx-xxxx-xxxx-1588"/>
    <d v="2023-11-04T00:00:00"/>
    <s v="VICTORY CHRISTIAN CHURCH AUCKLAND"/>
    <n v="-7.58"/>
    <x v="6"/>
    <x v="9"/>
    <x v="21"/>
  </r>
  <r>
    <s v="ASB"/>
    <s v="Credit"/>
    <s v="xxxx-xxxx-xxxx-1588"/>
    <d v="2023-11-04T00:00:00"/>
    <s v="PAYMENT RECEIVED THANK YOU"/>
    <n v="48.32"/>
    <x v="1"/>
    <x v="1"/>
    <x v="16"/>
  </r>
  <r>
    <s v="ASB"/>
    <s v="Credit"/>
    <s v="xxxx-xxxx-xxxx-1588"/>
    <d v="2023-11-05T00:00:00"/>
    <s v="PAYMENT RECEIVED THANK YOU"/>
    <n v="26.49"/>
    <x v="1"/>
    <x v="1"/>
    <x v="16"/>
  </r>
  <r>
    <s v="ASB"/>
    <s v="Credit"/>
    <s v="xxxx-xxxx-xxxx-1588"/>
    <d v="2023-11-05T00:00:00"/>
    <s v="PAYMENT RECEIVED THANK YOU"/>
    <n v="161.85"/>
    <x v="1"/>
    <x v="1"/>
    <x v="16"/>
  </r>
  <r>
    <s v="ASB"/>
    <s v="Credit"/>
    <s v="xxxx-xxxx-xxxx-1588"/>
    <d v="2023-11-05T00:00:00"/>
    <s v="MITRE 10 MEGA MT WTGN MOUNT WELLING"/>
    <n v="-60.72"/>
    <x v="4"/>
    <x v="12"/>
    <x v="12"/>
  </r>
  <r>
    <s v="ASB"/>
    <s v="Credit"/>
    <s v="xxxx-xxxx-xxxx-1588"/>
    <d v="2023-11-05T00:00:00"/>
    <s v="MITRE 10 MEGA MT WTGN MOUNT WELLING"/>
    <n v="-17.54"/>
    <x v="4"/>
    <x v="12"/>
    <x v="12"/>
  </r>
  <r>
    <s v="ASB"/>
    <s v="Credit"/>
    <s v="xxxx-xxxx-xxxx-1588"/>
    <d v="2023-11-07T00:00:00"/>
    <s v="VICTORY CHRISTIAN CHURCH AUCKLAND"/>
    <n v="-3.2"/>
    <x v="6"/>
    <x v="9"/>
    <x v="21"/>
  </r>
  <r>
    <s v="ASB"/>
    <s v="Credit"/>
    <s v="xxxx-xxxx-xxxx-1588"/>
    <d v="2023-11-07T00:00:00"/>
    <s v="PAYMENT RECEIVED THANK YOU"/>
    <n v="29.2"/>
    <x v="1"/>
    <x v="1"/>
    <x v="16"/>
  </r>
  <r>
    <s v="ASB"/>
    <s v="Credit"/>
    <s v="xxxx-xxxx-xxxx-1588"/>
    <d v="2023-11-08T00:00:00"/>
    <s v="PAYMENT RECEIVED THANK YOU"/>
    <n v="44.09"/>
    <x v="1"/>
    <x v="1"/>
    <x v="16"/>
  </r>
  <r>
    <s v="ASB"/>
    <s v="Credit"/>
    <s v="xxxx-xxxx-xxxx-1588"/>
    <d v="2023-11-08T00:00:00"/>
    <s v="PAYMENT RECEIVED THANK YOU"/>
    <n v="65.069999999999993"/>
    <x v="1"/>
    <x v="1"/>
    <x v="16"/>
  </r>
  <r>
    <s v="ASB"/>
    <s v="Credit"/>
    <s v="xxxx-xxxx-xxxx-1588"/>
    <d v="2023-11-08T00:00:00"/>
    <s v="MITRE 10 MEGA MT WTGN MOUNT WELLING"/>
    <n v="-53.67"/>
    <x v="4"/>
    <x v="12"/>
    <x v="12"/>
  </r>
  <r>
    <s v="ASB"/>
    <s v="Credit"/>
    <s v="xxxx-xxxx-xxxx-1588"/>
    <d v="2023-11-09T00:00:00"/>
    <s v="PAYMENT RECEIVED THANK YOU"/>
    <n v="15.12"/>
    <x v="1"/>
    <x v="1"/>
    <x v="16"/>
  </r>
  <r>
    <s v="ASB"/>
    <s v="Credit"/>
    <s v="xxxx-xxxx-xxxx-1588"/>
    <d v="2023-11-08T00:00:00"/>
    <s v="DBS Jetts Remuera North Harbour"/>
    <n v="-1.32"/>
    <x v="3"/>
    <x v="14"/>
    <x v="17"/>
  </r>
  <r>
    <s v="ASB"/>
    <s v="Credit"/>
    <s v="xxxx-xxxx-xxxx-1588"/>
    <d v="2023-11-11T00:00:00"/>
    <s v="VICTORY CHRISTIAN CHURCH AUCKLAND"/>
    <n v="-24.73"/>
    <x v="6"/>
    <x v="9"/>
    <x v="21"/>
  </r>
  <r>
    <s v="ASB"/>
    <s v="Credit"/>
    <s v="xxxx-xxxx-xxxx-1588"/>
    <d v="2023-11-12T00:00:00"/>
    <s v="PAYMENT RECEIVED THANK YOU"/>
    <n v="10.84"/>
    <x v="1"/>
    <x v="1"/>
    <x v="16"/>
  </r>
  <r>
    <s v="ASB"/>
    <s v="Credit"/>
    <s v="xxxx-xxxx-xxxx-1588"/>
    <d v="2023-11-14T00:00:00"/>
    <s v="VICTORY CHRISTIAN CHURCH AUCKLAND"/>
    <n v="-2.39"/>
    <x v="6"/>
    <x v="9"/>
    <x v="21"/>
  </r>
  <r>
    <s v="ASB"/>
    <s v="Credit"/>
    <s v="xxxx-xxxx-xxxx-1588"/>
    <d v="2023-11-15T00:00:00"/>
    <s v="PAYMENT RECEIVED THANK YOU"/>
    <n v="10.24"/>
    <x v="1"/>
    <x v="1"/>
    <x v="16"/>
  </r>
  <r>
    <s v="ASB"/>
    <s v="Credit"/>
    <s v="xxxx-xxxx-xxxx-1588"/>
    <d v="2023-11-15T00:00:00"/>
    <s v="PAYMENT RECEIVED THANK YOU"/>
    <n v="29.59"/>
    <x v="1"/>
    <x v="1"/>
    <x v="16"/>
  </r>
  <r>
    <s v="ASB"/>
    <s v="Credit"/>
    <s v="xxxx-xxxx-xxxx-1588"/>
    <d v="2023-11-16T00:00:00"/>
    <s v="PAYMENT RECEIVED THANK YOU"/>
    <n v="1.56"/>
    <x v="1"/>
    <x v="1"/>
    <x v="16"/>
  </r>
  <r>
    <s v="ASB"/>
    <s v="Credit"/>
    <s v="xxxx-xxxx-xxxx-1588"/>
    <d v="2023-11-16T00:00:00"/>
    <s v="PAYMENT RECEIVED THANK YOU"/>
    <n v="6.43"/>
    <x v="1"/>
    <x v="1"/>
    <x v="16"/>
  </r>
  <r>
    <s v="ASB"/>
    <s v="Credit"/>
    <s v="xxxx-xxxx-xxxx-1588"/>
    <d v="2023-11-15T00:00:00"/>
    <s v="DBS Jetts Remuera North Harbour"/>
    <n v="-4.54"/>
    <x v="3"/>
    <x v="14"/>
    <x v="17"/>
  </r>
  <r>
    <s v="ASB"/>
    <s v="Credit"/>
    <s v="xxxx-xxxx-xxxx-1588"/>
    <d v="2023-11-18T00:00:00"/>
    <s v="VICTORY CHRISTIAN CHURCH AUCKLAND"/>
    <n v="-15.98"/>
    <x v="6"/>
    <x v="9"/>
    <x v="21"/>
  </r>
  <r>
    <s v="ASB"/>
    <s v="Credit"/>
    <s v="xxxx-xxxx-xxxx-1588"/>
    <d v="2023-11-19T00:00:00"/>
    <s v="PAYMENT RECEIVED THANK YOU"/>
    <n v="20.04"/>
    <x v="1"/>
    <x v="1"/>
    <x v="16"/>
  </r>
  <r>
    <s v="ASB"/>
    <s v="Credit"/>
    <s v="xxxx-xxxx-xxxx-1588"/>
    <d v="2023-11-21T00:00:00"/>
    <s v="VICTORY CHRISTIAN CHURCH AUCKLAND"/>
    <n v="-6.12"/>
    <x v="6"/>
    <x v="9"/>
    <x v="21"/>
  </r>
  <r>
    <s v="ASB"/>
    <s v="Credit"/>
    <s v="xxxx-xxxx-xxxx-1588"/>
    <d v="2023-11-21T00:00:00"/>
    <s v="VICTORY CHRISTIAN CHURCH AUCKLAND"/>
    <n v="-11.54"/>
    <x v="6"/>
    <x v="9"/>
    <x v="21"/>
  </r>
  <r>
    <s v="ASB"/>
    <s v="Credit"/>
    <s v="xxxx-xxxx-xxxx-1588"/>
    <d v="2023-11-21T00:00:00"/>
    <s v="PAYMENT RECEIVED THANK YOU"/>
    <n v="7.63"/>
    <x v="1"/>
    <x v="1"/>
    <x v="16"/>
  </r>
  <r>
    <s v="ASB"/>
    <s v="Credit"/>
    <s v="xxxx-xxxx-xxxx-1588"/>
    <d v="2023-11-21T00:00:00"/>
    <s v="GULL MARUA ROAD AUCKLAND"/>
    <n v="-156.35"/>
    <x v="6"/>
    <x v="9"/>
    <x v="14"/>
  </r>
  <r>
    <s v="ASB"/>
    <s v="Credit"/>
    <s v="xxxx-xxxx-xxxx-1588"/>
    <d v="2023-11-22T00:00:00"/>
    <s v="PAYMENT RECEIVED THANK YOU"/>
    <n v="311.70999999999998"/>
    <x v="1"/>
    <x v="1"/>
    <x v="16"/>
  </r>
  <r>
    <s v="ASB"/>
    <s v="Credit"/>
    <s v="xxxx-xxxx-xxxx-1588"/>
    <d v="2023-11-23T00:00:00"/>
    <s v="PAYMENT RECEIVED THANK YOU"/>
    <n v="8.24"/>
    <x v="1"/>
    <x v="1"/>
    <x v="16"/>
  </r>
  <r>
    <s v="ASB"/>
    <s v="Credit"/>
    <s v="xxxx-xxxx-xxxx-1588"/>
    <d v="2023-11-23T00:00:00"/>
    <s v="DBS Jetts Remuera North Harbour"/>
    <n v="-12.91"/>
    <x v="3"/>
    <x v="14"/>
    <x v="17"/>
  </r>
  <r>
    <s v="ASB"/>
    <s v="Credit"/>
    <s v="xxxx-xxxx-xxxx-1588"/>
    <d v="2023-11-24T00:00:00"/>
    <s v="PAK N SAVE SYLVIA PARK AUCKLAND"/>
    <n v="-4.7"/>
    <x v="0"/>
    <x v="0"/>
    <x v="0"/>
  </r>
  <r>
    <s v="ASB"/>
    <s v="Credit"/>
    <s v="xxxx-xxxx-xxxx-1588"/>
    <d v="2023-11-25T00:00:00"/>
    <s v="PAYMENT RECEIVED THANK YOU"/>
    <n v="12.32"/>
    <x v="1"/>
    <x v="1"/>
    <x v="16"/>
  </r>
  <r>
    <s v="ASB"/>
    <s v="Credit"/>
    <s v="xxxx-xxxx-xxxx-1588"/>
    <d v="2023-11-26T00:00:00"/>
    <s v="PAYMENT RECEIVED THANK YOU"/>
    <n v="84.47"/>
    <x v="1"/>
    <x v="1"/>
    <x v="16"/>
  </r>
  <r>
    <s v="ASB"/>
    <s v="Credit"/>
    <s v="xxxx-xxxx-xxxx-1588"/>
    <d v="2023-11-28T00:00:00"/>
    <s v="PAYMENT RECEIVED THANK YOU"/>
    <n v="12.27"/>
    <x v="1"/>
    <x v="1"/>
    <x v="16"/>
  </r>
  <r>
    <s v="ASB"/>
    <s v="Credit"/>
    <s v="xxxx-xxxx-xxxx-1588"/>
    <d v="2023-11-28T00:00:00"/>
    <s v="THE CABBAGE TREE PAIHIA"/>
    <n v="-15.5"/>
    <x v="3"/>
    <x v="8"/>
    <x v="8"/>
  </r>
  <r>
    <s v="ASB"/>
    <s v="Credit"/>
    <s v="xxxx-xxxx-xxxx-1588"/>
    <d v="2023-11-30T00:00:00"/>
    <s v="PAYMENT RECEIVED THANK YOU"/>
    <n v="7.38"/>
    <x v="1"/>
    <x v="1"/>
    <x v="16"/>
  </r>
  <r>
    <s v="ASB"/>
    <s v="Credit"/>
    <s v="xxxx-xxxx-xxxx-1588"/>
    <d v="2023-11-29T00:00:00"/>
    <s v="DBS Jetts Remuera North Harbour"/>
    <n v="-4.63"/>
    <x v="3"/>
    <x v="14"/>
    <x v="17"/>
  </r>
  <r>
    <s v="ASB"/>
    <s v="Credit"/>
    <s v="xxxx-xxxx-xxxx-1588"/>
    <d v="2023-12-01T00:00:00"/>
    <s v="PAYMENT RECEIVED THANK YOU"/>
    <n v="3.71"/>
    <x v="1"/>
    <x v="1"/>
    <x v="16"/>
  </r>
  <r>
    <s v="ASB"/>
    <s v="Credit"/>
    <s v="xxxx-xxxx-xxxx-1588"/>
    <d v="2023-12-01T00:00:00"/>
    <s v="AK 849248 BAY OF ISL"/>
    <n v="-1.21"/>
    <x v="3"/>
    <x v="6"/>
    <x v="6"/>
  </r>
  <r>
    <s v="ASB"/>
    <s v="Credit"/>
    <s v="xxxx-xxxx-xxxx-1588"/>
    <d v="2023-12-01T00:00:00"/>
    <s v="AK 849248 BAY OF ISL"/>
    <n v="-23.18"/>
    <x v="3"/>
    <x v="6"/>
    <x v="6"/>
  </r>
  <r>
    <s v="ASB"/>
    <s v="Credit"/>
    <s v="xxxx-xxxx-xxxx-1588"/>
    <d v="2023-12-02T00:00:00"/>
    <s v="VICTORY CHRISTIAN CHURCH AUCKLAND"/>
    <n v="-4.3099999999999996"/>
    <x v="6"/>
    <x v="9"/>
    <x v="21"/>
  </r>
  <r>
    <s v="ASB"/>
    <s v="Credit"/>
    <s v="xxxx-xxxx-xxxx-1588"/>
    <d v="2023-12-03T00:00:00"/>
    <s v="PAYMENT RECEIVED THANK YOU"/>
    <n v="16.18"/>
    <x v="1"/>
    <x v="1"/>
    <x v="16"/>
  </r>
  <r>
    <s v="ASB"/>
    <s v="Credit"/>
    <s v="xxxx-xxxx-xxxx-1588"/>
    <d v="2023-12-03T00:00:00"/>
    <s v="PAYMENT RECEIVED THANK YOU"/>
    <n v="12.65"/>
    <x v="1"/>
    <x v="1"/>
    <x v="16"/>
  </r>
  <r>
    <s v="ASB"/>
    <s v="Credit"/>
    <s v="xxxx-xxxx-xxxx-1588"/>
    <d v="2023-12-03T00:00:00"/>
    <s v="PAYMENT RECEIVED THANK YOU"/>
    <n v="36.159999999999997"/>
    <x v="1"/>
    <x v="1"/>
    <x v="16"/>
  </r>
  <r>
    <s v="ASB"/>
    <s v="Credit"/>
    <s v="xxxx-xxxx-xxxx-1588"/>
    <d v="2023-12-03T00:00:00"/>
    <s v="BAT (NEW ZEALAND) LIMITED VENDOR_INVOIC"/>
    <n v="-160.72999999999999"/>
    <x v="3"/>
    <x v="3"/>
    <x v="28"/>
  </r>
  <r>
    <s v="ASB"/>
    <s v="Credit"/>
    <s v="xxxx-xxxx-xxxx-1588"/>
    <d v="2023-12-04T00:00:00"/>
    <s v="PAYMENT RECEIVED THANK YOU"/>
    <n v="30.24"/>
    <x v="1"/>
    <x v="1"/>
    <x v="16"/>
  </r>
  <r>
    <s v="ASB"/>
    <s v="Credit"/>
    <s v="xxxx-xxxx-xxxx-1588"/>
    <d v="2023-12-05T00:00:00"/>
    <s v="PAYMENT RECEIVED THANK YOU"/>
    <n v="170.64"/>
    <x v="1"/>
    <x v="1"/>
    <x v="16"/>
  </r>
  <r>
    <s v="ASB"/>
    <s v="Credit"/>
    <s v="xxxx-xxxx-xxxx-1588"/>
    <d v="2023-12-07T00:00:00"/>
    <s v="PAYMENT RECEIVED THANK YOU"/>
    <n v="5.37"/>
    <x v="1"/>
    <x v="1"/>
    <x v="16"/>
  </r>
  <r>
    <s v="ASB"/>
    <s v="Credit"/>
    <s v="xxxx-xxxx-xxxx-1588"/>
    <d v="2023-12-06T00:00:00"/>
    <s v="DBS Jetts Remuera North Harbour"/>
    <n v="-10.93"/>
    <x v="3"/>
    <x v="14"/>
    <x v="17"/>
  </r>
  <r>
    <s v="ASB"/>
    <s v="Credit"/>
    <s v="xxxx-xxxx-xxxx-1588"/>
    <d v="2023-12-08T00:00:00"/>
    <s v="VICTORY CHRISTIAN CHURCH AUCKLAND"/>
    <n v="-7.21"/>
    <x v="6"/>
    <x v="9"/>
    <x v="21"/>
  </r>
  <r>
    <s v="ASB"/>
    <s v="Credit"/>
    <s v="xxxx-xxxx-xxxx-1588"/>
    <d v="2023-12-08T00:00:00"/>
    <s v="Washpod 06 Mt Wellington"/>
    <n v="-6.58"/>
    <x v="0"/>
    <x v="0"/>
    <x v="0"/>
  </r>
  <r>
    <s v="ASB"/>
    <s v="Credit"/>
    <s v="xxxx-xxxx-xxxx-1588"/>
    <d v="2023-12-09T00:00:00"/>
    <s v="PAYMENT RECEIVED THANK YOU"/>
    <n v="16.489999999999998"/>
    <x v="1"/>
    <x v="1"/>
    <x v="16"/>
  </r>
  <r>
    <s v="ASB"/>
    <s v="Credit"/>
    <s v="xxxx-xxxx-xxxx-1588"/>
    <d v="2023-12-09T00:00:00"/>
    <s v="PAYMENT RECEIVED THANK YOU"/>
    <n v="42.91"/>
    <x v="1"/>
    <x v="1"/>
    <x v="16"/>
  </r>
  <r>
    <s v="ASB"/>
    <s v="Credit"/>
    <s v="xxxx-xxxx-xxxx-1588"/>
    <d v="2023-12-09T00:00:00"/>
    <s v="GULL REEVES ROAD AUCKLAND"/>
    <n v="-177.91"/>
    <x v="6"/>
    <x v="9"/>
    <x v="14"/>
  </r>
  <r>
    <s v="ASB"/>
    <s v="Credit"/>
    <s v="xxxx-xxxx-xxxx-1588"/>
    <d v="2023-12-09T00:00:00"/>
    <s v="VICTORY CHRISTIAN CHURCH AUCKLAND"/>
    <n v="-15.26"/>
    <x v="6"/>
    <x v="9"/>
    <x v="21"/>
  </r>
  <r>
    <s v="ASB"/>
    <s v="Credit"/>
    <s v="xxxx-xxxx-xxxx-1588"/>
    <d v="2023-12-10T00:00:00"/>
    <s v="PAYMENT RECEIVED THANK YOU"/>
    <n v="22.38"/>
    <x v="1"/>
    <x v="1"/>
    <x v="16"/>
  </r>
  <r>
    <s v="ASB"/>
    <s v="Credit"/>
    <s v="xxxx-xxxx-xxxx-1588"/>
    <d v="2023-12-10T00:00:00"/>
    <s v="PAYMENT RECEIVED THANK YOU"/>
    <n v="55.33"/>
    <x v="1"/>
    <x v="1"/>
    <x v="16"/>
  </r>
  <r>
    <s v="ASB"/>
    <s v="Credit"/>
    <s v="xxxx-xxxx-xxxx-1588"/>
    <d v="2023-12-11T00:00:00"/>
    <s v="PAYMENT RECEIVED THANK YOU"/>
    <n v="1.31"/>
    <x v="1"/>
    <x v="1"/>
    <x v="16"/>
  </r>
  <r>
    <s v="ASB"/>
    <s v="Credit"/>
    <s v="xxxx-xxxx-xxxx-1588"/>
    <d v="2023-12-13T00:00:00"/>
    <s v="PAYMENT RECEIVED THANK YOU"/>
    <n v="0.42"/>
    <x v="1"/>
    <x v="1"/>
    <x v="16"/>
  </r>
  <r>
    <s v="ASB"/>
    <s v="Credit"/>
    <s v="xxxx-xxxx-xxxx-1588"/>
    <d v="2023-12-14T00:00:00"/>
    <s v="PAYMENT RECEIVED THANK YOU"/>
    <n v="12.41"/>
    <x v="1"/>
    <x v="1"/>
    <x v="16"/>
  </r>
  <r>
    <s v="ASB"/>
    <s v="Credit"/>
    <s v="xxxx-xxxx-xxxx-1588"/>
    <d v="2023-12-14T00:00:00"/>
    <s v="DBS Jetts Remuera North Harbour"/>
    <n v="-0.13"/>
    <x v="3"/>
    <x v="14"/>
    <x v="17"/>
  </r>
  <r>
    <s v="ASB"/>
    <s v="Credit"/>
    <s v="xxxx-xxxx-xxxx-1588"/>
    <d v="2023-12-19T00:00:00"/>
    <s v="PAYMENT RECEIVED THANK YOU"/>
    <n v="1.94"/>
    <x v="1"/>
    <x v="1"/>
    <x v="16"/>
  </r>
  <r>
    <s v="ASB"/>
    <s v="Credit"/>
    <s v="xxxx-xxxx-xxxx-1588"/>
    <d v="2023-12-20T00:00:00"/>
    <s v="DBS Jetts Remuera North Harbour"/>
    <n v="-2.1800000000000002"/>
    <x v="3"/>
    <x v="14"/>
    <x v="17"/>
  </r>
  <r>
    <s v="ASB"/>
    <s v="Credit"/>
    <s v="xxxx-xxxx-xxxx-1588"/>
    <d v="2023-12-21T00:00:00"/>
    <s v="PAYMENT RECEIVED THANK YOU"/>
    <n v="15.02"/>
    <x v="1"/>
    <x v="1"/>
    <x v="16"/>
  </r>
  <r>
    <s v="ASB"/>
    <s v="Credit"/>
    <s v="xxxx-xxxx-xxxx-1588"/>
    <d v="2023-12-22T00:00:00"/>
    <s v="PAYMENT RECEIVED THANK YOU"/>
    <n v="29.86"/>
    <x v="1"/>
    <x v="1"/>
    <x v="16"/>
  </r>
  <r>
    <s v="ASB"/>
    <s v="Credit"/>
    <s v="xxxx-xxxx-xxxx-1588"/>
    <d v="2023-12-27T00:00:00"/>
    <s v="PAYMENT RECEIVED THANK YOU"/>
    <n v="1.28"/>
    <x v="1"/>
    <x v="1"/>
    <x v="16"/>
  </r>
  <r>
    <s v="ASB"/>
    <s v="Credit"/>
    <s v="xxxx-xxxx-xxxx-1588"/>
    <d v="2023-12-27T00:00:00"/>
    <s v="DBS Jetts Remuera North Harbour"/>
    <n v="-4.91"/>
    <x v="3"/>
    <x v="14"/>
    <x v="17"/>
  </r>
  <r>
    <s v="ASB"/>
    <s v="Credit"/>
    <s v="xxxx-xxxx-xxxx-1588"/>
    <d v="2023-12-28T00:00:00"/>
    <s v="PAYMENT RECEIVED THANK YOU"/>
    <n v="9.25"/>
    <x v="1"/>
    <x v="1"/>
    <x v="16"/>
  </r>
  <r>
    <s v="ASB"/>
    <s v="Credit"/>
    <s v="xxxx-xxxx-xxxx-1588"/>
    <d v="2023-12-29T00:00:00"/>
    <s v="PAYMENT RECEIVED THANK YOU"/>
    <n v="44.37"/>
    <x v="1"/>
    <x v="1"/>
    <x v="16"/>
  </r>
  <r>
    <s v="ASB"/>
    <s v="Credit"/>
    <s v="xxxx-xxxx-xxxx-1588"/>
    <d v="2023-12-31T00:00:00"/>
    <s v="PAYMENT RECEIVED THANK YOU"/>
    <n v="2.9"/>
    <x v="1"/>
    <x v="1"/>
    <x v="16"/>
  </r>
  <r>
    <s v="ASB"/>
    <s v="Credit"/>
    <s v="xxxx-xxxx-xxxx-1588"/>
    <d v="2023-12-31T00:00:00"/>
    <s v="PAYMENT RECEIVED THANK YOU"/>
    <n v="0.45"/>
    <x v="1"/>
    <x v="1"/>
    <x v="16"/>
  </r>
  <r>
    <s v="ASB"/>
    <s v="Credit"/>
    <s v="xxxx-xxxx-xxxx-1588"/>
    <d v="2023-12-31T00:00:00"/>
    <s v="GRAND HOTEL MANAGEMENT MELBOURNE 30.00 AUSTRALIAN DOLLAR at a Conversion Rate  of 0.9259 (NZ$32.40)"/>
    <n v="-42.45"/>
    <x v="3"/>
    <x v="6"/>
    <x v="6"/>
  </r>
  <r>
    <s v="ASB"/>
    <s v="Credit"/>
    <s v="xxxx-xxxx-xxxx-1588"/>
    <d v="2023-12-31T00:00:00"/>
    <s v="OFFSHORE SERVICE MARGINS"/>
    <n v="-0.51"/>
    <x v="5"/>
    <x v="7"/>
    <x v="7"/>
  </r>
  <r>
    <s v="ASB"/>
    <s v="Credit"/>
    <s v="xxxx-xxxx-xxxx-1588"/>
    <d v="2024-01-02T00:00:00"/>
    <s v="PAYMENT RECEIVED THANK YOU"/>
    <n v="30.26"/>
    <x v="1"/>
    <x v="1"/>
    <x v="16"/>
  </r>
  <r>
    <s v="ASB"/>
    <s v="Credit"/>
    <s v="xxxx-xxxx-xxxx-1588"/>
    <d v="2024-01-02T00:00:00"/>
    <s v="ZLR MOBO MOGA Melbourne Air 18.25 AUSTRALIAN DOLLAR at a Conversion Rate  of 0.9259 (NZ$19.71)"/>
    <n v="-3.99"/>
    <x v="3"/>
    <x v="6"/>
    <x v="6"/>
  </r>
  <r>
    <s v="ASB"/>
    <s v="Credit"/>
    <s v="xxxx-xxxx-xxxx-1588"/>
    <d v="2024-01-02T00:00:00"/>
    <s v="OFFSHORE SERVICE MARGINS"/>
    <n v="-0.52"/>
    <x v="5"/>
    <x v="7"/>
    <x v="7"/>
  </r>
  <r>
    <s v="ASB"/>
    <s v="Credit"/>
    <s v="xxxx-xxxx-xxxx-1588"/>
    <d v="2024-01-02T00:00:00"/>
    <s v="WOOLWORTHS/GOLD COAST HWY SURFERS PDISE 4.80 AUSTRALIAN DOLLAR at a Conversion Rate  of 0.9266 (NZ$5.18)"/>
    <n v="-4.04"/>
    <x v="0"/>
    <x v="0"/>
    <x v="0"/>
  </r>
  <r>
    <s v="ASB"/>
    <s v="Credit"/>
    <s v="xxxx-xxxx-xxxx-1588"/>
    <d v="2024-01-02T00:00:00"/>
    <s v="OFFSHORE SERVICE MARGINS"/>
    <n v="-7.0000000000000007E-2"/>
    <x v="5"/>
    <x v="7"/>
    <x v="7"/>
  </r>
  <r>
    <s v="ASB"/>
    <s v="Credit"/>
    <s v="xxxx-xxxx-xxxx-1588"/>
    <d v="2024-01-03T00:00:00"/>
    <s v="PAYMENT RECEIVED THANK YOU"/>
    <n v="30.17"/>
    <x v="1"/>
    <x v="1"/>
    <x v="16"/>
  </r>
  <r>
    <s v="ASB"/>
    <s v="Credit"/>
    <s v="xxxx-xxxx-xxxx-1588"/>
    <d v="2024-01-03T00:00:00"/>
    <s v="PAYMENT RECEIVED THANK YOU"/>
    <n v="42.85"/>
    <x v="1"/>
    <x v="1"/>
    <x v="16"/>
  </r>
  <r>
    <s v="ASB"/>
    <s v="Credit"/>
    <s v="xxxx-xxxx-xxxx-1588"/>
    <d v="2024-01-02T00:00:00"/>
    <s v="CHEMIST WAREHOUSE WERRIBEE 22.49 AUSTRALIAN DOLLAR at a Conversion Rate  of 0.9259 (NZ$24.29)"/>
    <n v="-18.510000000000002"/>
    <x v="0"/>
    <x v="0"/>
    <x v="0"/>
  </r>
  <r>
    <s v="ASB"/>
    <s v="Credit"/>
    <s v="xxxx-xxxx-xxxx-1588"/>
    <d v="2024-01-02T00:00:00"/>
    <s v="OFFSHORE SERVICE MARGINS"/>
    <n v="-0.31"/>
    <x v="5"/>
    <x v="7"/>
    <x v="7"/>
  </r>
  <r>
    <s v="ASB"/>
    <s v="Credit"/>
    <s v="xxxx-xxxx-xxxx-1588"/>
    <d v="2024-01-02T00:00:00"/>
    <s v="DUMPLING NOODLE CIRC SURFERS PARAD 38.00 AUSTRALIAN DOLLAR at a Conversion Rate  of 0.9259 (NZ$41.04)"/>
    <n v="-34.700000000000003"/>
    <x v="3"/>
    <x v="8"/>
    <x v="8"/>
  </r>
  <r>
    <s v="ASB"/>
    <s v="Credit"/>
    <s v="xxxx-xxxx-xxxx-1588"/>
    <d v="2024-01-02T00:00:00"/>
    <s v="OFFSHORE SERVICE MARGINS"/>
    <n v="-0.83"/>
    <x v="5"/>
    <x v="7"/>
    <x v="7"/>
  </r>
  <r>
    <s v="ASB"/>
    <s v="Credit"/>
    <s v="xxxx-xxxx-xxxx-1588"/>
    <d v="2024-01-03T00:00:00"/>
    <s v="WOOLWORTHS/GOLD COAST HWY SURFERS PDISE 20.61 AUSTRALIAN DOLLAR at a Conversion Rate  of 0.9234 (NZ$22.32)"/>
    <n v="-4.88"/>
    <x v="0"/>
    <x v="0"/>
    <x v="0"/>
  </r>
  <r>
    <s v="ASB"/>
    <s v="Credit"/>
    <s v="xxxx-xxxx-xxxx-1588"/>
    <d v="2024-01-03T00:00:00"/>
    <s v="OFFSHORE SERVICE MARGINS"/>
    <n v="-0.16"/>
    <x v="5"/>
    <x v="7"/>
    <x v="7"/>
  </r>
  <r>
    <s v="ASB"/>
    <s v="Credit"/>
    <s v="xxxx-xxxx-xxxx-1588"/>
    <d v="2024-01-04T00:00:00"/>
    <s v="PAYMENT RECEIVED THANK YOU"/>
    <n v="27.94"/>
    <x v="1"/>
    <x v="1"/>
    <x v="16"/>
  </r>
  <r>
    <s v="ASB"/>
    <s v="Credit"/>
    <s v="xxxx-xxxx-xxxx-1588"/>
    <d v="2024-01-04T00:00:00"/>
    <s v="PAYMENT RECEIVED THANK YOU"/>
    <n v="11.15"/>
    <x v="1"/>
    <x v="1"/>
    <x v="16"/>
  </r>
  <r>
    <s v="ASB"/>
    <s v="Credit"/>
    <s v="xxxx-xxxx-xxxx-1588"/>
    <d v="2024-01-03T00:00:00"/>
    <s v="DBS Jetts Remuera North Harbour"/>
    <n v="-14.22"/>
    <x v="3"/>
    <x v="14"/>
    <x v="17"/>
  </r>
  <r>
    <s v="ASB"/>
    <s v="Credit"/>
    <s v="xxxx-xxxx-xxxx-1588"/>
    <d v="2024-01-02T00:00:00"/>
    <s v="DELAWARE NORTH RETAI MELBOURNE AIR 15.20 AUSTRALIAN DOLLAR at a Conversion Rate  of 0.9263 (NZ$16.41)"/>
    <n v="-12.82"/>
    <x v="0"/>
    <x v="0"/>
    <x v="0"/>
  </r>
  <r>
    <s v="ASB"/>
    <s v="Credit"/>
    <s v="xxxx-xxxx-xxxx-1588"/>
    <d v="2024-01-02T00:00:00"/>
    <s v="OFFSHORE SERVICE MARGINS"/>
    <n v="-7.0000000000000007E-2"/>
    <x v="5"/>
    <x v="7"/>
    <x v="7"/>
  </r>
  <r>
    <s v="ASB"/>
    <s v="Credit"/>
    <s v="xxxx-xxxx-xxxx-1588"/>
    <d v="2024-01-03T00:00:00"/>
    <s v="DUMPLING NOODLE CIRC SURFERS PARAD 3.55 AUSTRALIAN DOLLAR at a Conversion Rate  of 0.9221 (NZ$3.85)"/>
    <n v="-2.67"/>
    <x v="3"/>
    <x v="8"/>
    <x v="8"/>
  </r>
  <r>
    <s v="ASB"/>
    <s v="Credit"/>
    <s v="xxxx-xxxx-xxxx-1588"/>
    <d v="2024-01-03T00:00:00"/>
    <s v="OFFSHORE SERVICE MARGINS"/>
    <n v="-7.0000000000000007E-2"/>
    <x v="5"/>
    <x v="7"/>
    <x v="7"/>
  </r>
  <r>
    <s v="ASB"/>
    <s v="Credit"/>
    <s v="xxxx-xxxx-xxxx-1588"/>
    <d v="2024-01-05T00:00:00"/>
    <s v="PAYMENT RECEIVED THANK YOU"/>
    <n v="6.57"/>
    <x v="1"/>
    <x v="1"/>
    <x v="16"/>
  </r>
  <r>
    <s v="ASB"/>
    <s v="Credit"/>
    <s v="xxxx-xxxx-xxxx-1588"/>
    <d v="2024-01-03T00:00:00"/>
    <s v="Hungry Jacks Surfers Parad 18.20 AUSTRALIAN DOLLAR at a Conversion Rate  of 0.9234 (NZ$19.71)"/>
    <n v="-18.63"/>
    <x v="3"/>
    <x v="8"/>
    <x v="8"/>
  </r>
  <r>
    <s v="ASB"/>
    <s v="Credit"/>
    <s v="xxxx-xxxx-xxxx-1588"/>
    <d v="2024-01-03T00:00:00"/>
    <s v="OFFSHORE SERVICE MARGINS"/>
    <n v="-0.41"/>
    <x v="5"/>
    <x v="7"/>
    <x v="7"/>
  </r>
  <r>
    <s v="ASB"/>
    <s v="Credit"/>
    <s v="xxxx-xxxx-xxxx-1588"/>
    <d v="2024-01-03T00:00:00"/>
    <s v="SMP Dominos  Surfers S Surfers Parad 15.23 AUSTRALIAN DOLLAR at a Conversion Rate  of 0.9230 (NZ$16.50)"/>
    <n v="-0.15"/>
    <x v="3"/>
    <x v="8"/>
    <x v="8"/>
  </r>
  <r>
    <s v="ASB"/>
    <s v="Credit"/>
    <s v="xxxx-xxxx-xxxx-1588"/>
    <d v="2024-01-03T00:00:00"/>
    <s v="OFFSHORE SERVICE MARGINS"/>
    <n v="-7.0000000000000007E-2"/>
    <x v="5"/>
    <x v="7"/>
    <x v="7"/>
  </r>
  <r>
    <s v="ASB"/>
    <s v="Credit"/>
    <s v="xxxx-xxxx-xxxx-1588"/>
    <d v="2024-01-04T00:00:00"/>
    <s v="SQ  SAIGON BAGUETTE Surfers Parad 10.00 AUSTRALIAN DOLLAR at a Conversion Rate  of 0.9225 (NZ$10.84)"/>
    <n v="-9.32"/>
    <x v="0"/>
    <x v="0"/>
    <x v="0"/>
  </r>
  <r>
    <s v="ASB"/>
    <s v="Credit"/>
    <s v="xxxx-xxxx-xxxx-1588"/>
    <d v="2024-01-04T00:00:00"/>
    <s v="OFFSHORE SERVICE MARGINS"/>
    <n v="-0.14000000000000001"/>
    <x v="5"/>
    <x v="7"/>
    <x v="7"/>
  </r>
  <r>
    <s v="ASB"/>
    <s v="Credit"/>
    <s v="xxxx-xxxx-xxxx-1588"/>
    <d v="2024-01-06T00:00:00"/>
    <s v="PAYMENT RECEIVED THANK YOU"/>
    <n v="0.36"/>
    <x v="1"/>
    <x v="1"/>
    <x v="16"/>
  </r>
  <r>
    <s v="ASB"/>
    <s v="Credit"/>
    <s v="xxxx-xxxx-xxxx-1588"/>
    <d v="2024-01-06T00:00:00"/>
    <s v="TGI FRIDAYS SURFERS P Surfers Parad 66.59 AUSTRALIAN DOLLAR at a Conversion Rate  of 0.9280 (NZ$71.76)"/>
    <n v="-106.53"/>
    <x v="9"/>
    <x v="18"/>
    <x v="30"/>
  </r>
  <r>
    <s v="ASB"/>
    <s v="Credit"/>
    <s v="xxxx-xxxx-xxxx-1588"/>
    <d v="2024-01-06T00:00:00"/>
    <s v="OFFSHORE SERVICE MARGINS"/>
    <n v="-0.73"/>
    <x v="5"/>
    <x v="7"/>
    <x v="7"/>
  </r>
  <r>
    <s v="ASB"/>
    <s v="Credit"/>
    <s v="xxxx-xxxx-xxxx-1588"/>
    <d v="2024-01-07T00:00:00"/>
    <s v="PAYMENT RECEIVED THANK YOU"/>
    <n v="251.16"/>
    <x v="1"/>
    <x v="1"/>
    <x v="16"/>
  </r>
  <r>
    <s v="ASB"/>
    <s v="Credit"/>
    <s v="xxxx-xxxx-xxxx-1588"/>
    <d v="2024-01-06T00:00:00"/>
    <s v="CASTAWAY COFFEE BAR SURFERS PARAD 8.13 AUSTRALIAN DOLLAR at a Conversion Rate  of 0.9281 (NZ$8.76)"/>
    <n v="-11.95"/>
    <x v="3"/>
    <x v="8"/>
    <x v="8"/>
  </r>
  <r>
    <s v="ASB"/>
    <s v="Credit"/>
    <s v="xxxx-xxxx-xxxx-1588"/>
    <d v="2024-01-06T00:00:00"/>
    <s v="OFFSHORE SERVICE MARGINS"/>
    <n v="-0.21"/>
    <x v="5"/>
    <x v="7"/>
    <x v="7"/>
  </r>
  <r>
    <s v="ASB"/>
    <s v="Credit"/>
    <s v="xxxx-xxxx-xxxx-1588"/>
    <d v="2024-01-06T00:00:00"/>
    <s v="SURFERS PARADISE MID SURFERS PARAD 14.99 AUSTRALIAN DOLLAR at a Conversion Rate  of 0.9282 (NZ$16.15)"/>
    <n v="-20.66"/>
    <x v="3"/>
    <x v="8"/>
    <x v="8"/>
  </r>
  <r>
    <s v="ASB"/>
    <s v="Credit"/>
    <s v="xxxx-xxxx-xxxx-1588"/>
    <d v="2024-01-06T00:00:00"/>
    <s v="OFFSHORE SERVICE MARGINS"/>
    <n v="-0.17"/>
    <x v="5"/>
    <x v="7"/>
    <x v="7"/>
  </r>
  <r>
    <s v="ASB"/>
    <s v="Credit"/>
    <s v="xxxx-xxxx-xxxx-1588"/>
    <d v="2024-01-08T00:00:00"/>
    <s v="PAYMENT RECEIVED THANK YOU"/>
    <n v="1.32"/>
    <x v="1"/>
    <x v="1"/>
    <x v="16"/>
  </r>
  <r>
    <s v="ASB"/>
    <s v="Credit"/>
    <s v="xxxx-xxxx-xxxx-1588"/>
    <d v="2024-01-06T00:00:00"/>
    <s v="SHIRAZ PERSIAN RESTAUR SURFERS PARAD 96.33 AUSTRALIAN DOLLAR at a Conversion Rate  of 0.9279 (NZ$103.81)"/>
    <n v="-104.32"/>
    <x v="3"/>
    <x v="8"/>
    <x v="8"/>
  </r>
  <r>
    <s v="ASB"/>
    <s v="Credit"/>
    <s v="xxxx-xxxx-xxxx-1588"/>
    <d v="2024-01-06T00:00:00"/>
    <s v="OFFSHORE SERVICE MARGINS"/>
    <n v="-0.94"/>
    <x v="5"/>
    <x v="7"/>
    <x v="7"/>
  </r>
  <r>
    <s v="ASB"/>
    <s v="Credit"/>
    <s v="xxxx-xxxx-xxxx-1588"/>
    <d v="2024-01-09T00:00:00"/>
    <s v="PAYMENT RECEIVED THANK YOU"/>
    <n v="0.73"/>
    <x v="1"/>
    <x v="1"/>
    <x v="16"/>
  </r>
  <r>
    <s v="ASB"/>
    <s v="Credit"/>
    <s v="xxxx-xxxx-xxxx-1588"/>
    <d v="2024-01-09T00:00:00"/>
    <s v="Kogan.com K7C4HDDZ Auckland"/>
    <n v="-2.61"/>
    <x v="4"/>
    <x v="12"/>
    <x v="12"/>
  </r>
  <r>
    <s v="ASB"/>
    <s v="Credit"/>
    <s v="xxxx-xxxx-xxxx-1588"/>
    <d v="2024-01-08T00:00:00"/>
    <s v="GST Tourist Refund Sydney"/>
    <n v="7.37"/>
    <x v="3"/>
    <x v="6"/>
    <x v="6"/>
  </r>
  <r>
    <s v="ASB"/>
    <s v="Credit"/>
    <s v="xxxx-xxxx-xxxx-1588"/>
    <d v="2024-01-09T00:00:00"/>
    <s v="PAYMENT RECEIVED THANK YOU"/>
    <n v="1.01"/>
    <x v="1"/>
    <x v="1"/>
    <x v="16"/>
  </r>
  <r>
    <s v="ASB"/>
    <s v="Credit"/>
    <s v="xxxx-xxxx-xxxx-1588"/>
    <d v="2024-01-10T00:00:00"/>
    <s v="PAYMENT RECEIVED THANK YOU"/>
    <n v="0.69"/>
    <x v="1"/>
    <x v="1"/>
    <x v="16"/>
  </r>
  <r>
    <s v="ASB"/>
    <s v="Credit"/>
    <s v="xxxx-xxxx-xxxx-1588"/>
    <d v="2024-01-10T00:00:00"/>
    <s v="DBS Jetts Remuera North Harbour"/>
    <n v="-4.74"/>
    <x v="3"/>
    <x v="14"/>
    <x v="17"/>
  </r>
  <r>
    <s v="ASB"/>
    <s v="Credit"/>
    <s v="xxxx-xxxx-xxxx-1588"/>
    <d v="2024-01-12T00:00:00"/>
    <s v="Washpod 06 Mt Wellington"/>
    <n v="-21.88"/>
    <x v="0"/>
    <x v="0"/>
    <x v="0"/>
  </r>
  <r>
    <s v="ASB"/>
    <s v="Credit"/>
    <s v="xxxx-xxxx-xxxx-1588"/>
    <d v="2024-01-12T00:00:00"/>
    <s v="GULL MARUA ROAD AUCKLAND"/>
    <n v="-18.55"/>
    <x v="6"/>
    <x v="9"/>
    <x v="14"/>
  </r>
  <r>
    <s v="ASB"/>
    <s v="Credit"/>
    <s v="xxxx-xxxx-xxxx-1588"/>
    <d v="2024-01-12T00:00:00"/>
    <s v="PAYMENT RECEIVED THANK YOU"/>
    <n v="23.88"/>
    <x v="1"/>
    <x v="1"/>
    <x v="16"/>
  </r>
  <r>
    <s v="ASB"/>
    <s v="Credit"/>
    <s v="xxxx-xxxx-xxxx-1588"/>
    <d v="2024-01-15T00:00:00"/>
    <s v="BAT (NEW ZEALAND) LIMITED VENDOR_INVOIC"/>
    <n v="-102.75"/>
    <x v="3"/>
    <x v="3"/>
    <x v="28"/>
  </r>
  <r>
    <s v="ASB"/>
    <s v="Credit"/>
    <s v="xxxx-xxxx-xxxx-1588"/>
    <d v="2024-01-16T00:00:00"/>
    <s v="PAYMENT RECEIVED THANK YOU"/>
    <n v="44.43"/>
    <x v="1"/>
    <x v="1"/>
    <x v="16"/>
  </r>
  <r>
    <s v="ASB"/>
    <s v="Credit"/>
    <s v="xxxx-xxxx-xxxx-1588"/>
    <d v="2024-01-16T00:00:00"/>
    <s v="PAYMENT RECEIVED THANK YOU"/>
    <n v="2.84"/>
    <x v="1"/>
    <x v="1"/>
    <x v="16"/>
  </r>
  <r>
    <s v="ASB"/>
    <s v="Credit"/>
    <s v="xxxx-xxxx-xxxx-1588"/>
    <d v="2024-01-16T00:00:00"/>
    <s v="HARRIS ROAD SUPERETT AUCKLAND"/>
    <n v="-12.76"/>
    <x v="0"/>
    <x v="0"/>
    <x v="0"/>
  </r>
  <r>
    <s v="ASB"/>
    <s v="Credit"/>
    <s v="xxxx-xxxx-xxxx-1588"/>
    <d v="2024-01-16T00:00:00"/>
    <s v="RIPE DELI EPSOM AUCKLAND"/>
    <n v="-1.64"/>
    <x v="0"/>
    <x v="0"/>
    <x v="0"/>
  </r>
  <r>
    <s v="ASB"/>
    <s v="Credit"/>
    <s v="xxxx-xxxx-xxxx-1588"/>
    <d v="2024-01-17T00:00:00"/>
    <s v="PAYMENT RECEIVED THANK YOU"/>
    <n v="11.52"/>
    <x v="1"/>
    <x v="1"/>
    <x v="16"/>
  </r>
  <r>
    <s v="ASB"/>
    <s v="Credit"/>
    <s v="xxxx-xxxx-xxxx-1588"/>
    <d v="2024-01-17T00:00:00"/>
    <s v="DBS Jetts Remuera North Harbour"/>
    <n v="-1.74"/>
    <x v="3"/>
    <x v="14"/>
    <x v="17"/>
  </r>
  <r>
    <s v="ASB"/>
    <s v="Credit"/>
    <s v="xxxx-xxxx-xxxx-1588"/>
    <d v="2024-01-19T00:00:00"/>
    <s v="PAYMENT RECEIVED THANK YOU"/>
    <n v="40.380000000000003"/>
    <x v="1"/>
    <x v="1"/>
    <x v="16"/>
  </r>
  <r>
    <s v="ASB"/>
    <s v="Credit"/>
    <s v="xxxx-xxxx-xxxx-1588"/>
    <d v="2024-01-23T00:00:00"/>
    <s v="PAYMENT RECEIVED THANK YOU"/>
    <n v="11.52"/>
    <x v="1"/>
    <x v="1"/>
    <x v="16"/>
  </r>
  <r>
    <s v="ASB"/>
    <s v="Credit"/>
    <s v="xxxx-xxxx-xxxx-1588"/>
    <d v="2024-01-25T00:00:00"/>
    <s v="PAYMENT RECEIVED THANK YOU"/>
    <n v="0.17"/>
    <x v="1"/>
    <x v="1"/>
    <x v="16"/>
  </r>
  <r>
    <s v="ASB"/>
    <s v="Credit"/>
    <s v="xxxx-xxxx-xxxx-1588"/>
    <d v="2024-01-24T00:00:00"/>
    <s v="DBS Jetts Remuera North Harbour"/>
    <n v="-3.14"/>
    <x v="3"/>
    <x v="14"/>
    <x v="17"/>
  </r>
  <r>
    <s v="ASB"/>
    <s v="Credit"/>
    <s v="xxxx-xxxx-xxxx-1588"/>
    <d v="2024-01-26T00:00:00"/>
    <s v="PAYMENT RECEIVED THANK YOU"/>
    <n v="19.5"/>
    <x v="1"/>
    <x v="1"/>
    <x v="16"/>
  </r>
  <r>
    <s v="ASB"/>
    <s v="Credit"/>
    <s v="xxxx-xxxx-xxxx-1588"/>
    <d v="2024-01-26T00:00:00"/>
    <s v="PAYMENT RECEIVED THANK YOU"/>
    <n v="10.89"/>
    <x v="1"/>
    <x v="1"/>
    <x v="16"/>
  </r>
  <r>
    <s v="ASB"/>
    <s v="Credit"/>
    <s v="xxxx-xxxx-xxxx-1588"/>
    <d v="2024-01-26T00:00:00"/>
    <s v="HESARI BAKERY LIMITED AUCKLAND"/>
    <n v="-6.23"/>
    <x v="0"/>
    <x v="0"/>
    <x v="0"/>
  </r>
  <r>
    <s v="ASB"/>
    <s v="Credit"/>
    <s v="xxxx-xxxx-xxxx-1588"/>
    <d v="2024-01-30T00:00:00"/>
    <s v="PAYMENT RECEIVED THANK YOU"/>
    <n v="6.06"/>
    <x v="1"/>
    <x v="1"/>
    <x v="16"/>
  </r>
  <r>
    <s v="ASB"/>
    <s v="Credit"/>
    <s v="xxxx-xxxx-xxxx-1588"/>
    <d v="2024-02-01T00:00:00"/>
    <s v="PAYMENT RECEIVED THANK YOU"/>
    <n v="4.76"/>
    <x v="1"/>
    <x v="1"/>
    <x v="16"/>
  </r>
  <r>
    <s v="ASB"/>
    <s v="Credit"/>
    <s v="xxxx-xxxx-xxxx-1588"/>
    <d v="2024-01-31T00:00:00"/>
    <s v="DBS Jetts Remuera North Harbour"/>
    <n v="-3.05"/>
    <x v="3"/>
    <x v="14"/>
    <x v="17"/>
  </r>
  <r>
    <s v="ASB"/>
    <s v="Credit"/>
    <s v="xxxx-xxxx-xxxx-1588"/>
    <d v="2024-02-02T00:00:00"/>
    <s v="PAYMENT RECEIVED THANK YOU"/>
    <n v="38.799999999999997"/>
    <x v="1"/>
    <x v="1"/>
    <x v="16"/>
  </r>
  <r>
    <s v="ASB"/>
    <s v="Credit"/>
    <s v="xxxx-xxxx-xxxx-1588"/>
    <d v="2024-02-04T00:00:00"/>
    <s v="PAYMENT RECEIVED THANK YOU"/>
    <n v="107.76"/>
    <x v="1"/>
    <x v="1"/>
    <x v="16"/>
  </r>
  <r>
    <s v="ASB"/>
    <s v="Credit"/>
    <s v="xxxx-xxxx-xxxx-1588"/>
    <d v="2024-02-04T00:00:00"/>
    <s v="GULL MARUA ROAD AUCKLAND"/>
    <n v="-179.23"/>
    <x v="6"/>
    <x v="9"/>
    <x v="14"/>
  </r>
  <r>
    <s v="ASB"/>
    <s v="Credit"/>
    <s v="xxxx-xxxx-xxxx-1588"/>
    <d v="2024-02-05T00:00:00"/>
    <s v="VICTORY CHRISTIAN CHURCH AUCKLAND"/>
    <n v="-9.2200000000000006"/>
    <x v="6"/>
    <x v="9"/>
    <x v="21"/>
  </r>
  <r>
    <s v="ASB"/>
    <s v="Credit"/>
    <s v="xxxx-xxxx-xxxx-1588"/>
    <d v="2024-02-06T00:00:00"/>
    <s v="PAYMENT RECEIVED THANK YOU"/>
    <n v="42.55"/>
    <x v="1"/>
    <x v="1"/>
    <x v="16"/>
  </r>
  <r>
    <s v="ASB"/>
    <s v="Credit"/>
    <s v="xxxx-xxxx-xxxx-1588"/>
    <d v="2024-02-08T00:00:00"/>
    <s v="VICTORY CHRISTIAN CHURCH AUCKLAND"/>
    <n v="-7.34"/>
    <x v="6"/>
    <x v="9"/>
    <x v="21"/>
  </r>
  <r>
    <s v="ASB"/>
    <s v="Credit"/>
    <s v="xxxx-xxxx-xxxx-1588"/>
    <d v="2024-02-08T00:00:00"/>
    <s v="PAYMENT RECEIVED THANK YOU"/>
    <n v="15.29"/>
    <x v="1"/>
    <x v="1"/>
    <x v="16"/>
  </r>
  <r>
    <s v="ASB"/>
    <s v="Credit"/>
    <s v="xxxx-xxxx-xxxx-1588"/>
    <d v="2024-02-07T00:00:00"/>
    <s v="DBS Jetts Remuera North Harbour"/>
    <n v="-13.96"/>
    <x v="3"/>
    <x v="14"/>
    <x v="17"/>
  </r>
  <r>
    <s v="ASB"/>
    <s v="Credit"/>
    <s v="xxxx-xxxx-xxxx-1588"/>
    <d v="2024-02-08T00:00:00"/>
    <s v="PAYMENT RECEIVED THANK YOU"/>
    <n v="20.51"/>
    <x v="1"/>
    <x v="1"/>
    <x v="16"/>
  </r>
  <r>
    <s v="ASB"/>
    <s v="Credit"/>
    <s v="xxxx-xxxx-xxxx-1588"/>
    <d v="2024-02-09T00:00:00"/>
    <s v="PAYMENT RECEIVED THANK YOU"/>
    <n v="34.75"/>
    <x v="1"/>
    <x v="1"/>
    <x v="16"/>
  </r>
  <r>
    <s v="ASB"/>
    <s v="Credit"/>
    <s v="xxxx-xxxx-xxxx-1588"/>
    <d v="2024-02-13T00:00:00"/>
    <s v="PAYMENT RECEIVED THANK YOU"/>
    <n v="18.600000000000001"/>
    <x v="1"/>
    <x v="1"/>
    <x v="16"/>
  </r>
  <r>
    <s v="ASB"/>
    <s v="Credit"/>
    <s v="xxxx-xxxx-xxxx-1588"/>
    <d v="2024-02-15T00:00:00"/>
    <s v="VICTORY CHRISTIAN CHURCH AUCKLAND"/>
    <n v="-22.75"/>
    <x v="6"/>
    <x v="9"/>
    <x v="21"/>
  </r>
  <r>
    <s v="ASB"/>
    <s v="Credit"/>
    <s v="xxxx-xxxx-xxxx-1588"/>
    <d v="2024-02-14T00:00:00"/>
    <s v="DBS Jetts Remuera North Harbour"/>
    <n v="-2.63"/>
    <x v="3"/>
    <x v="14"/>
    <x v="17"/>
  </r>
  <r>
    <s v="ASB"/>
    <s v="Credit"/>
    <s v="xxxx-xxxx-xxxx-1588"/>
    <d v="2024-02-15T00:00:00"/>
    <s v="PAYMENT RECEIVED THANK YOU"/>
    <n v="21.61"/>
    <x v="1"/>
    <x v="1"/>
    <x v="16"/>
  </r>
  <r>
    <s v="ASB"/>
    <s v="Credit"/>
    <s v="xxxx-xxxx-xxxx-1588"/>
    <d v="2024-02-16T00:00:00"/>
    <s v="PAYMENT RECEIVED THANK YOU"/>
    <n v="30.14"/>
    <x v="1"/>
    <x v="1"/>
    <x v="16"/>
  </r>
  <r>
    <s v="ASB"/>
    <s v="Credit"/>
    <s v="xxxx-xxxx-xxxx-1588"/>
    <d v="2024-02-16T00:00:00"/>
    <s v="PAYMENT RECEIVED THANK YOU"/>
    <n v="19.760000000000002"/>
    <x v="1"/>
    <x v="1"/>
    <x v="16"/>
  </r>
  <r>
    <s v="ASB"/>
    <s v="Credit"/>
    <s v="xxxx-xxxx-xxxx-1588"/>
    <d v="2024-02-16T00:00:00"/>
    <s v="EB  Succeed in Propert 801-413-7200"/>
    <n v="-38.06"/>
    <x v="3"/>
    <x v="3"/>
    <x v="3"/>
  </r>
  <r>
    <s v="ASB"/>
    <s v="Credit"/>
    <s v="xxxx-xxxx-xxxx-1588"/>
    <d v="2024-02-16T00:00:00"/>
    <s v="VICTORY CHRISTIAN CHURCH AUCKLAND"/>
    <n v="-22.82"/>
    <x v="6"/>
    <x v="9"/>
    <x v="21"/>
  </r>
  <r>
    <s v="ASB"/>
    <s v="Credit"/>
    <s v="xxxx-xxxx-xxxx-1588"/>
    <d v="2024-02-16T00:00:00"/>
    <s v="PAYMENT RECEIVED THANK YOU"/>
    <n v="24.77"/>
    <x v="1"/>
    <x v="1"/>
    <x v="16"/>
  </r>
  <r>
    <s v="ASB"/>
    <s v="Credit"/>
    <s v="xxxx-xxxx-xxxx-1588"/>
    <d v="2024-02-18T00:00:00"/>
    <s v="Pakihi Marine Farms Papakura"/>
    <n v="-1.64"/>
    <x v="0"/>
    <x v="0"/>
    <x v="0"/>
  </r>
  <r>
    <s v="ASB"/>
    <s v="Credit"/>
    <s v="xxxx-xxxx-xxxx-1588"/>
    <d v="2024-02-18T00:00:00"/>
    <s v="Pakihi Marine Farms Papakura"/>
    <n v="-23.97"/>
    <x v="0"/>
    <x v="0"/>
    <x v="0"/>
  </r>
  <r>
    <s v="ASB"/>
    <s v="Credit"/>
    <s v="xxxx-xxxx-xxxx-1588"/>
    <d v="2024-02-18T00:00:00"/>
    <s v="PAYMENT RECEIVED THANK YOU"/>
    <n v="173.08"/>
    <x v="1"/>
    <x v="1"/>
    <x v="16"/>
  </r>
  <r>
    <s v="ASB"/>
    <s v="Credit"/>
    <s v="xxxx-xxxx-xxxx-1588"/>
    <d v="2024-02-18T00:00:00"/>
    <s v="Z Karaka Papakura"/>
    <n v="-164.78"/>
    <x v="6"/>
    <x v="9"/>
    <x v="14"/>
  </r>
  <r>
    <s v="ASB"/>
    <s v="Credit"/>
    <s v="xxxx-xxxx-xxxx-1588"/>
    <d v="2024-02-18T00:00:00"/>
    <s v="DR BUCHA'S LIVING DRINKS KATIKATI"/>
    <n v="-13.31"/>
    <x v="3"/>
    <x v="8"/>
    <x v="8"/>
  </r>
  <r>
    <s v="ASB"/>
    <s v="Credit"/>
    <s v="xxxx-xxxx-xxxx-1588"/>
    <d v="2024-02-19T00:00:00"/>
    <s v="BAT (NEW ZEALAND) LIMITED VENDOR_INVOIC"/>
    <n v="-98.29"/>
    <x v="3"/>
    <x v="3"/>
    <x v="28"/>
  </r>
  <r>
    <s v="ASB"/>
    <s v="Credit"/>
    <s v="xxxx-xxxx-xxxx-1588"/>
    <d v="2024-02-19T00:00:00"/>
    <s v="PAYMENT RECEIVED THANK YOU"/>
    <n v="6.9"/>
    <x v="1"/>
    <x v="1"/>
    <x v="16"/>
  </r>
  <r>
    <s v="ASB"/>
    <s v="Credit"/>
    <s v="xxxx-xxxx-xxxx-1588"/>
    <d v="2024-02-20T00:00:00"/>
    <s v="PAYMENT RECEIVED THANK YOU"/>
    <n v="17.86"/>
    <x v="1"/>
    <x v="1"/>
    <x v="16"/>
  </r>
  <r>
    <s v="ASB"/>
    <s v="Credit"/>
    <s v="xxxx-xxxx-xxxx-1588"/>
    <d v="2024-02-21T00:00:00"/>
    <s v="VICTORY CHRISTIAN CHURCH AUCKLAND"/>
    <n v="-27.7"/>
    <x v="6"/>
    <x v="9"/>
    <x v="21"/>
  </r>
  <r>
    <s v="ASB"/>
    <s v="Credit"/>
    <s v="xxxx-xxxx-xxxx-1588"/>
    <d v="2024-02-22T00:00:00"/>
    <s v="PAYMENT RECEIVED THANK YOU"/>
    <n v="3.59"/>
    <x v="1"/>
    <x v="1"/>
    <x v="16"/>
  </r>
  <r>
    <s v="ASB"/>
    <s v="Credit"/>
    <s v="xxxx-xxxx-xxxx-1588"/>
    <d v="2024-02-22T00:00:00"/>
    <s v="PAYMENT RECEIVED THANK YOU"/>
    <n v="39.82"/>
    <x v="1"/>
    <x v="1"/>
    <x v="16"/>
  </r>
  <r>
    <s v="ASB"/>
    <s v="Credit"/>
    <s v="xxxx-xxxx-xxxx-1588"/>
    <d v="2024-02-22T00:00:00"/>
    <s v="CHOICE RETAIL AUCKLAND"/>
    <n v="-1.05"/>
    <x v="0"/>
    <x v="0"/>
    <x v="0"/>
  </r>
  <r>
    <s v="ASB"/>
    <s v="Credit"/>
    <s v="xxxx-xxxx-xxxx-1588"/>
    <d v="2024-02-22T00:00:00"/>
    <s v="TART BAKERY AUCKLAND"/>
    <n v="-8.3699999999999992"/>
    <x v="0"/>
    <x v="0"/>
    <x v="0"/>
  </r>
  <r>
    <s v="ASB"/>
    <s v="Credit"/>
    <s v="xxxx-xxxx-xxxx-1588"/>
    <d v="2024-02-21T00:00:00"/>
    <s v="DBS Jetts Remuera North Harbour"/>
    <n v="-7.6"/>
    <x v="3"/>
    <x v="14"/>
    <x v="17"/>
  </r>
  <r>
    <s v="ASB"/>
    <s v="Credit"/>
    <s v="xxxx-xxxx-xxxx-1588"/>
    <d v="2024-02-23T00:00:00"/>
    <s v="PAYMENT RECEIVED THANK YOU"/>
    <n v="1.07"/>
    <x v="1"/>
    <x v="1"/>
    <x v="16"/>
  </r>
  <r>
    <s v="ASB"/>
    <s v="Credit"/>
    <s v="xxxx-xxxx-xxxx-1588"/>
    <d v="2024-02-24T00:00:00"/>
    <s v="VICTORY CHRISTIAN CHURCH AUCKLAND"/>
    <n v="-4.91"/>
    <x v="6"/>
    <x v="9"/>
    <x v="21"/>
  </r>
  <r>
    <s v="ASB"/>
    <s v="Credit"/>
    <s v="xxxx-xxxx-xxxx-1588"/>
    <d v="2024-02-25T00:00:00"/>
    <s v="PAYMENT RECEIVED THANK YOU"/>
    <n v="16.23"/>
    <x v="1"/>
    <x v="1"/>
    <x v="16"/>
  </r>
  <r>
    <s v="ASB"/>
    <s v="Credit"/>
    <s v="xxxx-xxxx-xxxx-1588"/>
    <d v="2024-02-27T00:00:00"/>
    <s v="PAYMENT RECEIVED THANK YOU"/>
    <n v="4.57"/>
    <x v="1"/>
    <x v="1"/>
    <x v="16"/>
  </r>
  <r>
    <s v="ASB"/>
    <s v="Credit"/>
    <s v="xxxx-xxxx-xxxx-1588"/>
    <d v="2024-02-29T00:00:00"/>
    <s v="PAYMENT RECEIVED THANK YOU"/>
    <n v="10.26"/>
    <x v="1"/>
    <x v="1"/>
    <x v="16"/>
  </r>
  <r>
    <s v="ASB"/>
    <s v="Credit"/>
    <s v="xxxx-xxxx-xxxx-1588"/>
    <d v="2024-02-29T00:00:00"/>
    <s v="PAYMENT RECEIVED THANK YOU"/>
    <n v="56.13"/>
    <x v="1"/>
    <x v="1"/>
    <x v="16"/>
  </r>
  <r>
    <s v="ASB"/>
    <s v="Credit"/>
    <s v="xxxx-xxxx-xxxx-1588"/>
    <d v="2024-02-29T00:00:00"/>
    <s v="AT Hop Auckland Ellerslie"/>
    <n v="-38.29"/>
    <x v="6"/>
    <x v="9"/>
    <x v="33"/>
  </r>
  <r>
    <s v="ASB"/>
    <s v="Credit"/>
    <s v="xxxx-xxxx-xxxx-1588"/>
    <d v="2024-02-28T00:00:00"/>
    <s v="DBS Jetts Remuera North Harbour"/>
    <n v="-5.01"/>
    <x v="3"/>
    <x v="14"/>
    <x v="17"/>
  </r>
  <r>
    <s v="ASB"/>
    <s v="Credit"/>
    <s v="xxxx-xxxx-xxxx-1588"/>
    <d v="2024-02-29T00:00:00"/>
    <s v="BAT (NEW ZEALAND) LIMITED VENDOR_INVOIC"/>
    <n v="-136.25"/>
    <x v="3"/>
    <x v="3"/>
    <x v="28"/>
  </r>
  <r>
    <s v="ASB"/>
    <s v="Credit"/>
    <s v="xxxx-xxxx-xxxx-1588"/>
    <d v="2024-02-29T00:00:00"/>
    <s v="VICTORY CHRISTIAN CHURCH AUCKLAND"/>
    <n v="-5.4"/>
    <x v="6"/>
    <x v="9"/>
    <x v="21"/>
  </r>
  <r>
    <s v="ASB"/>
    <s v="Credit"/>
    <s v="xxxx-xxxx-xxxx-1588"/>
    <d v="2024-02-29T00:00:00"/>
    <s v="VICTORY CHRISTIAN CHURCH AUCKLAND"/>
    <n v="-2.65"/>
    <x v="6"/>
    <x v="9"/>
    <x v="21"/>
  </r>
  <r>
    <s v="ASB"/>
    <s v="Credit"/>
    <s v="xxxx-xxxx-xxxx-1588"/>
    <d v="2024-03-01T00:00:00"/>
    <s v="PAYMENT RECEIVED THANK YOU"/>
    <n v="45.51"/>
    <x v="1"/>
    <x v="1"/>
    <x v="16"/>
  </r>
  <r>
    <s v="ASB"/>
    <s v="Credit"/>
    <s v="xxxx-xxxx-xxxx-1588"/>
    <d v="2024-03-01T00:00:00"/>
    <s v="PAYMENT RECEIVED THANK YOU"/>
    <n v="70.33"/>
    <x v="1"/>
    <x v="1"/>
    <x v="16"/>
  </r>
  <r>
    <s v="ASB"/>
    <s v="Credit"/>
    <s v="xxxx-xxxx-xxxx-1588"/>
    <d v="2024-03-01T00:00:00"/>
    <s v="COBRA LIQUOR AUCKLAND"/>
    <n v="-3.62"/>
    <x v="3"/>
    <x v="3"/>
    <x v="34"/>
  </r>
  <r>
    <s v="ASB"/>
    <s v="Credit"/>
    <s v="xxxx-xxxx-xxxx-1588"/>
    <d v="2024-03-02T00:00:00"/>
    <s v="PAYMENT RECEIVED THANK YOU"/>
    <n v="26.95"/>
    <x v="1"/>
    <x v="1"/>
    <x v="16"/>
  </r>
  <r>
    <s v="ASB"/>
    <s v="Credit"/>
    <s v="xxxx-xxxx-xxxx-1588"/>
    <d v="2024-03-02T00:00:00"/>
    <s v="PAYMENT RECEIVED THANK YOU"/>
    <n v="2.21"/>
    <x v="1"/>
    <x v="1"/>
    <x v="16"/>
  </r>
  <r>
    <s v="ASB"/>
    <s v="Credit"/>
    <s v="xxxx-xxxx-xxxx-1588"/>
    <d v="2024-03-02T00:00:00"/>
    <s v="GULL MARUA ROAD AUCKLAND"/>
    <n v="-30.4"/>
    <x v="6"/>
    <x v="9"/>
    <x v="14"/>
  </r>
  <r>
    <s v="ASB"/>
    <s v="Credit"/>
    <s v="xxxx-xxxx-xxxx-1588"/>
    <d v="2024-03-04T00:00:00"/>
    <s v="PAYMENT RECEIVED THANK YOU"/>
    <n v="48.26"/>
    <x v="1"/>
    <x v="1"/>
    <x v="16"/>
  </r>
  <r>
    <s v="ASB"/>
    <s v="Credit"/>
    <s v="xxxx-xxxx-xxxx-1588"/>
    <d v="2024-03-07T00:00:00"/>
    <s v="PAYMENT RECEIVED THANK YOU"/>
    <n v="39.24"/>
    <x v="1"/>
    <x v="1"/>
    <x v="16"/>
  </r>
  <r>
    <s v="ASB"/>
    <s v="Credit"/>
    <s v="xxxx-xxxx-xxxx-1588"/>
    <d v="2024-03-07T00:00:00"/>
    <s v="PAYMENT RECEIVED THANK YOU"/>
    <n v="14.42"/>
    <x v="1"/>
    <x v="1"/>
    <x v="16"/>
  </r>
  <r>
    <s v="ASB"/>
    <s v="Credit"/>
    <s v="xxxx-xxxx-xxxx-1588"/>
    <d v="2024-03-06T00:00:00"/>
    <s v="DBS Jetts Remuera North Harbour"/>
    <n v="-16.93"/>
    <x v="3"/>
    <x v="14"/>
    <x v="17"/>
  </r>
  <r>
    <s v="ASB"/>
    <s v="Credit"/>
    <s v="xxxx-xxxx-xxxx-1588"/>
    <d v="2024-03-08T00:00:00"/>
    <s v="VICTORY CHRISTIAN CHURCH AUCKLAND"/>
    <n v="-4.24"/>
    <x v="6"/>
    <x v="9"/>
    <x v="21"/>
  </r>
  <r>
    <s v="ASB"/>
    <s v="Credit"/>
    <s v="xxxx-xxxx-xxxx-1588"/>
    <d v="2024-03-08T00:00:00"/>
    <s v="VICTORY CHRISTIAN CHURCH AUCKLAND"/>
    <n v="-3.4"/>
    <x v="6"/>
    <x v="9"/>
    <x v="21"/>
  </r>
  <r>
    <s v="ASB"/>
    <s v="Credit"/>
    <s v="xxxx-xxxx-xxxx-1588"/>
    <d v="2024-03-08T00:00:00"/>
    <s v="PAYMENT RECEIVED THANK YOU"/>
    <n v="46.71"/>
    <x v="1"/>
    <x v="1"/>
    <x v="16"/>
  </r>
  <r>
    <s v="ASB"/>
    <s v="Credit"/>
    <s v="xxxx-xxxx-xxxx-1588"/>
    <d v="2024-03-09T00:00:00"/>
    <s v="PAYMENT RECEIVED THANK YOU"/>
    <n v="45.33"/>
    <x v="1"/>
    <x v="1"/>
    <x v="16"/>
  </r>
  <r>
    <s v="ASB"/>
    <s v="Credit"/>
    <s v="xxxx-xxxx-xxxx-1588"/>
    <d v="2024-03-14T00:00:00"/>
    <s v="DBS Jetts Remuera North Harbour"/>
    <n v="-12.79"/>
    <x v="3"/>
    <x v="14"/>
    <x v="17"/>
  </r>
  <r>
    <s v="ASB"/>
    <s v="Credit"/>
    <s v="xxxx-xxxx-xxxx-1588"/>
    <d v="2024-03-14T00:00:00"/>
    <s v="PAYMENT RECEIVED THANK YOU"/>
    <n v="0.19"/>
    <x v="1"/>
    <x v="1"/>
    <x v="16"/>
  </r>
  <r>
    <s v="ASB"/>
    <s v="Credit"/>
    <s v="xxxx-xxxx-xxxx-1588"/>
    <d v="2024-03-16T00:00:00"/>
    <s v="VICTORY CHRISTIAN CHURCH AUCKLAND"/>
    <n v="-10.47"/>
    <x v="6"/>
    <x v="9"/>
    <x v="21"/>
  </r>
  <r>
    <s v="ASB"/>
    <s v="Credit"/>
    <s v="xxxx-xxxx-xxxx-1588"/>
    <d v="2024-03-18T00:00:00"/>
    <s v="PAYMENT RECEIVED THANK YOU"/>
    <n v="24.1"/>
    <x v="1"/>
    <x v="1"/>
    <x v="16"/>
  </r>
  <r>
    <s v="ASB"/>
    <s v="Credit"/>
    <s v="xxxx-xxxx-xxxx-1588"/>
    <d v="2024-03-18T00:00:00"/>
    <s v="VICTORY CHRISTIAN CHURCH AUCKLAND"/>
    <n v="-19.670000000000002"/>
    <x v="6"/>
    <x v="9"/>
    <x v="21"/>
  </r>
  <r>
    <s v="ASB"/>
    <s v="Credit"/>
    <s v="xxxx-xxxx-xxxx-1588"/>
    <d v="2024-03-19T00:00:00"/>
    <s v="PAYMENT RECEIVED THANK YOU"/>
    <n v="123.59"/>
    <x v="1"/>
    <x v="1"/>
    <x v="16"/>
  </r>
  <r>
    <s v="ASB"/>
    <s v="Credit"/>
    <s v="xxxx-xxxx-xxxx-1588"/>
    <d v="2024-03-19T00:00:00"/>
    <s v="PAYMENT RECEIVED THANK YOU"/>
    <n v="23.12"/>
    <x v="1"/>
    <x v="1"/>
    <x v="16"/>
  </r>
  <r>
    <s v="ASB"/>
    <s v="Credit"/>
    <s v="xxxx-xxxx-xxxx-1588"/>
    <d v="2024-03-19T00:00:00"/>
    <s v="Forever New Sylvia Park"/>
    <n v="-201.13"/>
    <x v="9"/>
    <x v="18"/>
    <x v="30"/>
  </r>
  <r>
    <s v="ASB"/>
    <s v="Credit"/>
    <s v="xxxx-xxxx-xxxx-1588"/>
    <d v="2024-03-21T00:00:00"/>
    <s v="VICTORY CHRISTIAN CHURCH AUCKLAND"/>
    <n v="-7"/>
    <x v="6"/>
    <x v="9"/>
    <x v="21"/>
  </r>
  <r>
    <s v="ASB"/>
    <s v="Credit"/>
    <s v="xxxx-xxxx-xxxx-1588"/>
    <d v="2024-03-20T00:00:00"/>
    <s v="DBS Jetts Remuera North Harbour"/>
    <n v="-13.41"/>
    <x v="3"/>
    <x v="14"/>
    <x v="17"/>
  </r>
  <r>
    <s v="ASB"/>
    <s v="Credit"/>
    <s v="xxxx-xxxx-xxxx-1588"/>
    <d v="2024-03-22T00:00:00"/>
    <s v="PAYMENT RECEIVED THANK YOU"/>
    <n v="9.77"/>
    <x v="1"/>
    <x v="1"/>
    <x v="16"/>
  </r>
  <r>
    <s v="ASB"/>
    <s v="Credit"/>
    <s v="xxxx-xxxx-xxxx-1588"/>
    <d v="2024-03-23T00:00:00"/>
    <s v="VICTORY CHRISTIAN CHURCH AUCKLAND"/>
    <n v="-9.3699999999999992"/>
    <x v="6"/>
    <x v="9"/>
    <x v="21"/>
  </r>
  <r>
    <s v="ASB"/>
    <s v="Credit"/>
    <s v="xxxx-xxxx-xxxx-1588"/>
    <d v="2024-03-24T00:00:00"/>
    <s v="PAYMENT RECEIVED THANK YOU"/>
    <n v="2.12"/>
    <x v="1"/>
    <x v="1"/>
    <x v="16"/>
  </r>
  <r>
    <s v="ASB"/>
    <s v="Credit"/>
    <s v="xxxx-xxxx-xxxx-1588"/>
    <d v="2024-03-27T00:00:00"/>
    <s v="PAYMENT RECEIVED THANK YOU"/>
    <n v="1.63"/>
    <x v="1"/>
    <x v="1"/>
    <x v="16"/>
  </r>
  <r>
    <s v="ASB"/>
    <s v="Credit"/>
    <s v="xxxx-xxxx-xxxx-1588"/>
    <d v="2024-03-27T00:00:00"/>
    <s v="DBS Jetts Remuera North Harbour"/>
    <n v="-7.54"/>
    <x v="3"/>
    <x v="14"/>
    <x v="17"/>
  </r>
  <r>
    <s v="ASB"/>
    <s v="Credit"/>
    <s v="xxxx-xxxx-xxxx-1588"/>
    <d v="2024-03-29T00:00:00"/>
    <s v="PAYMENT RECEIVED THANK YOU"/>
    <n v="19.29"/>
    <x v="1"/>
    <x v="1"/>
    <x v="16"/>
  </r>
  <r>
    <s v="ASB"/>
    <s v="Credit"/>
    <s v="xxxx-xxxx-xxxx-1588"/>
    <d v="2024-03-30T00:00:00"/>
    <s v="VICTORY CHRISTIAN CHURCH AUCKLAND"/>
    <n v="-28.85"/>
    <x v="6"/>
    <x v="9"/>
    <x v="21"/>
  </r>
  <r>
    <s v="ANZ"/>
    <s v="Saving"/>
    <s v="06-0082-xxxx-00"/>
    <d v="2024-03-28T00:00:00"/>
    <s v="Loan Payment To: xxxx-1001         004600"/>
    <n v="-564.77"/>
    <x v="1"/>
    <x v="21"/>
    <x v="1"/>
  </r>
  <r>
    <s v="ANZ"/>
    <s v="Saving"/>
    <s v="06-0082-xxxx-00"/>
    <d v="2024-03-28T00:00:00"/>
    <s v="Loan Payment To: xxxx-1002         004600"/>
    <n v="-281.39999999999998"/>
    <x v="1"/>
    <x v="21"/>
    <x v="1"/>
  </r>
  <r>
    <s v="ANZ"/>
    <s v="Saving"/>
    <s v="06-0082-xxxx-00"/>
    <d v="2024-03-28T00:00:00"/>
    <s v="Loan Payment To: xxxx-1003         004600"/>
    <n v="-121.31"/>
    <x v="1"/>
    <x v="21"/>
    <x v="1"/>
  </r>
  <r>
    <s v="ANZ"/>
    <s v="Saving"/>
    <s v="06-0082-xxxx-00"/>
    <d v="2024-03-27T20:27:37"/>
    <s v="Payment Sam Kiwibank Sam Kiwibank  "/>
    <n v="-334.88"/>
    <x v="1"/>
    <x v="21"/>
    <x v="1"/>
  </r>
  <r>
    <s v="ANZ"/>
    <s v="Saving"/>
    <s v="06-0082-xxxx-00"/>
    <d v="2024-03-27T15:37:28"/>
    <s v="Direct Credit Bidfood Limited   Bidfood"/>
    <n v="2467"/>
    <x v="11"/>
    <x v="22"/>
    <x v="35"/>
  </r>
  <r>
    <s v="ANZ"/>
    <s v="Saving"/>
    <s v="06-0082-xxxx-00"/>
    <d v="2024-03-24T04:08:18"/>
    <s v="Automatic Payment Mj Asb Mj Asb Netflix 8Denning"/>
    <n v="-21.07"/>
    <x v="1"/>
    <x v="21"/>
    <x v="1"/>
  </r>
  <r>
    <s v="ANZ"/>
    <s v="Saving"/>
    <s v="06-0082-xxxx-00"/>
    <d v="2024-03-24T04:08:18"/>
    <s v="Automatic Payment Mj Asb Mobile Sam Skinny"/>
    <n v="-18.78"/>
    <x v="1"/>
    <x v="21"/>
    <x v="1"/>
  </r>
  <r>
    <s v="ANZ"/>
    <s v="Saving"/>
    <s v="06-0082-xxxx-00"/>
    <d v="2024-03-22T04:45:21"/>
    <s v="Payment Sam Kiwibank Sam Kiwibank  "/>
    <n v="-1740.22"/>
    <x v="1"/>
    <x v="21"/>
    <x v="1"/>
  </r>
  <r>
    <s v="ANZ"/>
    <s v="Saving"/>
    <s v="06-0082-xxxx-00"/>
    <d v="2024-03-21T00:00:00"/>
    <s v="Loan Payment To: xxxx-1001         004600"/>
    <n v="-213.98"/>
    <x v="1"/>
    <x v="21"/>
    <x v="1"/>
  </r>
  <r>
    <s v="ANZ"/>
    <s v="Saving"/>
    <s v="06-0082-xxxx-00"/>
    <d v="2024-03-21T00:00:00"/>
    <s v="Loan Payment To: xxxx-1002         004600"/>
    <n v="-88.7"/>
    <x v="1"/>
    <x v="21"/>
    <x v="1"/>
  </r>
  <r>
    <s v="ANZ"/>
    <s v="Saving"/>
    <s v="06-0082-xxxx-00"/>
    <d v="2024-03-21T00:00:00"/>
    <s v="Loan Payment To: xxxx-1003         004600"/>
    <n v="-313.13"/>
    <x v="1"/>
    <x v="21"/>
    <x v="1"/>
  </r>
  <r>
    <s v="ANZ"/>
    <s v="Saving"/>
    <s v="06-0082-xxxx-00"/>
    <d v="2024-03-20T04:14:12"/>
    <s v="Automatic Payment Mj Asb Electricity Contactenrgy Mj 8Denning"/>
    <n v="-53.98"/>
    <x v="1"/>
    <x v="21"/>
    <x v="1"/>
  </r>
  <r>
    <s v="ANZ"/>
    <s v="Saving"/>
    <s v="06-0082-xxxx-00"/>
    <d v="2024-03-20T14:38:43"/>
    <s v="Direct Credit Bidfood Limited   Bidfood"/>
    <n v="2716.76"/>
    <x v="11"/>
    <x v="22"/>
    <x v="35"/>
  </r>
  <r>
    <s v="ANZ"/>
    <s v="Saving"/>
    <s v="06-0082-xxxx-00"/>
    <d v="2024-03-18T04:08:57"/>
    <s v="Automatic Payment Mj Asb Mj 8Denning Towerhouse Insurance"/>
    <n v="-147.25"/>
    <x v="1"/>
    <x v="21"/>
    <x v="1"/>
  </r>
  <r>
    <s v="ANZ"/>
    <s v="Saving"/>
    <s v="06-0082-xxxx-00"/>
    <d v="2024-03-18T04:08:55"/>
    <s v="Automatic Payment Mj Asb 24 Panorama Tower H&amp;C Insurance"/>
    <n v="-159.11000000000001"/>
    <x v="1"/>
    <x v="21"/>
    <x v="1"/>
  </r>
  <r>
    <s v="ANZ"/>
    <s v="Saving"/>
    <s v="06-0082-xxxx-00"/>
    <d v="2024-03-18T04:08:54"/>
    <s v="Automatic Payment Mj Asb Mj 5B Tower H&amp;C Insurance"/>
    <n v="-131.54"/>
    <x v="1"/>
    <x v="21"/>
    <x v="1"/>
  </r>
  <r>
    <s v="ANZ"/>
    <s v="Saving"/>
    <s v="06-0082-xxxx-00"/>
    <d v="2024-03-15T04:08:33"/>
    <s v="Automatic Payment Mj Asb Mobile Mj Skinny"/>
    <n v="-17.63"/>
    <x v="1"/>
    <x v="21"/>
    <x v="1"/>
  </r>
  <r>
    <s v="ANZ"/>
    <s v="Saving"/>
    <s v="06-0082-xxxx-00"/>
    <d v="2024-03-14T00:00:00"/>
    <s v="Loan Payment To: xxxx-1001         004600"/>
    <n v="-538.30999999999995"/>
    <x v="1"/>
    <x v="21"/>
    <x v="1"/>
  </r>
  <r>
    <s v="ANZ"/>
    <s v="Saving"/>
    <s v="06-0082-xxxx-00"/>
    <d v="2024-03-14T00:00:00"/>
    <s v="Loan Payment To: xxxx-1002         004600"/>
    <n v="-522.65"/>
    <x v="1"/>
    <x v="21"/>
    <x v="1"/>
  </r>
  <r>
    <s v="ANZ"/>
    <s v="Saving"/>
    <s v="06-0082-xxxx-00"/>
    <d v="2024-03-14T00:00:00"/>
    <s v="Loan Payment To: xxxx-1003         004600"/>
    <n v="-274.62"/>
    <x v="1"/>
    <x v="21"/>
    <x v="1"/>
  </r>
  <r>
    <s v="ANZ"/>
    <s v="Saving"/>
    <s v="06-0082-xxxx-00"/>
    <d v="2024-03-13T04:21:49"/>
    <s v="Automatic Payment Mj Asb Aia Insurance Sammj"/>
    <n v="-108.27"/>
    <x v="1"/>
    <x v="21"/>
    <x v="1"/>
  </r>
  <r>
    <s v="ANZ"/>
    <s v="Saving"/>
    <s v="06-0082-xxxx-00"/>
    <d v="2024-03-13T21:51:44"/>
    <s v="Payment Sam Kiwibank Sam Kiwibank  "/>
    <n v="-794.95"/>
    <x v="1"/>
    <x v="21"/>
    <x v="1"/>
  </r>
  <r>
    <s v="ANZ"/>
    <s v="Saving"/>
    <s v="06-0082-xxxx-00"/>
    <d v="2024-03-13T13:36:39"/>
    <s v="Direct Credit Bidfood Limited   Bidfood"/>
    <n v="1223.25"/>
    <x v="11"/>
    <x v="22"/>
    <x v="35"/>
  </r>
  <r>
    <s v="ANZ"/>
    <s v="Saving"/>
    <s v="06-0082-xxxx-00"/>
    <d v="2024-03-07T00:00:00"/>
    <s v="Loan Payment To: xxxx-1001         004600"/>
    <n v="-133.38999999999999"/>
    <x v="1"/>
    <x v="21"/>
    <x v="1"/>
  </r>
  <r>
    <s v="ANZ"/>
    <s v="Saving"/>
    <s v="06-0082-xxxx-00"/>
    <d v="2024-03-07T00:00:00"/>
    <s v="Loan Payment To: xxxx-1002         004600"/>
    <n v="-303.25"/>
    <x v="1"/>
    <x v="21"/>
    <x v="1"/>
  </r>
  <r>
    <s v="ANZ"/>
    <s v="Saving"/>
    <s v="06-0082-xxxx-00"/>
    <d v="2024-03-07T00:00:00"/>
    <s v="Loan Payment To: xxxx-1003         004600"/>
    <n v="-167.27"/>
    <x v="1"/>
    <x v="21"/>
    <x v="1"/>
  </r>
  <r>
    <s v="ANZ"/>
    <s v="Saving"/>
    <s v="06-0082-xxxx-00"/>
    <d v="2024-03-06T04:13:32"/>
    <s v="Automatic Payment Mj Asb Water  Mj 8Denning"/>
    <n v="-8.57"/>
    <x v="1"/>
    <x v="21"/>
    <x v="1"/>
  </r>
  <r>
    <s v="ANZ"/>
    <s v="Saving"/>
    <s v="06-0082-xxxx-00"/>
    <d v="2024-03-06T04:10:24"/>
    <s v="Automatic Payment Mj Asb Mj Mobile Us Phone Sam"/>
    <n v="-18.63"/>
    <x v="1"/>
    <x v="21"/>
    <x v="1"/>
  </r>
  <r>
    <s v="ANZ"/>
    <s v="Saving"/>
    <s v="06-0082-xxxx-00"/>
    <d v="2024-03-06T15:17:18"/>
    <s v="Payment Sam Kiwibank Sam Kiwibank  "/>
    <n v="-744.69"/>
    <x v="1"/>
    <x v="21"/>
    <x v="1"/>
  </r>
  <r>
    <s v="ANZ"/>
    <s v="Saving"/>
    <s v="06-0082-xxxx-00"/>
    <d v="2024-03-06T15:17:07"/>
    <s v="Payment Mj Asb Mj Asb  "/>
    <n v="-179.22"/>
    <x v="1"/>
    <x v="21"/>
    <x v="1"/>
  </r>
  <r>
    <s v="ANZ"/>
    <s v="Saving"/>
    <s v="06-0082-xxxx-00"/>
    <d v="2024-03-06T13:37:51"/>
    <s v="Direct Credit Bidfood Limited   Bidfood"/>
    <n v="1318.59"/>
    <x v="11"/>
    <x v="22"/>
    <x v="35"/>
  </r>
  <r>
    <s v="ANZ"/>
    <s v="Saving"/>
    <s v="06-0082-xxxx-00"/>
    <d v="2024-03-04T04:09:03"/>
    <s v="Automatic Payment Mj Asb Mj 8Denning Towercontent Insurance"/>
    <n v="-64.44"/>
    <x v="1"/>
    <x v="21"/>
    <x v="1"/>
  </r>
  <r>
    <s v="ANZ"/>
    <s v="Saving"/>
    <s v="06-0082-xxxx-00"/>
    <d v="2024-03-04T04:08:27"/>
    <s v="Automatic Payment Mj Asb Mj Apple Cloud Storage"/>
    <n v="-1.66"/>
    <x v="1"/>
    <x v="21"/>
    <x v="1"/>
  </r>
  <r>
    <s v="ANZ"/>
    <s v="Saving"/>
    <s v="06-0082-xxxx-00"/>
    <d v="2024-02-29T00:00:00"/>
    <s v="Loan Payment To: xxxx-1001         004600"/>
    <n v="-422.81"/>
    <x v="1"/>
    <x v="21"/>
    <x v="1"/>
  </r>
  <r>
    <s v="ANZ"/>
    <s v="Saving"/>
    <s v="06-0082-xxxx-00"/>
    <d v="2024-02-29T00:00:00"/>
    <s v="Loan Payment To: xxxx-1002         004600"/>
    <n v="-9.5500000000000007"/>
    <x v="1"/>
    <x v="21"/>
    <x v="1"/>
  </r>
  <r>
    <s v="ANZ"/>
    <s v="Saving"/>
    <s v="06-0082-xxxx-00"/>
    <d v="2024-02-29T00:00:00"/>
    <s v="Loan Payment To: xxxx-1003         004600"/>
    <n v="-148.71"/>
    <x v="1"/>
    <x v="21"/>
    <x v="1"/>
  </r>
  <r>
    <s v="ANZ"/>
    <s v="Saving"/>
    <s v="06-0082-xxxx-00"/>
    <d v="2024-02-28T17:11:48"/>
    <s v="Payment Sam Kiwibank Sam Kiwibank  "/>
    <n v="-1539.5"/>
    <x v="1"/>
    <x v="21"/>
    <x v="1"/>
  </r>
  <r>
    <s v="ANZ"/>
    <s v="Saving"/>
    <s v="06-0082-xxxx-00"/>
    <d v="2024-02-28T14:37:13"/>
    <s v="Direct Credit Bidfood Limited   Bidfood"/>
    <n v="341.98"/>
    <x v="11"/>
    <x v="22"/>
    <x v="35"/>
  </r>
  <r>
    <s v="ANZ"/>
    <s v="Saving"/>
    <s v="06-0082-xxxx-00"/>
    <d v="2024-02-24T04:10:03"/>
    <s v="Automatic Payment Mj Asb Mj Asb Netflix 8Denning"/>
    <n v="-6.78"/>
    <x v="1"/>
    <x v="21"/>
    <x v="1"/>
  </r>
  <r>
    <s v="ANZ"/>
    <s v="Saving"/>
    <s v="06-0082-xxxx-00"/>
    <d v="2024-02-25T04:06:44"/>
    <s v="Automatic Payment Mj Asb Mobile Sam Skinny"/>
    <n v="-17.03"/>
    <x v="1"/>
    <x v="21"/>
    <x v="1"/>
  </r>
  <r>
    <s v="ANZ"/>
    <s v="Saving"/>
    <s v="06-0082-xxxx-00"/>
    <d v="2024-02-22T00:00:00"/>
    <s v="Loan Payment To: xxxx-1001         004600"/>
    <n v="-42.84"/>
    <x v="1"/>
    <x v="21"/>
    <x v="1"/>
  </r>
  <r>
    <s v="ANZ"/>
    <s v="Saving"/>
    <s v="06-0082-xxxx-00"/>
    <d v="2024-02-22T00:00:00"/>
    <s v="Loan Payment To: xxxx-1002         004600"/>
    <n v="-471.98"/>
    <x v="1"/>
    <x v="21"/>
    <x v="1"/>
  </r>
  <r>
    <s v="ANZ"/>
    <s v="Saving"/>
    <s v="06-0082-xxxx-00"/>
    <d v="2024-02-22T00:00:00"/>
    <s v="Loan Payment To: xxxx-1003         004600"/>
    <n v="-99.99"/>
    <x v="1"/>
    <x v="21"/>
    <x v="1"/>
  </r>
  <r>
    <s v="ANZ"/>
    <s v="Saving"/>
    <s v="06-0082-xxxx-00"/>
    <d v="2024-02-21T16:50:24"/>
    <s v="Payment Sam Kiwibank Sam Kiwibank  "/>
    <n v="-1166.93"/>
    <x v="1"/>
    <x v="21"/>
    <x v="1"/>
  </r>
  <r>
    <s v="ANZ"/>
    <s v="Saving"/>
    <s v="06-0082-xxxx-00"/>
    <d v="2024-02-21T16:50:36"/>
    <s v="Payment Mj Asb Mj Asb  "/>
    <n v="-94.74"/>
    <x v="1"/>
    <x v="21"/>
    <x v="1"/>
  </r>
  <r>
    <s v="ANZ"/>
    <s v="Saving"/>
    <s v="06-0082-xxxx-00"/>
    <d v="2024-02-21T15:07:21"/>
    <s v="Direct Credit Bidfood Limited   Bidfood"/>
    <n v="3430.83"/>
    <x v="11"/>
    <x v="22"/>
    <x v="35"/>
  </r>
  <r>
    <s v="ANZ"/>
    <s v="Saving"/>
    <s v="06-0082-xxxx-00"/>
    <d v="2024-02-20T04:20:34"/>
    <s v="Automatic Payment Mj Asb Electricity Contactenrgy Mj 8Denning"/>
    <n v="-151.12"/>
    <x v="1"/>
    <x v="21"/>
    <x v="1"/>
  </r>
  <r>
    <s v="ANZ"/>
    <s v="Saving"/>
    <s v="06-0082-xxxx-00"/>
    <d v="2024-02-18T04:08:22"/>
    <s v="Automatic Payment Mj Asb Mj 8Denning Towerhouse Insurance"/>
    <n v="-147.24"/>
    <x v="1"/>
    <x v="21"/>
    <x v="1"/>
  </r>
  <r>
    <s v="ANZ"/>
    <s v="Saving"/>
    <s v="06-0082-xxxx-00"/>
    <d v="2024-02-18T04:08:22"/>
    <s v="Automatic Payment Mj Asb 24 Panorama Tower H&amp;C Insurance"/>
    <n v="-98.7"/>
    <x v="1"/>
    <x v="21"/>
    <x v="1"/>
  </r>
  <r>
    <s v="ANZ"/>
    <s v="Saving"/>
    <s v="06-0082-xxxx-00"/>
    <d v="2024-02-18T04:08:21"/>
    <s v="Automatic Payment Mj Asb Mj 5B Tower H&amp;C Insurance"/>
    <n v="-99.15"/>
    <x v="1"/>
    <x v="21"/>
    <x v="1"/>
  </r>
  <r>
    <s v="ANZ"/>
    <s v="Saving"/>
    <s v="06-0082-xxxx-00"/>
    <d v="2024-02-16T04:17:20"/>
    <s v="Automatic Payment Mj Asb Mobile Mj Skinny"/>
    <n v="-11.79"/>
    <x v="1"/>
    <x v="21"/>
    <x v="1"/>
  </r>
  <r>
    <s v="ANZ"/>
    <s v="Saving"/>
    <s v="06-0082-xxxx-00"/>
    <d v="2024-02-15T00:00:00"/>
    <s v="Loan Payment To: xxxx-1001         004600"/>
    <n v="-103.14"/>
    <x v="1"/>
    <x v="21"/>
    <x v="1"/>
  </r>
  <r>
    <s v="ANZ"/>
    <s v="Saving"/>
    <s v="06-0082-xxxx-00"/>
    <d v="2024-02-15T00:00:00"/>
    <s v="Loan Payment To: xxxx-1002         004600"/>
    <n v="-474.64"/>
    <x v="1"/>
    <x v="21"/>
    <x v="1"/>
  </r>
  <r>
    <s v="ANZ"/>
    <s v="Saving"/>
    <s v="06-0082-xxxx-00"/>
    <d v="2024-02-15T00:00:00"/>
    <s v="Loan Payment To: xxxx-1003         004600"/>
    <n v="-0.33"/>
    <x v="1"/>
    <x v="21"/>
    <x v="1"/>
  </r>
  <r>
    <s v="ANZ"/>
    <s v="Saving"/>
    <s v="06-0082-xxxx-00"/>
    <d v="2024-02-15T21:42:11"/>
    <s v="Payment Sam Kiwibank Sam Kiwibank  "/>
    <n v="-104.15"/>
    <x v="1"/>
    <x v="21"/>
    <x v="1"/>
  </r>
  <r>
    <s v="ANZ"/>
    <s v="Saving"/>
    <s v="06-0082-xxxx-00"/>
    <d v="2024-02-14T14:37:04"/>
    <s v="Direct Credit Bidfood Limited   Bidfood"/>
    <n v="600.44000000000005"/>
    <x v="11"/>
    <x v="22"/>
    <x v="35"/>
  </r>
  <r>
    <s v="ANZ"/>
    <s v="Saving"/>
    <s v="06-0082-xxxx-00"/>
    <d v="2024-02-13T04:11:30"/>
    <s v="Automatic Payment Mj Asb Aia Insurance Sammj"/>
    <n v="-77.290000000000006"/>
    <x v="1"/>
    <x v="21"/>
    <x v="1"/>
  </r>
  <r>
    <s v="ANZ"/>
    <s v="Saving"/>
    <s v="06-0082-xxxx-00"/>
    <d v="2024-02-08T00:00:00"/>
    <s v="Loan Payment To: xxxx-1001         004600"/>
    <n v="-395.04"/>
    <x v="1"/>
    <x v="21"/>
    <x v="1"/>
  </r>
  <r>
    <s v="ANZ"/>
    <s v="Saving"/>
    <s v="06-0082-xxxx-00"/>
    <d v="2024-02-08T00:00:00"/>
    <s v="Loan Payment To: xxxx-1002         004600"/>
    <n v="-6.25"/>
    <x v="1"/>
    <x v="21"/>
    <x v="1"/>
  </r>
  <r>
    <s v="ANZ"/>
    <s v="Saving"/>
    <s v="06-0082-xxxx-00"/>
    <d v="2024-02-08T00:00:00"/>
    <s v="Loan Payment To: xxxx-1003         004600"/>
    <n v="-133.86000000000001"/>
    <x v="1"/>
    <x v="21"/>
    <x v="1"/>
  </r>
  <r>
    <s v="ANZ"/>
    <s v="Saving"/>
    <s v="06-0082-xxxx-00"/>
    <d v="2024-02-06T04:12:39"/>
    <s v="Automatic Payment Mj Asb Water  Mj 8Denning"/>
    <n v="-92.66"/>
    <x v="1"/>
    <x v="21"/>
    <x v="1"/>
  </r>
  <r>
    <s v="ANZ"/>
    <s v="Saving"/>
    <s v="06-0082-xxxx-00"/>
    <d v="2024-02-06T04:11:18"/>
    <s v="Automatic Payment Mj Asb Mj Mobile Us Phone Sam"/>
    <n v="-20.71"/>
    <x v="1"/>
    <x v="21"/>
    <x v="1"/>
  </r>
  <r>
    <s v="ANZ"/>
    <s v="Saving"/>
    <s v="06-0082-xxxx-00"/>
    <d v="2024-02-07T16:24:23"/>
    <s v="Payment Sam Kiwibank Sam Kiwibank  "/>
    <n v="-297.38"/>
    <x v="1"/>
    <x v="21"/>
    <x v="1"/>
  </r>
  <r>
    <s v="ANZ"/>
    <s v="Saving"/>
    <s v="06-0082-xxxx-00"/>
    <d v="2024-02-07T13:36:57"/>
    <s v="Direct Credit Bidfood Limited   Bidfood"/>
    <n v="1535.78"/>
    <x v="11"/>
    <x v="22"/>
    <x v="35"/>
  </r>
  <r>
    <s v="ANZ"/>
    <s v="Saving"/>
    <s v="06-0082-xxxx-00"/>
    <d v="2024-02-04T04:06:45"/>
    <s v="Automatic Payment Mj Asb Mj 8Denning Towercontent Insurance"/>
    <n v="-11.4"/>
    <x v="1"/>
    <x v="21"/>
    <x v="1"/>
  </r>
  <r>
    <s v="ANZ"/>
    <s v="Saving"/>
    <s v="06-0082-xxxx-00"/>
    <d v="2024-02-04T04:06:34"/>
    <s v="Automatic Payment Mj Asb Mj Apple Cloud Storage"/>
    <n v="-18.829999999999998"/>
    <x v="1"/>
    <x v="21"/>
    <x v="1"/>
  </r>
  <r>
    <s v="ANZ"/>
    <s v="Saving"/>
    <s v="06-0082-xxxx-00"/>
    <d v="2024-02-01T00:00:00"/>
    <s v="Loan Payment To: xxxx-1001         004600"/>
    <n v="-534.02"/>
    <x v="1"/>
    <x v="21"/>
    <x v="1"/>
  </r>
  <r>
    <s v="ANZ"/>
    <s v="Saving"/>
    <s v="06-0082-xxxx-00"/>
    <d v="2024-02-01T00:00:00"/>
    <s v="Loan Payment To: xxxx-1002         004600"/>
    <n v="-492.13"/>
    <x v="1"/>
    <x v="21"/>
    <x v="1"/>
  </r>
  <r>
    <s v="ANZ"/>
    <s v="Saving"/>
    <s v="06-0082-xxxx-00"/>
    <d v="2024-02-01T00:00:00"/>
    <s v="Loan Payment To: xxxx-1003         004600"/>
    <n v="-220.01"/>
    <x v="1"/>
    <x v="21"/>
    <x v="1"/>
  </r>
  <r>
    <s v="ANZ"/>
    <s v="Saving"/>
    <s v="06-0082-xxxx-00"/>
    <d v="2024-01-31T18:44:39"/>
    <s v="Payment Sam Kiwibank Sam Kiwibank  "/>
    <n v="-1100.9100000000001"/>
    <x v="1"/>
    <x v="21"/>
    <x v="1"/>
  </r>
  <r>
    <s v="ANZ"/>
    <s v="Saving"/>
    <s v="06-0082-xxxx-00"/>
    <d v="2024-01-31T18:44:26"/>
    <s v="Payment Mj Asb Mj Asb  "/>
    <n v="-170.18"/>
    <x v="1"/>
    <x v="21"/>
    <x v="1"/>
  </r>
  <r>
    <s v="ANZ"/>
    <s v="Saving"/>
    <s v="06-0082-xxxx-00"/>
    <d v="2024-01-31T13:37:10"/>
    <s v="Direct Credit Bidfood Limited   Bidfood"/>
    <n v="1691.62"/>
    <x v="11"/>
    <x v="22"/>
    <x v="35"/>
  </r>
  <r>
    <s v="ANZ"/>
    <s v="Saving"/>
    <s v="06-0082-xxxx-00"/>
    <d v="2024-01-28T04:08:25"/>
    <s v="Automatic Payment Mj Asb Mobile Sam Skinny"/>
    <n v="-13.4"/>
    <x v="1"/>
    <x v="21"/>
    <x v="1"/>
  </r>
  <r>
    <s v="ANZ"/>
    <s v="Saving"/>
    <s v="06-0082-xxxx-00"/>
    <d v="2024-01-25T00:00:00"/>
    <s v="Loan Payment To: xxxx-1001         004600"/>
    <n v="-214.97"/>
    <x v="1"/>
    <x v="21"/>
    <x v="1"/>
  </r>
  <r>
    <s v="ANZ"/>
    <s v="Saving"/>
    <s v="06-0082-xxxx-00"/>
    <d v="2024-01-25T00:00:00"/>
    <s v="Loan Payment To: xxxx-1002         004600"/>
    <n v="-445.69"/>
    <x v="1"/>
    <x v="21"/>
    <x v="1"/>
  </r>
  <r>
    <s v="ANZ"/>
    <s v="Saving"/>
    <s v="06-0082-xxxx-00"/>
    <d v="2024-01-25T00:00:00"/>
    <s v="Loan Payment To: xxxx-1003         004600"/>
    <n v="-341.98"/>
    <x v="1"/>
    <x v="21"/>
    <x v="1"/>
  </r>
  <r>
    <s v="ANZ"/>
    <s v="Saving"/>
    <s v="06-0082-xxxx-00"/>
    <d v="2024-01-24T04:08:40"/>
    <s v="Automatic Payment Mj Asb Mj Asb Netflix 8Denning"/>
    <n v="-16.190000000000001"/>
    <x v="1"/>
    <x v="21"/>
    <x v="1"/>
  </r>
  <r>
    <s v="ANZ"/>
    <s v="Saving"/>
    <s v="06-0082-xxxx-00"/>
    <d v="2024-01-24T18:12:21"/>
    <s v="Payment Sam Kiwibank Sam Kiwibank  "/>
    <n v="-474.44"/>
    <x v="1"/>
    <x v="21"/>
    <x v="1"/>
  </r>
  <r>
    <s v="ANZ"/>
    <s v="Saving"/>
    <s v="06-0082-xxxx-00"/>
    <d v="2024-01-24T18:12:41"/>
    <s v="Payment Mj Asb Mj Asb  "/>
    <n v="-49.35"/>
    <x v="1"/>
    <x v="21"/>
    <x v="1"/>
  </r>
  <r>
    <s v="ANZ"/>
    <s v="Saving"/>
    <s v="06-0082-xxxx-00"/>
    <d v="2024-01-24T15:37:45"/>
    <s v="Direct Credit Bidfood Limited   Bidfood"/>
    <n v="2442.5500000000002"/>
    <x v="11"/>
    <x v="22"/>
    <x v="35"/>
  </r>
  <r>
    <s v="ANZ"/>
    <s v="Saving"/>
    <s v="06-0082-xxxx-00"/>
    <d v="2024-01-20T04:10:22"/>
    <s v="Automatic Payment Mj Asb Electricity Contactenrgy Mj 8Denning"/>
    <n v="-143.88"/>
    <x v="1"/>
    <x v="21"/>
    <x v="1"/>
  </r>
  <r>
    <s v="ANZ"/>
    <s v="Saving"/>
    <s v="06-0082-xxxx-00"/>
    <d v="2024-01-19T04:10:52"/>
    <s v="Automatic Payment Mj Asb Mobile Mj Skinny"/>
    <n v="-22.52"/>
    <x v="1"/>
    <x v="21"/>
    <x v="1"/>
  </r>
  <r>
    <s v="ANZ"/>
    <s v="Saving"/>
    <s v="06-0082-xxxx-00"/>
    <d v="2024-01-18T04:15:37"/>
    <s v="Automatic Payment Mj Asb Mj 8Denning Towerhouse Insurance"/>
    <n v="-158.05000000000001"/>
    <x v="1"/>
    <x v="21"/>
    <x v="1"/>
  </r>
  <r>
    <s v="ANZ"/>
    <s v="Saving"/>
    <s v="06-0082-xxxx-00"/>
    <d v="2024-01-18T04:15:33"/>
    <s v="Automatic Payment Mj Asb 24 Panorama Tower H&amp;C Insurance"/>
    <n v="-83.26"/>
    <x v="1"/>
    <x v="21"/>
    <x v="1"/>
  </r>
  <r>
    <s v="ANZ"/>
    <s v="Saving"/>
    <s v="06-0082-xxxx-00"/>
    <d v="2024-01-18T04:15:29"/>
    <s v="Automatic Payment Mj Asb Mj 5B Tower H&amp;C Insurance"/>
    <n v="-129.33000000000001"/>
    <x v="1"/>
    <x v="21"/>
    <x v="1"/>
  </r>
  <r>
    <s v="ANZ"/>
    <s v="Saving"/>
    <s v="06-0082-xxxx-00"/>
    <d v="2024-01-18T00:00:00"/>
    <s v="Loan Payment To: xxxx-1001         004600"/>
    <n v="-149.85"/>
    <x v="1"/>
    <x v="21"/>
    <x v="1"/>
  </r>
  <r>
    <s v="ANZ"/>
    <s v="Saving"/>
    <s v="06-0082-xxxx-00"/>
    <d v="2024-01-18T00:00:00"/>
    <s v="Loan Payment To: xxxx-1002         004600"/>
    <n v="-49.51"/>
    <x v="1"/>
    <x v="21"/>
    <x v="1"/>
  </r>
  <r>
    <s v="ANZ"/>
    <s v="Saving"/>
    <s v="06-0082-xxxx-00"/>
    <d v="2024-01-18T00:00:00"/>
    <s v="Loan Payment To: xxxx-1003         004600"/>
    <n v="-361.62"/>
    <x v="1"/>
    <x v="21"/>
    <x v="1"/>
  </r>
  <r>
    <s v="ANZ"/>
    <s v="Saving"/>
    <s v="06-0082-xxxx-00"/>
    <d v="2024-01-17T14:50:13"/>
    <s v="Payment Sam Kiwibank Sam Kiwibank  "/>
    <n v="-807.55"/>
    <x v="1"/>
    <x v="21"/>
    <x v="1"/>
  </r>
  <r>
    <s v="ANZ"/>
    <s v="Saving"/>
    <s v="06-0082-xxxx-00"/>
    <d v="2024-01-17T14:37:00"/>
    <s v="Direct Credit Bidfood Limited   Bidfood"/>
    <n v="2611.19"/>
    <x v="11"/>
    <x v="22"/>
    <x v="35"/>
  </r>
  <r>
    <s v="ANZ"/>
    <s v="Saving"/>
    <s v="06-0082-xxxx-00"/>
    <d v="2024-01-13T04:07:37"/>
    <s v="Automatic Payment Mj Asb Aia Insurance Sammj"/>
    <n v="-8.51"/>
    <x v="1"/>
    <x v="21"/>
    <x v="1"/>
  </r>
  <r>
    <s v="ANZ"/>
    <s v="Saving"/>
    <s v="06-0082-xxxx-00"/>
    <d v="2024-01-11T00:00:00"/>
    <s v="Loan Payment To: xxxx-1001         004600"/>
    <n v="-86.2"/>
    <x v="1"/>
    <x v="21"/>
    <x v="1"/>
  </r>
  <r>
    <s v="ANZ"/>
    <s v="Saving"/>
    <s v="06-0082-xxxx-00"/>
    <d v="2024-01-11T00:00:00"/>
    <s v="Loan Payment To: xxxx-1002         004600"/>
    <n v="-168.75"/>
    <x v="1"/>
    <x v="21"/>
    <x v="1"/>
  </r>
  <r>
    <s v="ANZ"/>
    <s v="Saving"/>
    <s v="06-0082-xxxx-00"/>
    <d v="2024-01-11T00:00:00"/>
    <s v="Loan Payment To: xxxx-1003         004600"/>
    <n v="-133.99"/>
    <x v="1"/>
    <x v="21"/>
    <x v="1"/>
  </r>
  <r>
    <s v="ANZ"/>
    <s v="Saving"/>
    <s v="06-0082-xxxx-00"/>
    <d v="2024-01-11T11:28:43"/>
    <s v="Payment Sam Kiwibank Sam Kiwibank  "/>
    <n v="-192.03"/>
    <x v="1"/>
    <x v="21"/>
    <x v="1"/>
  </r>
  <r>
    <s v="ANZ"/>
    <s v="Saving"/>
    <s v="06-0082-xxxx-00"/>
    <d v="2024-01-11T11:29:24"/>
    <s v="Payment Mj Asb Mj Asb  "/>
    <n v="-381.73"/>
    <x v="1"/>
    <x v="21"/>
    <x v="1"/>
  </r>
  <r>
    <s v="ANZ"/>
    <s v="Saving"/>
    <s v="06-0082-xxxx-00"/>
    <d v="2024-01-10T16:06:44"/>
    <s v="Direct Credit Bidfood Limited   Bidfood"/>
    <n v="3203.62"/>
    <x v="11"/>
    <x v="22"/>
    <x v="35"/>
  </r>
  <r>
    <s v="ANZ"/>
    <s v="Saving"/>
    <s v="06-0082-xxxx-00"/>
    <d v="2024-01-06T04:07:38"/>
    <s v="Automatic Payment Mj Asb Water  Mj 8Denning"/>
    <n v="-128.84"/>
    <x v="1"/>
    <x v="21"/>
    <x v="1"/>
  </r>
  <r>
    <s v="ANZ"/>
    <s v="Saving"/>
    <s v="06-0082-xxxx-00"/>
    <d v="2024-01-06T04:07:22"/>
    <s v="Automatic Payment Mj Asb Mj Mobile Us Phone Sam"/>
    <n v="-15.7"/>
    <x v="1"/>
    <x v="21"/>
    <x v="1"/>
  </r>
  <r>
    <s v="ANZ"/>
    <s v="Saving"/>
    <s v="06-0082-xxxx-00"/>
    <d v="2024-01-04T04:14:33"/>
    <s v="Automatic Payment Mj Asb Mj 8Denning Towercontent Insurance"/>
    <n v="-17.25"/>
    <x v="1"/>
    <x v="21"/>
    <x v="1"/>
  </r>
  <r>
    <s v="ANZ"/>
    <s v="Saving"/>
    <s v="06-0082-xxxx-00"/>
    <d v="2024-01-04T04:12:30"/>
    <s v="Automatic Payment Mj Asb Mj Apple Cloud Storage"/>
    <n v="-25.28"/>
    <x v="1"/>
    <x v="21"/>
    <x v="1"/>
  </r>
  <r>
    <s v="ANZ"/>
    <s v="Saving"/>
    <s v="06-0082-xxxx-00"/>
    <d v="2024-01-04T00:00:00"/>
    <s v="Loan Payment To: xxxx-1001         004600"/>
    <n v="-67.73"/>
    <x v="1"/>
    <x v="21"/>
    <x v="1"/>
  </r>
  <r>
    <s v="ANZ"/>
    <s v="Saving"/>
    <s v="06-0082-xxxx-00"/>
    <d v="2024-01-04T00:00:00"/>
    <s v="Loan Payment To: xxxx-1002         004600"/>
    <n v="-63.51"/>
    <x v="1"/>
    <x v="21"/>
    <x v="1"/>
  </r>
  <r>
    <s v="ANZ"/>
    <s v="Saving"/>
    <s v="06-0082-xxxx-00"/>
    <d v="2024-01-04T00:00:00"/>
    <s v="Loan Payment To: xxxx-1003         004600"/>
    <n v="-131.38"/>
    <x v="1"/>
    <x v="21"/>
    <x v="1"/>
  </r>
  <r>
    <s v="ANZ"/>
    <s v="Saving"/>
    <s v="06-0082-xxxx-00"/>
    <d v="2023-12-31T04:09:25"/>
    <s v="Automatic Payment Mj Asb Mobile Sam Skinny"/>
    <n v="-0.65"/>
    <x v="1"/>
    <x v="21"/>
    <x v="1"/>
  </r>
  <r>
    <s v="ANZ"/>
    <s v="Saving"/>
    <s v="06-0082-xxxx-00"/>
    <d v="2023-12-30T08:41:39"/>
    <s v="Payment Sam Kiwibank Sam Kiwibank  "/>
    <n v="-1295.83"/>
    <x v="1"/>
    <x v="21"/>
    <x v="1"/>
  </r>
  <r>
    <s v="ANZ"/>
    <s v="Saving"/>
    <s v="06-0082-xxxx-00"/>
    <d v="2024-01-03T17:05:36"/>
    <s v="Payment Sam Kiwibank Sam Kiwibank  "/>
    <n v="-89.63"/>
    <x v="1"/>
    <x v="21"/>
    <x v="1"/>
  </r>
  <r>
    <s v="ANZ"/>
    <s v="Saving"/>
    <s v="06-0082-xxxx-00"/>
    <d v="2024-01-03T17:05:23"/>
    <s v="Payment Mj Asb Mj Asb  "/>
    <n v="-153.43"/>
    <x v="1"/>
    <x v="21"/>
    <x v="1"/>
  </r>
  <r>
    <s v="ANZ"/>
    <s v="Saving"/>
    <s v="06-0082-xxxx-00"/>
    <d v="2023-12-31T09:34:22"/>
    <s v="Payment Sam Kiwibank Sam Kiwibank  "/>
    <n v="-36.880000000000003"/>
    <x v="1"/>
    <x v="21"/>
    <x v="1"/>
  </r>
  <r>
    <s v="ANZ"/>
    <s v="Saving"/>
    <s v="06-0082-xxxx-00"/>
    <d v="2024-01-03T15:36:37"/>
    <s v="Direct Credit Bidfood Limited   Bidfood"/>
    <n v="1955.35"/>
    <x v="11"/>
    <x v="22"/>
    <x v="35"/>
  </r>
  <r>
    <s v="ANZ"/>
    <s v="Saving"/>
    <s v="06-0082-xxxx-00"/>
    <d v="2023-12-28T00:00:00"/>
    <s v="Loan Payment To: xxxx-1001         004600"/>
    <n v="-16.03"/>
    <x v="1"/>
    <x v="21"/>
    <x v="1"/>
  </r>
  <r>
    <s v="ANZ"/>
    <s v="Saving"/>
    <s v="06-0082-xxxx-00"/>
    <d v="2023-12-28T00:00:00"/>
    <s v="Loan Payment To: xxxx-1002         004600"/>
    <n v="-171.56"/>
    <x v="1"/>
    <x v="21"/>
    <x v="1"/>
  </r>
  <r>
    <s v="ANZ"/>
    <s v="Saving"/>
    <s v="06-0082-xxxx-00"/>
    <d v="2023-12-28T00:00:00"/>
    <s v="Loan Payment To: xxxx-1003         004600"/>
    <n v="-238.75"/>
    <x v="1"/>
    <x v="21"/>
    <x v="1"/>
  </r>
  <r>
    <s v="ANZ"/>
    <s v="Saving"/>
    <s v="06-0082-xxxx-00"/>
    <d v="2023-12-24T04:06:41"/>
    <s v="Automatic Payment Mj Asb Mj Asb Netflix 8Denning"/>
    <n v="-8.2899999999999991"/>
    <x v="1"/>
    <x v="21"/>
    <x v="1"/>
  </r>
  <r>
    <s v="ANZ"/>
    <s v="Saving"/>
    <s v="06-0082-xxxx-00"/>
    <d v="2023-12-27T14:06:52"/>
    <s v="Direct Credit Bidfood Limited   Bidfood"/>
    <n v="1511.63"/>
    <x v="11"/>
    <x v="22"/>
    <x v="35"/>
  </r>
  <r>
    <s v="ANZ"/>
    <s v="Saving"/>
    <s v="06-0082-xxxx-00"/>
    <d v="2023-12-22T04:11:15"/>
    <s v="Automatic Payment Mj Asb Mobile Mj Skinny"/>
    <n v="-3.37"/>
    <x v="1"/>
    <x v="21"/>
    <x v="1"/>
  </r>
  <r>
    <s v="ANZ"/>
    <s v="Saving"/>
    <s v="06-0082-xxxx-00"/>
    <d v="2023-12-21T00:00:00"/>
    <s v="Loan Payment To: xxxx-1001         004600"/>
    <n v="-360.14"/>
    <x v="1"/>
    <x v="21"/>
    <x v="1"/>
  </r>
  <r>
    <s v="ANZ"/>
    <s v="Saving"/>
    <s v="06-0082-xxxx-00"/>
    <d v="2023-12-21T00:00:00"/>
    <s v="Loan Payment To: xxxx-1002         004600"/>
    <n v="-279.31"/>
    <x v="1"/>
    <x v="21"/>
    <x v="1"/>
  </r>
  <r>
    <s v="ANZ"/>
    <s v="Saving"/>
    <s v="06-0082-xxxx-00"/>
    <d v="2023-12-21T00:00:00"/>
    <s v="Loan Payment To: xxxx-1003         004600"/>
    <n v="-329.28"/>
    <x v="1"/>
    <x v="21"/>
    <x v="1"/>
  </r>
  <r>
    <s v="ANZ"/>
    <s v="Saving"/>
    <s v="06-0082-xxxx-00"/>
    <d v="2023-12-20T04:14:53"/>
    <s v="Automatic Payment Mj Asb Electricity Contactenrgy Mj 8Denning"/>
    <n v="-138.37"/>
    <x v="1"/>
    <x v="21"/>
    <x v="1"/>
  </r>
  <r>
    <s v="ANZ"/>
    <s v="Saving"/>
    <s v="06-0082-xxxx-00"/>
    <d v="2023-12-20T15:39:50"/>
    <s v="Payment Sam Kiwibank Sam Kiwibank  "/>
    <n v="-723.29"/>
    <x v="1"/>
    <x v="21"/>
    <x v="1"/>
  </r>
  <r>
    <s v="ANZ"/>
    <s v="Saving"/>
    <s v="06-0082-xxxx-00"/>
    <d v="2023-12-20T15:07:31"/>
    <s v="Direct Credit Bidfood Limited   Bidfood"/>
    <n v="1803.09"/>
    <x v="11"/>
    <x v="22"/>
    <x v="35"/>
  </r>
  <r>
    <s v="ANZ"/>
    <s v="Saving"/>
    <s v="06-0082-xxxx-00"/>
    <d v="2023-12-18T04:10:39"/>
    <s v="Automatic Payment Mj Asb Mj 8Denning Towerhouse Insurance"/>
    <n v="-81.87"/>
    <x v="1"/>
    <x v="21"/>
    <x v="1"/>
  </r>
  <r>
    <s v="ANZ"/>
    <s v="Saving"/>
    <s v="06-0082-xxxx-00"/>
    <d v="2023-12-18T04:10:37"/>
    <s v="Automatic Payment Mj Asb 24 Panorama Tower H&amp;C Insurance"/>
    <n v="-110.71"/>
    <x v="1"/>
    <x v="21"/>
    <x v="1"/>
  </r>
  <r>
    <s v="ANZ"/>
    <s v="Saving"/>
    <s v="06-0082-xxxx-00"/>
    <d v="2023-12-18T04:10:36"/>
    <s v="Automatic Payment Mj Asb Mj 5B Tower H&amp;C Insurance"/>
    <n v="-108.69"/>
    <x v="1"/>
    <x v="21"/>
    <x v="1"/>
  </r>
  <r>
    <s v="ANZ"/>
    <s v="Saving"/>
    <s v="06-0082-xxxx-00"/>
    <d v="2023-12-15T14:41:08"/>
    <s v="Payment Sam Kiwibank Sam Kiwibank  "/>
    <n v="-2465.5500000000002"/>
    <x v="1"/>
    <x v="21"/>
    <x v="1"/>
  </r>
  <r>
    <s v="ANZ"/>
    <s v="Saving"/>
    <s v="06-0082-xxxx-00"/>
    <d v="2023-12-15T14:06:29"/>
    <s v="Direct Credit Bidfood Limited   Bidfood"/>
    <n v="26.57"/>
    <x v="11"/>
    <x v="22"/>
    <x v="35"/>
  </r>
  <r>
    <s v="ANZ"/>
    <s v="Saving"/>
    <s v="06-0082-xxxx-00"/>
    <d v="2023-12-14T00:00:00"/>
    <s v="Loan Payment To: xxxx-1001         004600"/>
    <n v="-357.54"/>
    <x v="1"/>
    <x v="21"/>
    <x v="1"/>
  </r>
  <r>
    <s v="ANZ"/>
    <s v="Saving"/>
    <s v="06-0082-xxxx-00"/>
    <d v="2023-12-14T00:00:00"/>
    <s v="Loan Payment To: xxxx-1002         004600"/>
    <n v="-564.77"/>
    <x v="1"/>
    <x v="21"/>
    <x v="1"/>
  </r>
  <r>
    <s v="ANZ"/>
    <s v="Saving"/>
    <s v="06-0082-xxxx-00"/>
    <d v="2023-12-14T00:00:00"/>
    <s v="Loan Payment To: xxxx-1003         004600"/>
    <n v="-24.52"/>
    <x v="1"/>
    <x v="21"/>
    <x v="1"/>
  </r>
  <r>
    <s v="ANZ"/>
    <s v="Saving"/>
    <s v="06-0082-xxxx-00"/>
    <d v="2023-12-13T04:12:00"/>
    <s v="Automatic Payment Mj Asb Aia Insurance Sammj"/>
    <n v="-39.090000000000003"/>
    <x v="1"/>
    <x v="21"/>
    <x v="1"/>
  </r>
  <r>
    <s v="ANZ"/>
    <s v="Saving"/>
    <s v="06-0082-xxxx-00"/>
    <d v="2023-12-13T15:20:40"/>
    <s v="Payment Sam Kiwibank Sam Kiwibank  "/>
    <n v="-1222.8900000000001"/>
    <x v="1"/>
    <x v="21"/>
    <x v="1"/>
  </r>
  <r>
    <s v="ANZ"/>
    <s v="Saving"/>
    <s v="06-0082-xxxx-00"/>
    <d v="2023-12-13T15:07:01"/>
    <s v="Direct Credit Bidfood Limited   Bidfood"/>
    <n v="2834.5"/>
    <x v="11"/>
    <x v="22"/>
    <x v="35"/>
  </r>
  <r>
    <s v="ANZ"/>
    <s v="Saving"/>
    <s v="06-0082-xxxx-00"/>
    <d v="2023-12-07T00:00:00"/>
    <s v="Loan Payment To: xxxx-1001         004600"/>
    <n v="-513.67999999999995"/>
    <x v="1"/>
    <x v="21"/>
    <x v="1"/>
  </r>
  <r>
    <s v="ANZ"/>
    <s v="Saving"/>
    <s v="06-0082-xxxx-00"/>
    <d v="2023-12-07T00:00:00"/>
    <s v="Loan Payment To: xxxx-1002         004600"/>
    <n v="-173.94"/>
    <x v="1"/>
    <x v="21"/>
    <x v="1"/>
  </r>
  <r>
    <s v="ANZ"/>
    <s v="Saving"/>
    <s v="06-0082-xxxx-00"/>
    <d v="2023-12-07T00:00:00"/>
    <s v="Loan Payment To: xxxx-1003         004600"/>
    <n v="-211.89"/>
    <x v="1"/>
    <x v="21"/>
    <x v="1"/>
  </r>
  <r>
    <s v="ANZ"/>
    <s v="Saving"/>
    <s v="06-0082-xxxx-00"/>
    <d v="2023-12-06T04:11:11"/>
    <s v="Automatic Payment Mj Asb Water  Mj 8Denning"/>
    <n v="-9.08"/>
    <x v="1"/>
    <x v="21"/>
    <x v="1"/>
  </r>
  <r>
    <s v="ANZ"/>
    <s v="Saving"/>
    <s v="06-0082-xxxx-00"/>
    <d v="2023-12-06T04:08:04"/>
    <s v="Automatic Payment Mj Asb Mj Mobile Us Phone Sam"/>
    <n v="-10.94"/>
    <x v="1"/>
    <x v="21"/>
    <x v="1"/>
  </r>
  <r>
    <s v="ANZ"/>
    <s v="Saving"/>
    <s v="06-0082-xxxx-00"/>
    <d v="2023-12-06T21:17:12"/>
    <s v="Payment Sam Kiwibank Sam Kiwibank  "/>
    <n v="-777.36"/>
    <x v="1"/>
    <x v="21"/>
    <x v="1"/>
  </r>
  <r>
    <s v="ANZ"/>
    <s v="Saving"/>
    <s v="06-0082-xxxx-00"/>
    <d v="2023-12-06T16:21:34"/>
    <s v="Direct Credit Bidfood Limited   Bidfood"/>
    <n v="1505.64"/>
    <x v="11"/>
    <x v="22"/>
    <x v="35"/>
  </r>
  <r>
    <s v="ANZ"/>
    <s v="Saving"/>
    <s v="06-0082-xxxx-00"/>
    <d v="2023-12-04T04:10:10"/>
    <s v="Automatic Payment Mj Asb Mj 8Denning Towercontent Insurance"/>
    <n v="-47.78"/>
    <x v="1"/>
    <x v="21"/>
    <x v="1"/>
  </r>
  <r>
    <s v="ANZ"/>
    <s v="Saving"/>
    <s v="06-0082-xxxx-00"/>
    <d v="2023-12-03T04:08:12"/>
    <s v="Automatic Payment Mj Asb Mobile Sam Skinny"/>
    <n v="-22.5"/>
    <x v="1"/>
    <x v="21"/>
    <x v="1"/>
  </r>
  <r>
    <s v="ANZ"/>
    <s v="Saving"/>
    <s v="06-0082-xxxx-00"/>
    <d v="2023-12-04T04:09:35"/>
    <s v="Automatic Payment Mj Asb Mj Apple Cloud Storage"/>
    <n v="-7.55"/>
    <x v="1"/>
    <x v="21"/>
    <x v="1"/>
  </r>
  <r>
    <s v="ANZ"/>
    <s v="Saving"/>
    <s v="06-0082-xxxx-00"/>
    <d v="2023-11-30T00:00:00"/>
    <s v="Loan Payment To: xxxx-1001         004600"/>
    <n v="-306.02"/>
    <x v="1"/>
    <x v="21"/>
    <x v="1"/>
  </r>
  <r>
    <s v="ANZ"/>
    <s v="Saving"/>
    <s v="06-0082-xxxx-00"/>
    <d v="2023-11-30T00:00:00"/>
    <s v="Loan Payment To: xxxx-1002         004600"/>
    <n v="-102.42"/>
    <x v="1"/>
    <x v="21"/>
    <x v="1"/>
  </r>
  <r>
    <s v="ANZ"/>
    <s v="Saving"/>
    <s v="06-0082-xxxx-00"/>
    <d v="2023-11-30T00:00:00"/>
    <s v="Loan Payment To: xxxx-1003         004600"/>
    <n v="-172.98"/>
    <x v="1"/>
    <x v="21"/>
    <x v="1"/>
  </r>
  <r>
    <s v="ANZ"/>
    <s v="Saving"/>
    <s v="06-0082-xxxx-00"/>
    <d v="2023-11-29T16:58:59"/>
    <s v="Payment Sam Kiwibank Sam Kiwibank  "/>
    <n v="-892.63"/>
    <x v="1"/>
    <x v="21"/>
    <x v="1"/>
  </r>
  <r>
    <s v="ANZ"/>
    <s v="Saving"/>
    <s v="06-0082-xxxx-00"/>
    <d v="2023-11-29T16:58:47"/>
    <s v="Payment Mj Asb Mj Asb  "/>
    <n v="-93.56"/>
    <x v="1"/>
    <x v="21"/>
    <x v="1"/>
  </r>
  <r>
    <s v="ANZ"/>
    <s v="Saving"/>
    <s v="06-0082-xxxx-00"/>
    <d v="2023-11-29T15:36:46"/>
    <s v="Direct Credit Bidfood Limited   Bidfood"/>
    <n v="3170.23"/>
    <x v="11"/>
    <x v="22"/>
    <x v="35"/>
  </r>
  <r>
    <s v="ANZ"/>
    <s v="Saving"/>
    <s v="06-0082-xxxx-00"/>
    <d v="2023-11-24T04:10:15"/>
    <s v="Automatic Payment Mj Asb Mj Asb Netflix 8Denning"/>
    <n v="-2.15"/>
    <x v="1"/>
    <x v="21"/>
    <x v="1"/>
  </r>
  <r>
    <s v="ANZ"/>
    <s v="Saving"/>
    <s v="06-0082-xxxx-00"/>
    <d v="2023-11-24T04:10:14"/>
    <s v="Automatic Payment Mj Asb Mobile Mj Skinny"/>
    <n v="-7.0000000000000007E-2"/>
    <x v="1"/>
    <x v="21"/>
    <x v="1"/>
  </r>
  <r>
    <s v="ANZ"/>
    <s v="Saving"/>
    <s v="06-0082-xxxx-00"/>
    <d v="2023-11-23T00:00:00"/>
    <s v="Loan Payment To: xxxx-1001         004600"/>
    <n v="-33.14"/>
    <x v="1"/>
    <x v="21"/>
    <x v="1"/>
  </r>
  <r>
    <s v="ANZ"/>
    <s v="Saving"/>
    <s v="06-0082-xxxx-00"/>
    <d v="2023-11-23T00:00:00"/>
    <s v="Loan Payment To: xxxx-1002         004600"/>
    <n v="-311.31"/>
    <x v="1"/>
    <x v="21"/>
    <x v="1"/>
  </r>
  <r>
    <s v="ANZ"/>
    <s v="Saving"/>
    <s v="06-0082-xxxx-00"/>
    <d v="2023-11-23T00:00:00"/>
    <s v="Loan Payment To: xxxx-1003         004600"/>
    <n v="-215.73"/>
    <x v="1"/>
    <x v="21"/>
    <x v="1"/>
  </r>
  <r>
    <s v="ANZ"/>
    <s v="Saving"/>
    <s v="06-0082-xxxx-00"/>
    <d v="2023-11-22T17:23:56"/>
    <s v="Payment Sam Kiwibank Sam Kiwibank  "/>
    <n v="-112.53"/>
    <x v="1"/>
    <x v="21"/>
    <x v="1"/>
  </r>
  <r>
    <s v="ANZ"/>
    <s v="Saving"/>
    <s v="06-0082-xxxx-00"/>
    <d v="2023-11-22T17:23:39"/>
    <s v="Payment Mj Asb Mj Asb  "/>
    <n v="-349.43"/>
    <x v="1"/>
    <x v="21"/>
    <x v="1"/>
  </r>
  <r>
    <s v="ANZ"/>
    <s v="Saving"/>
    <s v="06-0082-xxxx-00"/>
    <d v="2023-11-22T17:06:54"/>
    <s v="Direct Credit Bidfood Limited   Bidfood"/>
    <n v="3172.12"/>
    <x v="11"/>
    <x v="22"/>
    <x v="35"/>
  </r>
  <r>
    <s v="ANZ"/>
    <s v="Saving"/>
    <s v="06-0082-xxxx-00"/>
    <d v="2023-11-20T04:09:45"/>
    <s v="Automatic Payment Mj Asb Electricity Contactenrgy Mj 8Denning"/>
    <n v="-31.87"/>
    <x v="1"/>
    <x v="21"/>
    <x v="1"/>
  </r>
  <r>
    <s v="ANZ"/>
    <s v="Saving"/>
    <s v="06-0082-xxxx-00"/>
    <d v="2023-11-18T04:07:20"/>
    <s v="Automatic Payment Mj Asb Mj 8Denning Towerhouse Insurance"/>
    <n v="-98.92"/>
    <x v="1"/>
    <x v="21"/>
    <x v="1"/>
  </r>
  <r>
    <s v="ANZ"/>
    <s v="Saving"/>
    <s v="06-0082-xxxx-00"/>
    <d v="2023-11-18T04:07:20"/>
    <s v="Automatic Payment Mj Asb 24 Panorama Tower H&amp;C Insurance"/>
    <n v="-75.849999999999994"/>
    <x v="1"/>
    <x v="21"/>
    <x v="1"/>
  </r>
  <r>
    <s v="ANZ"/>
    <s v="Saving"/>
    <s v="06-0082-xxxx-00"/>
    <d v="2023-11-18T04:07:20"/>
    <s v="Automatic Payment Mj Asb Mj 5B Tower H&amp;C Insurance"/>
    <n v="-128.93"/>
    <x v="1"/>
    <x v="21"/>
    <x v="1"/>
  </r>
  <r>
    <s v="ANZ"/>
    <s v="Saving"/>
    <s v="06-0082-xxxx-00"/>
    <d v="2023-11-18T03:52:16"/>
    <s v="Payment Sam Kiwibank Sam Kiwibank  "/>
    <n v="-28.07"/>
    <x v="1"/>
    <x v="21"/>
    <x v="1"/>
  </r>
  <r>
    <s v="ANZ"/>
    <s v="Saving"/>
    <s v="06-0082-xxxx-00"/>
    <d v="2023-11-17T15:36:17"/>
    <s v="Direct Credit Bidfood Limited   Bidfood"/>
    <n v="42.72"/>
    <x v="11"/>
    <x v="22"/>
    <x v="35"/>
  </r>
  <r>
    <s v="ANZ"/>
    <s v="Saving"/>
    <s v="06-0082-xxxx-00"/>
    <d v="2023-11-16T00:00:00"/>
    <s v="Loan Payment To: xxxx-1001         004600"/>
    <n v="-11.59"/>
    <x v="1"/>
    <x v="21"/>
    <x v="1"/>
  </r>
  <r>
    <s v="ANZ"/>
    <s v="Saving"/>
    <s v="06-0082-xxxx-00"/>
    <d v="2023-11-16T00:00:00"/>
    <s v="Loan Payment To: xxxx-1002         004600"/>
    <n v="-133.13999999999999"/>
    <x v="1"/>
    <x v="21"/>
    <x v="1"/>
  </r>
  <r>
    <s v="ANZ"/>
    <s v="Saving"/>
    <s v="06-0082-xxxx-00"/>
    <d v="2023-11-16T00:00:00"/>
    <s v="Loan Payment To: xxxx-1003         004600"/>
    <n v="-191.47"/>
    <x v="1"/>
    <x v="21"/>
    <x v="1"/>
  </r>
  <r>
    <s v="ANZ"/>
    <s v="Saving"/>
    <s v="06-0082-xxxx-00"/>
    <d v="2023-11-15T16:00:36"/>
    <s v="Payment Sam Kiwibank Sam Kiwibank  "/>
    <n v="-67.569999999999993"/>
    <x v="1"/>
    <x v="21"/>
    <x v="1"/>
  </r>
  <r>
    <s v="ANZ"/>
    <s v="Saving"/>
    <s v="06-0082-xxxx-00"/>
    <d v="2023-11-15T16:00:49"/>
    <s v="Payment Mj Asb Mj Asb  "/>
    <n v="-126.02"/>
    <x v="1"/>
    <x v="21"/>
    <x v="1"/>
  </r>
  <r>
    <s v="ANZ"/>
    <s v="Saving"/>
    <s v="06-0082-xxxx-00"/>
    <d v="2023-11-15T15:37:24"/>
    <s v="Direct Credit Bidfood Limited   Bidfood"/>
    <n v="3070.03"/>
    <x v="11"/>
    <x v="22"/>
    <x v="35"/>
  </r>
  <r>
    <s v="ANZ"/>
    <s v="Saving"/>
    <s v="06-0082-xxxx-00"/>
    <d v="2023-11-13T04:07:23"/>
    <s v="Automatic Payment Mj Asb Aia Insurance Sammj"/>
    <n v="-25.83"/>
    <x v="1"/>
    <x v="21"/>
    <x v="1"/>
  </r>
  <r>
    <s v="ANZ"/>
    <s v="Saving"/>
    <s v="06-0082-xxxx-00"/>
    <d v="2023-11-09T00:00:00"/>
    <s v="Loan Payment To: xxxx-1001         004600"/>
    <n v="-562.02"/>
    <x v="1"/>
    <x v="21"/>
    <x v="1"/>
  </r>
  <r>
    <s v="ANZ"/>
    <s v="Saving"/>
    <s v="06-0082-xxxx-00"/>
    <d v="2023-11-09T00:00:00"/>
    <s v="Loan Payment To: xxxx-1002         004600"/>
    <n v="-228.14"/>
    <x v="1"/>
    <x v="21"/>
    <x v="1"/>
  </r>
  <r>
    <s v="ANZ"/>
    <s v="Saving"/>
    <s v="06-0082-xxxx-00"/>
    <d v="2023-11-09T00:00:00"/>
    <s v="Loan Payment To: xxxx-1003         004600"/>
    <n v="-293.89999999999998"/>
    <x v="1"/>
    <x v="21"/>
    <x v="1"/>
  </r>
  <r>
    <s v="ANZ"/>
    <s v="Saving"/>
    <s v="06-0082-xxxx-00"/>
    <d v="2023-11-08T17:56:47"/>
    <s v="Payment Sam Kiwibank Sam Kiwibank  "/>
    <n v="-801.48"/>
    <x v="1"/>
    <x v="21"/>
    <x v="1"/>
  </r>
  <r>
    <s v="ANZ"/>
    <s v="Saving"/>
    <s v="06-0082-xxxx-00"/>
    <d v="2023-11-08T15:36:58"/>
    <s v="Direct Credit Bidfood Limited   Bidfood"/>
    <n v="2937.9"/>
    <x v="11"/>
    <x v="22"/>
    <x v="35"/>
  </r>
  <r>
    <s v="ANZ"/>
    <s v="Saving"/>
    <s v="06-0082-xxxx-00"/>
    <d v="2023-11-06T04:10:08"/>
    <s v="Automatic Payment Mj Asb Water  Mj 8Denning"/>
    <n v="-75.72"/>
    <x v="1"/>
    <x v="21"/>
    <x v="1"/>
  </r>
  <r>
    <s v="ANZ"/>
    <s v="Saving"/>
    <s v="06-0082-xxxx-00"/>
    <d v="2023-11-04T04:07:39"/>
    <s v="Automatic Payment Mj Asb Mj 8Denning Towercontent Insurance"/>
    <n v="-37.75"/>
    <x v="1"/>
    <x v="21"/>
    <x v="1"/>
  </r>
  <r>
    <s v="ANZ"/>
    <s v="Saving"/>
    <s v="06-0082-xxxx-00"/>
    <d v="2023-11-05T04:06:18"/>
    <s v="Automatic Payment Mj Asb Mobile Sam Skinny"/>
    <n v="-15.58"/>
    <x v="1"/>
    <x v="21"/>
    <x v="1"/>
  </r>
  <r>
    <s v="ANZ"/>
    <s v="Saving"/>
    <s v="06-0082-xxxx-00"/>
    <d v="2023-11-04T04:07:29"/>
    <s v="Automatic Payment Mj Asb Mj Apple Cloud Storage"/>
    <n v="-23.01"/>
    <x v="1"/>
    <x v="21"/>
    <x v="1"/>
  </r>
  <r>
    <s v="ANZ"/>
    <s v="Saving"/>
    <s v="06-0082-xxxx-00"/>
    <d v="2023-11-06T04:09:14"/>
    <s v="Automatic Payment Mj Asb Mj Mobile Us Phone Sam"/>
    <n v="-10.79"/>
    <x v="1"/>
    <x v="21"/>
    <x v="1"/>
  </r>
  <r>
    <s v="ANZ"/>
    <s v="Saving"/>
    <s v="06-0082-xxxx-00"/>
    <d v="2023-11-03T15:06:16"/>
    <s v="Direct Credit Bidfood Limited   Bidfood"/>
    <n v="92.74"/>
    <x v="11"/>
    <x v="22"/>
    <x v="35"/>
  </r>
  <r>
    <s v="ANZ"/>
    <s v="Saving"/>
    <s v="06-0082-xxxx-00"/>
    <d v="2023-11-02T00:00:00"/>
    <s v="Loan Payment To: xxxx-1001         004600"/>
    <n v="-192.89"/>
    <x v="1"/>
    <x v="21"/>
    <x v="1"/>
  </r>
  <r>
    <s v="ANZ"/>
    <s v="Saving"/>
    <s v="06-0082-xxxx-00"/>
    <d v="2023-11-02T00:00:00"/>
    <s v="Loan Payment To: xxxx-1002         004600"/>
    <n v="-92.67"/>
    <x v="1"/>
    <x v="21"/>
    <x v="1"/>
  </r>
  <r>
    <s v="ANZ"/>
    <s v="Saving"/>
    <s v="06-0082-xxxx-00"/>
    <d v="2023-11-02T00:00:00"/>
    <s v="Loan Payment To: xxxx-1003         004600"/>
    <n v="-173.01"/>
    <x v="1"/>
    <x v="21"/>
    <x v="1"/>
  </r>
  <r>
    <s v="ANZ"/>
    <s v="Saving"/>
    <s v="06-0082-xxxx-00"/>
    <d v="2023-11-01T18:52:16"/>
    <s v="Payment Mj Asb Mj Asb  "/>
    <n v="-669.83"/>
    <x v="1"/>
    <x v="21"/>
    <x v="1"/>
  </r>
  <r>
    <s v="ANZ"/>
    <s v="Saving"/>
    <s v="06-0082-xxxx-00"/>
    <d v="2023-11-01T18:52:28"/>
    <s v="Payment Sam Kiwibank Sam Kiwibank  "/>
    <n v="-574.54"/>
    <x v="1"/>
    <x v="21"/>
    <x v="1"/>
  </r>
  <r>
    <s v="ANZ"/>
    <s v="Saving"/>
    <s v="06-0082-xxxx-00"/>
    <d v="2023-11-01T18:07:43"/>
    <s v="Direct Credit Bidfood Limited   Bidfood"/>
    <n v="3079.78"/>
    <x v="11"/>
    <x v="22"/>
    <x v="35"/>
  </r>
  <r>
    <s v="ANZ"/>
    <s v="Saving"/>
    <s v="06-0082-xxxx-00"/>
    <d v="2023-10-27T04:11:34"/>
    <s v="Automatic Payment Mj Asb Mobile Mj Skinny"/>
    <n v="-3.82"/>
    <x v="1"/>
    <x v="21"/>
    <x v="1"/>
  </r>
  <r>
    <s v="ANZ"/>
    <s v="Saving"/>
    <s v="06-0082-xxxx-00"/>
    <d v="2023-10-26T00:00:00"/>
    <s v="Loan Payment To: xxxx-1001         004600"/>
    <n v="-52.26"/>
    <x v="1"/>
    <x v="21"/>
    <x v="1"/>
  </r>
  <r>
    <s v="ANZ"/>
    <s v="Saving"/>
    <s v="06-0082-xxxx-00"/>
    <d v="2023-10-26T00:00:00"/>
    <s v="Loan Payment To: xxxx-1002         004600"/>
    <n v="-240.17"/>
    <x v="1"/>
    <x v="21"/>
    <x v="1"/>
  </r>
  <r>
    <s v="ANZ"/>
    <s v="Saving"/>
    <s v="06-0082-xxxx-00"/>
    <d v="2023-10-26T00:00:00"/>
    <s v="Loan Payment To: xxxx-1003         004600"/>
    <n v="-164.19"/>
    <x v="1"/>
    <x v="21"/>
    <x v="1"/>
  </r>
  <r>
    <s v="ANZ"/>
    <s v="Saving"/>
    <s v="06-0082-xxxx-00"/>
    <d v="2023-10-25T17:03:24"/>
    <s v="Payment Sam Kiwibank Sam Kiwibank  "/>
    <n v="-694.48"/>
    <x v="1"/>
    <x v="21"/>
    <x v="1"/>
  </r>
  <r>
    <s v="ANZ"/>
    <s v="Saving"/>
    <s v="06-0082-xxxx-00"/>
    <d v="2023-10-25T17:03:08"/>
    <s v="Payment Mj Asb Mj Asb  "/>
    <n v="-462.19"/>
    <x v="1"/>
    <x v="21"/>
    <x v="1"/>
  </r>
  <r>
    <s v="ANZ"/>
    <s v="Saving"/>
    <s v="06-0082-xxxx-00"/>
    <d v="2023-10-25T15:06:36"/>
    <s v="Direct Credit Bidfood Limited   Bidfood"/>
    <n v="3076.64"/>
    <x v="11"/>
    <x v="22"/>
    <x v="35"/>
  </r>
  <r>
    <s v="ANZ"/>
    <s v="Saving"/>
    <s v="06-0082-xxxx-00"/>
    <d v="2023-10-24T04:09:15"/>
    <s v="Automatic Payment Mj Asb Mj Asb Netflix 8Denning"/>
    <n v="-18.989999999999998"/>
    <x v="1"/>
    <x v="21"/>
    <x v="1"/>
  </r>
  <r>
    <s v="ANZ"/>
    <s v="Saving"/>
    <s v="06-0082-xxxx-00"/>
    <d v="2023-10-20T04:21:05"/>
    <s v="Automatic Payment Mj Asb Electricity Contactenrgy Mj 8Denning"/>
    <n v="-192.11"/>
    <x v="1"/>
    <x v="21"/>
    <x v="1"/>
  </r>
  <r>
    <s v="ANZ"/>
    <s v="Saving"/>
    <s v="06-0082-xxxx-00"/>
    <d v="2023-10-19T00:00:00"/>
    <s v="Loan Payment To: xxxx-1001         004600"/>
    <n v="-272.02"/>
    <x v="1"/>
    <x v="21"/>
    <x v="1"/>
  </r>
  <r>
    <s v="ANZ"/>
    <s v="Saving"/>
    <s v="06-0082-xxxx-00"/>
    <d v="2023-10-19T00:00:00"/>
    <s v="Loan Payment To: xxxx-1002         004600"/>
    <n v="-157.91"/>
    <x v="1"/>
    <x v="21"/>
    <x v="1"/>
  </r>
  <r>
    <s v="ANZ"/>
    <s v="Saving"/>
    <s v="06-0082-xxxx-00"/>
    <d v="2023-10-19T00:00:00"/>
    <s v="Loan Payment To: xxxx-1003         004600"/>
    <n v="-71.66"/>
    <x v="1"/>
    <x v="21"/>
    <x v="1"/>
  </r>
  <r>
    <s v="ANZ"/>
    <s v="Saving"/>
    <s v="06-0082-xxxx-00"/>
    <d v="2023-10-19T09:55:16"/>
    <s v="Payment Mj Asb Mj Asb  "/>
    <n v="-98.54"/>
    <x v="1"/>
    <x v="21"/>
    <x v="1"/>
  </r>
  <r>
    <s v="ANZ"/>
    <s v="Saving"/>
    <s v="06-0082-xxxx-00"/>
    <d v="2023-10-18T04:14:57"/>
    <s v="Automatic Payment Mj Asb Mj 8Denning Towerhouse Insurance"/>
    <n v="-81.34"/>
    <x v="1"/>
    <x v="21"/>
    <x v="1"/>
  </r>
  <r>
    <s v="ANZ"/>
    <s v="Saving"/>
    <s v="06-0082-xxxx-00"/>
    <d v="2023-10-18T04:14:54"/>
    <s v="Automatic Payment Mj Asb 24 Panorama Tower H&amp;C Insurance"/>
    <n v="-40.19"/>
    <x v="1"/>
    <x v="21"/>
    <x v="1"/>
  </r>
  <r>
    <s v="ANZ"/>
    <s v="Saving"/>
    <s v="06-0082-xxxx-00"/>
    <d v="2023-10-18T04:14:51"/>
    <s v="Automatic Payment Mj Asb Mj 5B Tower H&amp;C Insurance"/>
    <n v="-140.96"/>
    <x v="1"/>
    <x v="21"/>
    <x v="1"/>
  </r>
  <r>
    <s v="ANZ"/>
    <s v="Saving"/>
    <s v="06-0082-xxxx-00"/>
    <d v="2023-10-18T16:21:24"/>
    <s v="Direct Credit Bidfood Limited   Bidfood"/>
    <n v="2420.2800000000002"/>
    <x v="11"/>
    <x v="22"/>
    <x v="35"/>
  </r>
  <r>
    <s v="ANZ"/>
    <s v="Saving"/>
    <s v="06-0082-xxxx-00"/>
    <d v="2023-10-13T04:13:02"/>
    <s v="Automatic Payment Mj Asb Aia Insurance Sammj"/>
    <n v="-15.41"/>
    <x v="1"/>
    <x v="21"/>
    <x v="1"/>
  </r>
  <r>
    <s v="ANZ"/>
    <s v="Saving"/>
    <s v="06-0082-xxxx-00"/>
    <d v="2023-10-12T00:00:00"/>
    <s v="Loan Payment To: xxxx-1001         004600"/>
    <n v="-547.63"/>
    <x v="1"/>
    <x v="21"/>
    <x v="1"/>
  </r>
  <r>
    <s v="ANZ"/>
    <s v="Saving"/>
    <s v="06-0082-xxxx-00"/>
    <d v="2023-10-12T00:00:00"/>
    <s v="Loan Payment To: xxxx-1002         004600"/>
    <n v="-312.11"/>
    <x v="1"/>
    <x v="21"/>
    <x v="1"/>
  </r>
  <r>
    <s v="ANZ"/>
    <s v="Saving"/>
    <s v="06-0082-xxxx-00"/>
    <d v="2023-10-12T00:00:00"/>
    <s v="Loan Payment To: xxxx-1003         004600"/>
    <n v="-281.11"/>
    <x v="1"/>
    <x v="21"/>
    <x v="1"/>
  </r>
  <r>
    <s v="ANZ"/>
    <s v="Saving"/>
    <s v="06-0082-xxxx-00"/>
    <d v="2023-10-11T18:02:31"/>
    <s v="Payment Sam Kiwibank Sam Kiwibank  "/>
    <n v="-180.72"/>
    <x v="1"/>
    <x v="21"/>
    <x v="1"/>
  </r>
  <r>
    <s v="ANZ"/>
    <s v="Saving"/>
    <s v="06-0082-xxxx-00"/>
    <d v="2023-10-11T15:06:40"/>
    <s v="Direct Credit Bidfood Limited   Bidfood"/>
    <n v="1857.64"/>
    <x v="11"/>
    <x v="22"/>
    <x v="35"/>
  </r>
  <r>
    <s v="ANZ"/>
    <s v="Saving"/>
    <s v="06-0082-xxxx-00"/>
    <d v="2023-10-08T04:06:21"/>
    <s v="Automatic Payment Mj Asb Mobile Sam Skinny"/>
    <n v="-5.66"/>
    <x v="1"/>
    <x v="21"/>
    <x v="1"/>
  </r>
  <r>
    <s v="ANZ"/>
    <s v="Saving"/>
    <s v="06-0082-xxxx-00"/>
    <d v="2023-10-06T04:13:01"/>
    <s v="Automatic Payment Mj Asb Water  Mj 8Denning"/>
    <n v="-42.59"/>
    <x v="1"/>
    <x v="21"/>
    <x v="1"/>
  </r>
  <r>
    <s v="ANZ"/>
    <s v="Saving"/>
    <s v="06-0082-xxxx-00"/>
    <d v="2023-10-06T04:11:04"/>
    <s v="Automatic Payment Mj Asb Mj Mobile Us Phone Sam"/>
    <n v="-4.7699999999999996"/>
    <x v="1"/>
    <x v="21"/>
    <x v="1"/>
  </r>
  <r>
    <s v="ANZ"/>
    <s v="Saving"/>
    <s v="06-0082-xxxx-00"/>
    <d v="2023-10-05T00:00:00"/>
    <s v="Loan Payment To: xxxx-1001         004600"/>
    <n v="-263.08999999999997"/>
    <x v="1"/>
    <x v="21"/>
    <x v="1"/>
  </r>
  <r>
    <s v="ANZ"/>
    <s v="Saving"/>
    <s v="06-0082-xxxx-00"/>
    <d v="2023-10-05T00:00:00"/>
    <s v="Loan Payment To: xxxx-1002         004600"/>
    <n v="-107.05"/>
    <x v="1"/>
    <x v="21"/>
    <x v="1"/>
  </r>
  <r>
    <s v="ANZ"/>
    <s v="Saving"/>
    <s v="06-0082-xxxx-00"/>
    <d v="2023-10-05T00:00:00"/>
    <s v="Loan Payment To: xxxx-1003         004600"/>
    <n v="-321.54000000000002"/>
    <x v="1"/>
    <x v="21"/>
    <x v="1"/>
  </r>
  <r>
    <s v="ANZ"/>
    <s v="Saving"/>
    <s v="06-0082-xxxx-00"/>
    <d v="2023-10-04T04:11:21"/>
    <s v="Automatic Payment Mj Asb Mj 8Denning Towercontent Insurance"/>
    <n v="-16.27"/>
    <x v="1"/>
    <x v="21"/>
    <x v="1"/>
  </r>
  <r>
    <s v="ANZ"/>
    <s v="Saving"/>
    <s v="06-0082-xxxx-00"/>
    <d v="2023-10-04T04:09:34"/>
    <s v="Automatic Payment Mj Asb Mj Apple Cloud Storage"/>
    <n v="-7.97"/>
    <x v="1"/>
    <x v="21"/>
    <x v="1"/>
  </r>
  <r>
    <s v="ANZ"/>
    <s v="Saving"/>
    <s v="06-0082-xxxx-00"/>
    <d v="2023-10-04T17:11:15"/>
    <s v="Payment Mj Asb Mj Asb  "/>
    <n v="-1179.47"/>
    <x v="1"/>
    <x v="21"/>
    <x v="1"/>
  </r>
  <r>
    <s v="ANZ"/>
    <s v="Saving"/>
    <s v="06-0082-xxxx-00"/>
    <d v="2023-10-04T17:06:47"/>
    <s v="Direct Credit Bidfood Limited   Bidfood"/>
    <n v="2714.13"/>
    <x v="11"/>
    <x v="22"/>
    <x v="35"/>
  </r>
  <r>
    <s v="ANZ"/>
    <s v="Saving"/>
    <s v="06-0082-xxxx-00"/>
    <d v="2023-09-29T04:17:28"/>
    <s v="Automatic Payment Mj Asb Mobile Mj Skinny"/>
    <n v="-22.14"/>
    <x v="1"/>
    <x v="21"/>
    <x v="1"/>
  </r>
  <r>
    <s v="ANZ"/>
    <s v="Saving"/>
    <s v="06-0082-xxxx-00"/>
    <d v="2023-09-28T00:00:00"/>
    <s v="Loan Payment To: xxxx-1001         004600"/>
    <n v="-51.87"/>
    <x v="1"/>
    <x v="21"/>
    <x v="1"/>
  </r>
  <r>
    <s v="ANZ"/>
    <s v="Saving"/>
    <s v="06-0082-xxxx-00"/>
    <d v="2023-09-28T00:00:00"/>
    <s v="Loan Payment To: xxxx-1002         004600"/>
    <n v="-193.57"/>
    <x v="1"/>
    <x v="21"/>
    <x v="1"/>
  </r>
  <r>
    <s v="ANZ"/>
    <s v="Saving"/>
    <s v="06-0082-xxxx-00"/>
    <d v="2023-09-28T00:00:00"/>
    <s v="Loan Payment To: xxxx-1003         004600"/>
    <n v="-190.92"/>
    <x v="1"/>
    <x v="21"/>
    <x v="1"/>
  </r>
  <r>
    <s v="ANZ"/>
    <s v="Saving"/>
    <s v="06-0082-xxxx-00"/>
    <d v="2023-09-27T16:24:25"/>
    <s v="Payment Sam Kiwibank Sam Kiwibank  "/>
    <n v="-1388.2"/>
    <x v="1"/>
    <x v="21"/>
    <x v="1"/>
  </r>
  <r>
    <s v="ANZ"/>
    <s v="Saving"/>
    <s v="06-0082-xxxx-00"/>
    <d v="2023-09-27T16:21:23"/>
    <s v="Direct Credit Bidfood Limited   Bidfood"/>
    <n v="2744.31"/>
    <x v="11"/>
    <x v="22"/>
    <x v="35"/>
  </r>
  <r>
    <s v="ANZ"/>
    <s v="Saving"/>
    <s v="06-0082-xxxx-00"/>
    <d v="2023-09-24T04:08:04"/>
    <s v="Automatic Payment Mj Asb Mj Asb Netflix 8Denning"/>
    <n v="-14.65"/>
    <x v="1"/>
    <x v="21"/>
    <x v="1"/>
  </r>
  <r>
    <s v="ANZ"/>
    <s v="Saving"/>
    <s v="06-0082-xxxx-00"/>
    <d v="2023-09-21T00:00:00"/>
    <s v="Loan Payment To: xxxx-1001         004600"/>
    <n v="-538.98"/>
    <x v="1"/>
    <x v="21"/>
    <x v="1"/>
  </r>
  <r>
    <s v="ANZ"/>
    <s v="Saving"/>
    <s v="06-0082-xxxx-00"/>
    <d v="2023-09-21T00:00:00"/>
    <s v="Loan Payment To: xxxx-1002         004600"/>
    <n v="-122.41"/>
    <x v="1"/>
    <x v="21"/>
    <x v="1"/>
  </r>
  <r>
    <s v="ANZ"/>
    <s v="Saving"/>
    <s v="06-0082-xxxx-00"/>
    <d v="2023-09-21T00:00:00"/>
    <s v="Loan Payment To: xxxx-1003         004600"/>
    <n v="-293.29000000000002"/>
    <x v="1"/>
    <x v="21"/>
    <x v="1"/>
  </r>
  <r>
    <s v="ANZ"/>
    <s v="Saving"/>
    <s v="06-0082-xxxx-00"/>
    <d v="2023-09-21T09:32:21"/>
    <s v="Payment Sam Kiwibank Sam Kiwibank  "/>
    <n v="-694.59"/>
    <x v="1"/>
    <x v="21"/>
    <x v="1"/>
  </r>
  <r>
    <s v="ANZ"/>
    <s v="Saving"/>
    <s v="06-0082-xxxx-00"/>
    <d v="2023-09-20T04:14:47"/>
    <s v="Automatic Payment Mj Asb Electricity Contactenrgy Mj 8Denning"/>
    <n v="-148.93"/>
    <x v="1"/>
    <x v="21"/>
    <x v="1"/>
  </r>
  <r>
    <s v="ANZ"/>
    <s v="Saving"/>
    <s v="06-0082-xxxx-00"/>
    <d v="2023-09-20T16:07:33"/>
    <s v="Direct Credit Bidfood Limited   Bidfood"/>
    <n v="2496.63"/>
    <x v="11"/>
    <x v="22"/>
    <x v="35"/>
  </r>
  <r>
    <s v="ANZ"/>
    <s v="Saving"/>
    <s v="06-0082-xxxx-00"/>
    <d v="2023-09-18T04:07:28"/>
    <s v="Automatic Payment Mj Asb Mj 8Denning Towerhouse Insurance"/>
    <n v="-1.44"/>
    <x v="1"/>
    <x v="21"/>
    <x v="1"/>
  </r>
  <r>
    <s v="ANZ"/>
    <s v="Saving"/>
    <s v="06-0082-xxxx-00"/>
    <d v="2023-09-18T04:07:27"/>
    <s v="Automatic Payment Mj Asb 24 Panorama Tower H&amp;C Insurance"/>
    <n v="-10.220000000000001"/>
    <x v="1"/>
    <x v="21"/>
    <x v="1"/>
  </r>
  <r>
    <s v="ANZ"/>
    <s v="Saving"/>
    <s v="06-0082-xxxx-00"/>
    <d v="2023-09-18T04:07:25"/>
    <s v="Automatic Payment Mj Asb Mj 5B Tower H&amp;C Insurance"/>
    <n v="-27.46"/>
    <x v="1"/>
    <x v="21"/>
    <x v="1"/>
  </r>
  <r>
    <s v="ANZ"/>
    <s v="Saving"/>
    <s v="06-0082-xxxx-00"/>
    <d v="2023-09-14T00:00:00"/>
    <s v="Loan Payment To: xxxx-1001         004600"/>
    <n v="-401.76"/>
    <x v="1"/>
    <x v="21"/>
    <x v="1"/>
  </r>
  <r>
    <s v="ANZ"/>
    <s v="Saving"/>
    <s v="06-0082-xxxx-00"/>
    <d v="2023-09-14T00:00:00"/>
    <s v="Loan Payment To: xxxx-1002         004600"/>
    <n v="-356.15"/>
    <x v="1"/>
    <x v="21"/>
    <x v="1"/>
  </r>
  <r>
    <s v="ANZ"/>
    <s v="Saving"/>
    <s v="06-0082-xxxx-00"/>
    <d v="2023-09-14T00:00:00"/>
    <s v="Loan Payment To: xxxx-1003         004600"/>
    <n v="-281.22000000000003"/>
    <x v="1"/>
    <x v="21"/>
    <x v="1"/>
  </r>
  <r>
    <s v="ANZ"/>
    <s v="Saving"/>
    <s v="06-0082-xxxx-00"/>
    <d v="2023-09-13T04:14:27"/>
    <s v="Automatic Payment Mj Asb Aia Insurance Sammj"/>
    <n v="-88.9"/>
    <x v="1"/>
    <x v="21"/>
    <x v="1"/>
  </r>
  <r>
    <s v="ANZ"/>
    <s v="Saving"/>
    <s v="06-0082-xxxx-00"/>
    <d v="2023-09-13T16:11:32"/>
    <s v="Payment Sam Kiwibank Sam Kiwibank  "/>
    <n v="-1122.07"/>
    <x v="1"/>
    <x v="21"/>
    <x v="1"/>
  </r>
  <r>
    <s v="ANZ"/>
    <s v="Saving"/>
    <s v="06-0082-xxxx-00"/>
    <d v="2023-09-13T15:37:12"/>
    <s v="Direct Credit Bidfood Limited   Bidfood"/>
    <n v="461.57"/>
    <x v="11"/>
    <x v="22"/>
    <x v="35"/>
  </r>
  <r>
    <s v="ANZ"/>
    <s v="Saving"/>
    <s v="06-0082-xxxx-00"/>
    <d v="2023-09-10T04:07:58"/>
    <s v="Automatic Payment Mj Asb Mobile Sam Skinny"/>
    <n v="-13.63"/>
    <x v="1"/>
    <x v="21"/>
    <x v="1"/>
  </r>
  <r>
    <s v="ANZ"/>
    <s v="Saving"/>
    <s v="06-0082-xxxx-00"/>
    <d v="2023-09-07T00:00:00"/>
    <s v="Loan Payment To: xxxx-1001         004600"/>
    <n v="-270.19"/>
    <x v="1"/>
    <x v="21"/>
    <x v="1"/>
  </r>
  <r>
    <s v="ANZ"/>
    <s v="Saving"/>
    <s v="06-0082-xxxx-00"/>
    <d v="2023-09-07T00:00:00"/>
    <s v="Loan Payment To: xxxx-1002         004600"/>
    <n v="-140.66999999999999"/>
    <x v="1"/>
    <x v="21"/>
    <x v="1"/>
  </r>
  <r>
    <s v="ANZ"/>
    <s v="Saving"/>
    <s v="06-0082-xxxx-00"/>
    <d v="2023-09-07T00:00:00"/>
    <s v="Loan Payment To: xxxx-1003         004600"/>
    <n v="-264.05"/>
    <x v="1"/>
    <x v="21"/>
    <x v="1"/>
  </r>
  <r>
    <s v="ANZ"/>
    <s v="Saving"/>
    <s v="06-0082-xxxx-00"/>
    <d v="2023-09-07T21:30:14"/>
    <s v="Payment Sam Kiwibank Sam Kiwibank  "/>
    <n v="-1256.3699999999999"/>
    <x v="1"/>
    <x v="21"/>
    <x v="1"/>
  </r>
  <r>
    <s v="ANZ"/>
    <s v="Saving"/>
    <s v="06-0082-xxxx-00"/>
    <d v="2023-09-07T21:30:30"/>
    <s v="Payment Mj Asb Mj Asb  "/>
    <n v="-168.5"/>
    <x v="1"/>
    <x v="21"/>
    <x v="1"/>
  </r>
  <r>
    <s v="ANZ"/>
    <s v="Saving"/>
    <s v="06-0082-xxxx-00"/>
    <d v="2023-09-06T04:12:24"/>
    <s v="Automatic Payment Mj Asb Water  Mj 8Denning"/>
    <n v="-145.72999999999999"/>
    <x v="1"/>
    <x v="21"/>
    <x v="1"/>
  </r>
  <r>
    <s v="ANZ"/>
    <s v="Saving"/>
    <s v="06-0082-xxxx-00"/>
    <d v="2023-09-06T04:09:32"/>
    <s v="Automatic Payment Mj Asb Mj Mobile Us Phone Sam"/>
    <n v="-16.989999999999998"/>
    <x v="1"/>
    <x v="21"/>
    <x v="1"/>
  </r>
  <r>
    <s v="ANZ"/>
    <s v="Saving"/>
    <s v="06-0082-xxxx-00"/>
    <d v="2023-09-06T15:37:08"/>
    <s v="Direct Credit Bidfood Limited   Bidfood"/>
    <n v="3286.28"/>
    <x v="11"/>
    <x v="22"/>
    <x v="35"/>
  </r>
  <r>
    <s v="ANZ"/>
    <s v="Saving"/>
    <s v="06-0082-xxxx-00"/>
    <d v="2023-09-04T04:08:33"/>
    <s v="Automatic Payment Mj Asb Mj 8Denning Towercontent Insurance"/>
    <n v="-48.11"/>
    <x v="1"/>
    <x v="21"/>
    <x v="1"/>
  </r>
  <r>
    <s v="ANZ"/>
    <s v="Saving"/>
    <s v="06-0082-xxxx-00"/>
    <d v="2023-09-04T04:07:57"/>
    <s v="Automatic Payment Mj Asb Mj Apple Cloud Storage"/>
    <n v="-17.25"/>
    <x v="1"/>
    <x v="21"/>
    <x v="1"/>
  </r>
  <r>
    <s v="ANZ"/>
    <s v="Saving"/>
    <s v="06-0082-xxxx-00"/>
    <d v="2023-09-01T04:08:26"/>
    <s v="Automatic Payment Mj Asb Mobile Mj Skinny"/>
    <n v="-12.53"/>
    <x v="1"/>
    <x v="21"/>
    <x v="1"/>
  </r>
  <r>
    <s v="ANZ"/>
    <s v="Saving"/>
    <s v="06-0082-xxxx-00"/>
    <d v="2023-08-31T00:00:00"/>
    <s v="Loan Payment To: xxxx-1001         004600"/>
    <n v="-482.55"/>
    <x v="1"/>
    <x v="21"/>
    <x v="1"/>
  </r>
  <r>
    <s v="ANZ"/>
    <s v="Saving"/>
    <s v="06-0082-xxxx-00"/>
    <d v="2023-08-31T00:00:00"/>
    <s v="Loan Payment To: xxxx-1002         004600"/>
    <n v="-21.09"/>
    <x v="1"/>
    <x v="21"/>
    <x v="1"/>
  </r>
  <r>
    <s v="ANZ"/>
    <s v="Saving"/>
    <s v="06-0082-xxxx-00"/>
    <d v="2023-08-31T00:00:00"/>
    <s v="Loan Payment To: xxxx-1003         004600"/>
    <n v="-33.049999999999997"/>
    <x v="1"/>
    <x v="21"/>
    <x v="1"/>
  </r>
  <r>
    <s v="ANZ"/>
    <s v="Saving"/>
    <s v="06-0082-xxxx-00"/>
    <d v="2023-08-30T16:14:14"/>
    <s v="Payment Sam Kiwibank Sam Kiwibank  "/>
    <n v="-782.81"/>
    <x v="1"/>
    <x v="21"/>
    <x v="1"/>
  </r>
  <r>
    <s v="ANZ"/>
    <s v="Saving"/>
    <s v="06-0082-xxxx-00"/>
    <d v="2023-08-30T15:36:38"/>
    <s v="Direct Credit Bidfood Limited   Bidfood"/>
    <n v="2143.9299999999998"/>
    <x v="11"/>
    <x v="22"/>
    <x v="35"/>
  </r>
  <r>
    <s v="ANZ"/>
    <s v="Saving"/>
    <s v="06-0082-xxxx-00"/>
    <d v="2023-08-25T05:44:43"/>
    <s v="Payment Sam Kiwibank Sam Kiwibank  "/>
    <n v="-1007.32"/>
    <x v="1"/>
    <x v="21"/>
    <x v="1"/>
  </r>
  <r>
    <s v="ANZ"/>
    <s v="Saving"/>
    <s v="06-0082-xxxx-00"/>
    <d v="2023-08-24T04:08:54"/>
    <s v="Automatic Payment Mj Asb Mj Asb Netflix 8Denning"/>
    <n v="-15.97"/>
    <x v="1"/>
    <x v="21"/>
    <x v="1"/>
  </r>
  <r>
    <s v="ANZ"/>
    <s v="Saving"/>
    <s v="06-0082-xxxx-00"/>
    <d v="2023-08-24T18:36:28"/>
    <s v="Direct Debit Inland Revenue Dept Iit 111811989Inc 1805564544"/>
    <n v="-86.51"/>
    <x v="5"/>
    <x v="7"/>
    <x v="13"/>
  </r>
  <r>
    <s v="ANZ"/>
    <s v="Saving"/>
    <s v="06-0082-xxxx-00"/>
    <d v="2023-08-24T00:00:00"/>
    <s v="Loan Payment To: xxxx-1001         004600"/>
    <n v="-154.66"/>
    <x v="1"/>
    <x v="21"/>
    <x v="1"/>
  </r>
  <r>
    <s v="ANZ"/>
    <s v="Saving"/>
    <s v="06-0082-xxxx-00"/>
    <d v="2023-08-24T00:00:00"/>
    <s v="Loan Payment To: xxxx-1002         004600"/>
    <n v="-438.74"/>
    <x v="1"/>
    <x v="21"/>
    <x v="1"/>
  </r>
  <r>
    <s v="ANZ"/>
    <s v="Saving"/>
    <s v="06-0082-xxxx-00"/>
    <d v="2023-08-24T00:00:00"/>
    <s v="Loan Payment To: xxxx-1003         004600"/>
    <n v="-271.17"/>
    <x v="1"/>
    <x v="21"/>
    <x v="1"/>
  </r>
  <r>
    <s v="ANZ"/>
    <s v="Saving"/>
    <s v="06-0082-xxxx-00"/>
    <d v="2023-08-24T16:06:54"/>
    <s v="Bill Payment S Taebi Mj  Ird"/>
    <n v="415.08"/>
    <x v="1"/>
    <x v="21"/>
    <x v="1"/>
  </r>
  <r>
    <s v="ANZ"/>
    <s v="Saving"/>
    <s v="06-0082-xxxx-00"/>
    <d v="2023-08-23T15:36:48"/>
    <s v="Direct Credit Bidfood Limited   Bidfood"/>
    <n v="816.79"/>
    <x v="11"/>
    <x v="22"/>
    <x v="35"/>
  </r>
  <r>
    <s v="ANZ"/>
    <s v="Saving"/>
    <s v="06-0082-xxxx-00"/>
    <d v="2023-08-20T04:08:53"/>
    <s v="Automatic Payment Mj Asb Electricity Contactenrgy Mj 8Denning"/>
    <n v="-231.9"/>
    <x v="1"/>
    <x v="21"/>
    <x v="1"/>
  </r>
  <r>
    <s v="ANZ"/>
    <s v="Saving"/>
    <s v="06-0082-xxxx-00"/>
    <d v="2023-08-18T04:14:00"/>
    <s v="Automatic Payment Mj Asb Mj 8Denning Towerhouse Insurance"/>
    <n v="-13.77"/>
    <x v="1"/>
    <x v="21"/>
    <x v="1"/>
  </r>
  <r>
    <s v="ANZ"/>
    <s v="Saving"/>
    <s v="06-0082-xxxx-00"/>
    <d v="2023-08-18T04:13:58"/>
    <s v="Automatic Payment Mj Asb 24 Panorama Tower H&amp;C Insurance"/>
    <n v="-146.58000000000001"/>
    <x v="1"/>
    <x v="21"/>
    <x v="1"/>
  </r>
  <r>
    <s v="ANZ"/>
    <s v="Saving"/>
    <s v="06-0082-xxxx-00"/>
    <d v="2023-08-18T04:13:56"/>
    <s v="Automatic Payment Mj Asb Mj 5B Tower H&amp;C Insurance"/>
    <n v="-29.19"/>
    <x v="1"/>
    <x v="21"/>
    <x v="1"/>
  </r>
  <r>
    <s v="ANZ"/>
    <s v="Saving"/>
    <s v="06-0082-xxxx-00"/>
    <d v="2023-08-17T00:00:00"/>
    <s v="Loan Payment To: xxxx-1001         004600"/>
    <n v="-314.92"/>
    <x v="1"/>
    <x v="21"/>
    <x v="1"/>
  </r>
  <r>
    <s v="ANZ"/>
    <s v="Saving"/>
    <s v="06-0082-xxxx-00"/>
    <d v="2023-08-17T00:00:00"/>
    <s v="Loan Payment To: xxxx-1002         004600"/>
    <n v="-242.32"/>
    <x v="1"/>
    <x v="21"/>
    <x v="1"/>
  </r>
  <r>
    <s v="ANZ"/>
    <s v="Saving"/>
    <s v="06-0082-xxxx-00"/>
    <d v="2023-08-17T00:00:00"/>
    <s v="Loan Payment To: xxxx-1003         004600"/>
    <n v="-292.86"/>
    <x v="1"/>
    <x v="21"/>
    <x v="1"/>
  </r>
  <r>
    <s v="ANZ"/>
    <s v="Saving"/>
    <s v="06-0082-xxxx-00"/>
    <d v="2023-08-16T17:04:12"/>
    <s v="Payment Sam Kiwibank Sam Kiwibank  "/>
    <n v="-318.31"/>
    <x v="1"/>
    <x v="21"/>
    <x v="1"/>
  </r>
  <r>
    <s v="ANZ"/>
    <s v="Saving"/>
    <s v="06-0082-xxxx-00"/>
    <d v="2023-08-16T16:21:41"/>
    <s v="Direct Credit Bidfood Limited   Bidfood"/>
    <n v="1091.28"/>
    <x v="11"/>
    <x v="22"/>
    <x v="35"/>
  </r>
  <r>
    <s v="ANZ"/>
    <s v="Saving"/>
    <s v="06-0082-xxxx-00"/>
    <d v="2023-08-13T04:06:47"/>
    <s v="Automatic Payment Mj Asb Aia Insurance Sammj"/>
    <n v="-61.57"/>
    <x v="1"/>
    <x v="21"/>
    <x v="1"/>
  </r>
  <r>
    <s v="ANZ"/>
    <s v="Saving"/>
    <s v="06-0082-xxxx-00"/>
    <d v="2023-08-13T04:06:35"/>
    <s v="Automatic Payment Mj Asb Mobile Sam Skinny"/>
    <n v="-8.08"/>
    <x v="1"/>
    <x v="21"/>
    <x v="1"/>
  </r>
  <r>
    <s v="ANZ"/>
    <s v="Saving"/>
    <s v="06-0082-xxxx-00"/>
    <d v="2023-08-10T00:00:00"/>
    <s v="Loan Payment To: xxxx-1001         004600"/>
    <n v="-271.14999999999998"/>
    <x v="1"/>
    <x v="21"/>
    <x v="1"/>
  </r>
  <r>
    <s v="ANZ"/>
    <s v="Saving"/>
    <s v="06-0082-xxxx-00"/>
    <d v="2023-08-10T00:00:00"/>
    <s v="Loan Payment To: xxxx-1002         004600"/>
    <n v="-324.88"/>
    <x v="1"/>
    <x v="21"/>
    <x v="1"/>
  </r>
  <r>
    <s v="ANZ"/>
    <s v="Saving"/>
    <s v="06-0082-xxxx-00"/>
    <d v="2023-08-10T00:00:00"/>
    <s v="Loan Payment To: xxxx-1003         004600"/>
    <n v="-354.16"/>
    <x v="1"/>
    <x v="21"/>
    <x v="1"/>
  </r>
  <r>
    <s v="ANZ"/>
    <s v="Saving"/>
    <s v="06-0082-xxxx-00"/>
    <d v="2023-08-10T14:34:13"/>
    <s v="Payment Sam Kiwibank Sam Kiwibank  "/>
    <n v="-535.16"/>
    <x v="1"/>
    <x v="21"/>
    <x v="1"/>
  </r>
  <r>
    <s v="ANZ"/>
    <s v="Saving"/>
    <s v="06-0082-xxxx-00"/>
    <d v="2023-08-09T22:42:58"/>
    <s v="Payment Contact Energy 916029Dpsa2A Contact Ener 501461545"/>
    <n v="-193.37"/>
    <x v="4"/>
    <x v="5"/>
    <x v="5"/>
  </r>
  <r>
    <s v="ANZ"/>
    <s v="Saving"/>
    <s v="06-0082-xxxx-00"/>
    <d v="2023-08-10T14:34:25"/>
    <s v="Payment Mj Asb Mj Asb  "/>
    <n v="-96.04"/>
    <x v="1"/>
    <x v="21"/>
    <x v="1"/>
  </r>
  <r>
    <s v="ANZ"/>
    <s v="Saving"/>
    <s v="06-0082-xxxx-00"/>
    <d v="2023-08-09T15:36:53"/>
    <s v="Direct Credit Bidfood Limited   Bidfood"/>
    <n v="568.55999999999995"/>
    <x v="11"/>
    <x v="22"/>
    <x v="35"/>
  </r>
  <r>
    <s v="ANZ"/>
    <s v="Saving"/>
    <s v="06-0082-xxxx-00"/>
    <d v="2023-08-06T04:08:55"/>
    <s v="Automatic Payment Mj Asb Water  Mj 8Denning"/>
    <n v="-32.049999999999997"/>
    <x v="1"/>
    <x v="21"/>
    <x v="1"/>
  </r>
  <r>
    <s v="ANZ"/>
    <s v="Saving"/>
    <s v="06-0082-xxxx-00"/>
    <d v="2023-08-06T04:08:40"/>
    <s v="Automatic Payment Mj Asb Mj Mobile Us Phone Sam"/>
    <n v="-16.37"/>
    <x v="1"/>
    <x v="21"/>
    <x v="1"/>
  </r>
  <r>
    <s v="ANZ"/>
    <s v="Saving"/>
    <s v="06-0082-xxxx-00"/>
    <d v="2023-08-04T04:18:02"/>
    <s v="Automatic Payment Mj Asb Mj 8Denning Towercontent Insurance"/>
    <n v="-52.32"/>
    <x v="1"/>
    <x v="21"/>
    <x v="1"/>
  </r>
  <r>
    <s v="ANZ"/>
    <s v="Saving"/>
    <s v="06-0082-xxxx-00"/>
    <d v="2023-08-04T04:17:00"/>
    <s v="Automatic Payment Mj Asb Mobile Mj Skinny"/>
    <n v="-25.2"/>
    <x v="1"/>
    <x v="21"/>
    <x v="1"/>
  </r>
  <r>
    <s v="ANZ"/>
    <s v="Saving"/>
    <s v="06-0082-xxxx-00"/>
    <d v="2023-08-04T04:17:00"/>
    <s v="Automatic Payment Mj Asb Mj Apple Cloud Storage"/>
    <n v="-25.21"/>
    <x v="1"/>
    <x v="21"/>
    <x v="1"/>
  </r>
  <r>
    <s v="ANZ"/>
    <s v="Saving"/>
    <s v="06-0082-xxxx-00"/>
    <d v="2023-08-04T17:13:05"/>
    <s v="Payment Sam Kiwibank Sam Kiwibank  "/>
    <n v="-2108.8200000000002"/>
    <x v="1"/>
    <x v="21"/>
    <x v="1"/>
  </r>
  <r>
    <s v="ANZ"/>
    <s v="Saving"/>
    <s v="06-0082-xxxx-00"/>
    <d v="2023-08-04T16:06:18"/>
    <s v="Direct Credit Bidfood Limited   Bidfood"/>
    <n v="4395.1099999999997"/>
    <x v="11"/>
    <x v="22"/>
    <x v="35"/>
  </r>
  <r>
    <s v="ANZ"/>
    <s v="Saving"/>
    <s v="06-0082-xxxx-00"/>
    <d v="2023-08-03T00:00:00"/>
    <s v="Loan Payment To: xxxx-1001         004600"/>
    <n v="-351.44"/>
    <x v="1"/>
    <x v="21"/>
    <x v="1"/>
  </r>
  <r>
    <s v="ANZ"/>
    <s v="Saving"/>
    <s v="06-0082-xxxx-00"/>
    <d v="2023-08-03T00:00:00"/>
    <s v="Loan Payment To: xxxx-1002         004600"/>
    <n v="-539.30999999999995"/>
    <x v="1"/>
    <x v="21"/>
    <x v="1"/>
  </r>
  <r>
    <s v="ANZ"/>
    <s v="Saving"/>
    <s v="06-0082-xxxx-00"/>
    <d v="2023-08-03T00:00:00"/>
    <s v="Loan Payment To: xxxx-1003         004600"/>
    <n v="-305.43"/>
    <x v="1"/>
    <x v="21"/>
    <x v="1"/>
  </r>
  <r>
    <s v="ANZ"/>
    <s v="Saving"/>
    <s v="06-0082-xxxx-00"/>
    <d v="2023-08-02T15:42:13"/>
    <s v="Payment Sam Kiwibank Sam Kiwibank  "/>
    <n v="-1260.1099999999999"/>
    <x v="1"/>
    <x v="21"/>
    <x v="1"/>
  </r>
  <r>
    <s v="ANZ"/>
    <s v="Saving"/>
    <s v="06-0082-xxxx-00"/>
    <d v="2023-08-02T15:42:27"/>
    <s v="Payment Mj Asb Mj Asb  "/>
    <n v="-47.33"/>
    <x v="1"/>
    <x v="21"/>
    <x v="1"/>
  </r>
  <r>
    <s v="ANZ"/>
    <s v="Saving"/>
    <s v="06-0082-xxxx-00"/>
    <d v="2023-08-02T15:37:04"/>
    <s v="Direct Credit Bidfood Limited   Bidfood"/>
    <n v="2664.4"/>
    <x v="11"/>
    <x v="22"/>
    <x v="35"/>
  </r>
  <r>
    <s v="ANZ"/>
    <s v="Saving"/>
    <s v="06-0082-xxxx-00"/>
    <d v="2023-07-27T00:00:00"/>
    <s v="Loan Payment To: xxxx-1001         004600"/>
    <n v="-95.1"/>
    <x v="1"/>
    <x v="21"/>
    <x v="1"/>
  </r>
  <r>
    <s v="ANZ"/>
    <s v="Saving"/>
    <s v="06-0082-xxxx-00"/>
    <d v="2023-07-27T00:00:00"/>
    <s v="Loan Payment To: xxxx-1002         004600"/>
    <n v="-678.95"/>
    <x v="1"/>
    <x v="21"/>
    <x v="1"/>
  </r>
  <r>
    <s v="ANZ"/>
    <s v="Saving"/>
    <s v="06-0082-xxxx-00"/>
    <d v="2023-07-27T00:00:00"/>
    <s v="Loan Payment To: xxxx-1003         004600"/>
    <n v="-182.73"/>
    <x v="1"/>
    <x v="21"/>
    <x v="1"/>
  </r>
  <r>
    <s v="ANZ"/>
    <s v="Saving"/>
    <s v="06-0082-xxxx-00"/>
    <d v="2023-07-26T17:04:31"/>
    <s v="Payment Sam Kiwibank Sam Kiwibank  "/>
    <n v="-49.16"/>
    <x v="1"/>
    <x v="21"/>
    <x v="1"/>
  </r>
  <r>
    <s v="ANZ"/>
    <s v="Saving"/>
    <s v="06-0082-xxxx-00"/>
    <d v="2023-07-26T17:04:48"/>
    <s v="Payment Mj Asb Mj Asb  "/>
    <n v="-70.760000000000005"/>
    <x v="1"/>
    <x v="21"/>
    <x v="1"/>
  </r>
  <r>
    <s v="ANZ"/>
    <s v="Saving"/>
    <s v="06-0082-xxxx-00"/>
    <d v="2023-07-26T15:37:20"/>
    <s v="Direct Credit Bidfood Limited   Bidfood"/>
    <n v="2991.7"/>
    <x v="11"/>
    <x v="22"/>
    <x v="35"/>
  </r>
  <r>
    <s v="ANZ"/>
    <s v="Saving"/>
    <s v="06-0082-xxxx-00"/>
    <d v="2023-07-24T04:06:26"/>
    <s v="Automatic Payment Mj Asb Mj Asb Netflix 8Denning"/>
    <n v="-0.93"/>
    <x v="1"/>
    <x v="21"/>
    <x v="1"/>
  </r>
  <r>
    <s v="ANZ"/>
    <s v="Saving"/>
    <s v="06-0082-xxxx-00"/>
    <d v="2023-07-20T04:16:33"/>
    <s v="Automatic Payment Mj Asb Electricity Contactenrgy Mj 8Denning"/>
    <n v="-60.8"/>
    <x v="1"/>
    <x v="21"/>
    <x v="1"/>
  </r>
  <r>
    <s v="ANZ"/>
    <s v="Saving"/>
    <s v="06-0082-xxxx-00"/>
    <d v="2023-07-20T00:00:00"/>
    <s v="Loan Payment To: xxxx-1001         004600"/>
    <n v="-739.9"/>
    <x v="1"/>
    <x v="21"/>
    <x v="1"/>
  </r>
  <r>
    <s v="ANZ"/>
    <s v="Saving"/>
    <s v="06-0082-xxxx-00"/>
    <d v="2023-07-20T00:00:00"/>
    <s v="Loan Payment To: xxxx-1002         004600"/>
    <n v="-197.6"/>
    <x v="1"/>
    <x v="21"/>
    <x v="1"/>
  </r>
  <r>
    <s v="ANZ"/>
    <s v="Saving"/>
    <s v="06-0082-xxxx-00"/>
    <d v="2023-07-20T00:00:00"/>
    <s v="Loan Payment To: xxxx-1003         004600"/>
    <n v="-109.49"/>
    <x v="1"/>
    <x v="21"/>
    <x v="1"/>
  </r>
  <r>
    <s v="ANZ"/>
    <s v="Saving"/>
    <s v="06-0082-xxxx-00"/>
    <d v="2023-07-19T15:42:38"/>
    <s v="Payment Sam Kiwibank Sam Kiwibank  "/>
    <n v="-1101.94"/>
    <x v="1"/>
    <x v="21"/>
    <x v="1"/>
  </r>
  <r>
    <s v="ANZ"/>
    <s v="Saving"/>
    <s v="06-0082-xxxx-00"/>
    <d v="2023-07-19T15:42:23"/>
    <s v="Payment Mj Asb Mj Asb  "/>
    <n v="-76.06"/>
    <x v="1"/>
    <x v="21"/>
    <x v="1"/>
  </r>
  <r>
    <s v="ANZ"/>
    <s v="Saving"/>
    <s v="06-0082-xxxx-00"/>
    <d v="2023-07-19T15:36:52"/>
    <s v="Direct Credit Bidfood Limited   Bidfood"/>
    <n v="1687.64"/>
    <x v="11"/>
    <x v="22"/>
    <x v="35"/>
  </r>
  <r>
    <s v="ANZ"/>
    <s v="Saving"/>
    <s v="06-0082-xxxx-00"/>
    <d v="2023-07-18T04:12:48"/>
    <s v="Automatic Payment Mj Asb Mj 8Denning Towerhouse Insurance"/>
    <n v="-166.71"/>
    <x v="1"/>
    <x v="21"/>
    <x v="1"/>
  </r>
  <r>
    <s v="ANZ"/>
    <s v="Saving"/>
    <s v="06-0082-xxxx-00"/>
    <d v="2023-07-18T04:12:46"/>
    <s v="Automatic Payment Mj Asb 24 Panorama Tower H&amp;C Insurance"/>
    <n v="-56.06"/>
    <x v="1"/>
    <x v="21"/>
    <x v="1"/>
  </r>
  <r>
    <s v="ANZ"/>
    <s v="Saving"/>
    <s v="06-0082-xxxx-00"/>
    <d v="2023-07-18T04:12:44"/>
    <s v="Automatic Payment Mj Asb Mj 5B Tower H&amp;C Insurance"/>
    <n v="-107.76"/>
    <x v="1"/>
    <x v="21"/>
    <x v="1"/>
  </r>
  <r>
    <s v="ANZ"/>
    <s v="Saving"/>
    <s v="06-0082-xxxx-00"/>
    <d v="2023-07-16T04:08:16"/>
    <s v="Automatic Payment Mj Asb Mobile Sam Skinny"/>
    <n v="-0.98"/>
    <x v="1"/>
    <x v="21"/>
    <x v="1"/>
  </r>
  <r>
    <s v="ANZ"/>
    <s v="Saving"/>
    <s v="06-0082-xxxx-00"/>
    <d v="2023-07-13T04:12:43"/>
    <s v="Automatic Payment Mj Asb Aia Insurance Sammj"/>
    <n v="-34.979999999999997"/>
    <x v="1"/>
    <x v="21"/>
    <x v="1"/>
  </r>
  <r>
    <s v="ANZ"/>
    <s v="Saving"/>
    <s v="06-0082-xxxx-00"/>
    <d v="2023-07-13T00:00:00"/>
    <s v="Loan Payment To: xxxx-1001         004600"/>
    <n v="-25.26"/>
    <x v="1"/>
    <x v="21"/>
    <x v="1"/>
  </r>
  <r>
    <s v="ANZ"/>
    <s v="Saving"/>
    <s v="06-0082-xxxx-00"/>
    <d v="2023-07-13T00:00:00"/>
    <s v="Loan Payment To: xxxx-1002         004600"/>
    <n v="-348.47"/>
    <x v="1"/>
    <x v="21"/>
    <x v="1"/>
  </r>
  <r>
    <s v="ANZ"/>
    <s v="Saving"/>
    <s v="06-0082-xxxx-00"/>
    <d v="2023-07-13T00:00:00"/>
    <s v="Loan Payment To: xxxx-1003         004600"/>
    <n v="-353.01"/>
    <x v="1"/>
    <x v="21"/>
    <x v="1"/>
  </r>
  <r>
    <s v="ANZ"/>
    <s v="Saving"/>
    <s v="06-0082-xxxx-00"/>
    <d v="2023-07-12T17:41:39"/>
    <s v="Payment Mj Asb Mj Asb  "/>
    <n v="-154.5"/>
    <x v="1"/>
    <x v="21"/>
    <x v="1"/>
  </r>
  <r>
    <s v="ANZ"/>
    <s v="Saving"/>
    <s v="06-0082-xxxx-00"/>
    <d v="2023-07-12T17:41:57"/>
    <s v="Payment Sam Kiwibank Sam Kiwibank  "/>
    <n v="-204.03"/>
    <x v="1"/>
    <x v="21"/>
    <x v="1"/>
  </r>
  <r>
    <s v="ANZ"/>
    <s v="Saving"/>
    <s v="06-0082-xxxx-00"/>
    <d v="2023-07-12T16:06:49"/>
    <s v="Direct Credit Bidfood Limited   Bidfood"/>
    <n v="3080.95"/>
    <x v="11"/>
    <x v="22"/>
    <x v="35"/>
  </r>
  <r>
    <s v="ANZ"/>
    <s v="Saving"/>
    <s v="06-0082-xxxx-00"/>
    <d v="2023-07-07T04:09:26"/>
    <s v="Automatic Payment Mj Asb Mobile Mj Skinny"/>
    <n v="-12.85"/>
    <x v="1"/>
    <x v="21"/>
    <x v="1"/>
  </r>
  <r>
    <s v="ANZ"/>
    <s v="Saving"/>
    <s v="06-0082-xxxx-00"/>
    <d v="2023-07-06T04:12:40"/>
    <s v="Automatic Payment Mj Asb Water  Mj 8Denning"/>
    <n v="-62.1"/>
    <x v="1"/>
    <x v="21"/>
    <x v="1"/>
  </r>
  <r>
    <s v="ANZ"/>
    <s v="Saving"/>
    <s v="06-0082-xxxx-00"/>
    <d v="2023-07-06T04:08:31"/>
    <s v="Automatic Payment Mj Asb Mj Mobile Us Phone Sam"/>
    <n v="-4.49"/>
    <x v="1"/>
    <x v="21"/>
    <x v="1"/>
  </r>
  <r>
    <s v="ANZ"/>
    <s v="Saving"/>
    <s v="06-0082-xxxx-00"/>
    <d v="2023-07-06T00:00:00"/>
    <s v="Loan Payment To: xxxx-1001         004600"/>
    <n v="-51.38"/>
    <x v="1"/>
    <x v="21"/>
    <x v="1"/>
  </r>
  <r>
    <s v="ANZ"/>
    <s v="Saving"/>
    <s v="06-0082-xxxx-00"/>
    <d v="2023-07-06T00:00:00"/>
    <s v="Loan Payment To: xxxx-1002         004600"/>
    <n v="-95.96"/>
    <x v="1"/>
    <x v="21"/>
    <x v="1"/>
  </r>
  <r>
    <s v="ANZ"/>
    <s v="Saving"/>
    <s v="06-0082-xxxx-00"/>
    <d v="2023-07-06T00:00:00"/>
    <s v="Loan Payment To: xxxx-1003         004600"/>
    <n v="-115.46"/>
    <x v="1"/>
    <x v="21"/>
    <x v="1"/>
  </r>
  <r>
    <s v="ANZ"/>
    <s v="Saving"/>
    <s v="06-0082-xxxx-00"/>
    <d v="2023-07-05T15:44:06"/>
    <s v="Payment Sam Kiwibank Sam Kiwibank  "/>
    <n v="-57.81"/>
    <x v="1"/>
    <x v="21"/>
    <x v="1"/>
  </r>
  <r>
    <s v="ANZ"/>
    <s v="Saving"/>
    <s v="06-0082-xxxx-00"/>
    <d v="2023-07-05T15:41:59"/>
    <s v="Payment Mj Asb Mj Asb  "/>
    <n v="-55.86"/>
    <x v="1"/>
    <x v="21"/>
    <x v="1"/>
  </r>
  <r>
    <s v="ANZ"/>
    <s v="Saving"/>
    <s v="06-0082-xxxx-00"/>
    <d v="2023-07-05T15:44:37"/>
    <s v="Payment Mj Asb Mj Asb  "/>
    <n v="-8.5500000000000007"/>
    <x v="1"/>
    <x v="21"/>
    <x v="1"/>
  </r>
  <r>
    <s v="ANZ"/>
    <s v="Saving"/>
    <s v="06-0082-xxxx-00"/>
    <d v="2023-07-05T15:36:49"/>
    <s v="Direct Credit Bidfood Limited   Bidfood"/>
    <n v="176.51"/>
    <x v="11"/>
    <x v="22"/>
    <x v="35"/>
  </r>
  <r>
    <s v="ANZ"/>
    <s v="Saving"/>
    <s v="06-0082-xxxx-00"/>
    <d v="2023-07-04T04:08:37"/>
    <s v="Automatic Payment Mj Asb Mj 8Denning Towercontent Insurance"/>
    <n v="-65.349999999999994"/>
    <x v="1"/>
    <x v="21"/>
    <x v="1"/>
  </r>
  <r>
    <s v="ANZ"/>
    <s v="Saving"/>
    <s v="06-0082-xxxx-00"/>
    <d v="2023-07-04T04:07:36"/>
    <s v="Automatic Payment Mj Asb Mj Apple Cloud Storage"/>
    <n v="-17.57"/>
    <x v="1"/>
    <x v="21"/>
    <x v="1"/>
  </r>
  <r>
    <s v="ANZ"/>
    <s v="Saving"/>
    <s v="06-0082-xxxx-00"/>
    <d v="2023-06-29T00:00:00"/>
    <s v="Loan Payment To: xxxx-1001         004600"/>
    <n v="-517.27"/>
    <x v="1"/>
    <x v="21"/>
    <x v="1"/>
  </r>
  <r>
    <s v="ANZ"/>
    <s v="Saving"/>
    <s v="06-0082-xxxx-00"/>
    <d v="2023-06-29T00:00:00"/>
    <s v="Loan Payment To: xxxx-1002         004600"/>
    <n v="-712.54"/>
    <x v="1"/>
    <x v="21"/>
    <x v="1"/>
  </r>
  <r>
    <s v="ANZ"/>
    <s v="Saving"/>
    <s v="06-0082-xxxx-00"/>
    <d v="2023-06-29T00:00:00"/>
    <s v="Loan Payment To: xxxx-1003         004600"/>
    <n v="-7.28"/>
    <x v="1"/>
    <x v="21"/>
    <x v="1"/>
  </r>
  <r>
    <s v="ANZ"/>
    <s v="Saving"/>
    <s v="06-0082-xxxx-00"/>
    <d v="2023-06-28T15:49:12"/>
    <s v="Payment Sam Kiwibank Sam Kiwibank  "/>
    <n v="-337.97"/>
    <x v="1"/>
    <x v="21"/>
    <x v="1"/>
  </r>
  <r>
    <s v="ANZ"/>
    <s v="Saving"/>
    <s v="06-0082-xxxx-00"/>
    <d v="2023-06-28T15:49:28"/>
    <s v="Payment Mj Asb Mj Asb  "/>
    <n v="-137.46"/>
    <x v="1"/>
    <x v="21"/>
    <x v="1"/>
  </r>
  <r>
    <s v="ANZ"/>
    <s v="Saving"/>
    <s v="06-0082-xxxx-00"/>
    <d v="2023-06-28T15:37:07"/>
    <s v="Direct Credit Bidfood Limited   Bidfood"/>
    <n v="903.5"/>
    <x v="11"/>
    <x v="22"/>
    <x v="35"/>
  </r>
  <r>
    <s v="ANZ"/>
    <s v="Saving"/>
    <s v="06-0082-xxxx-00"/>
    <d v="2023-06-24T04:16:08"/>
    <s v="Automatic Payment Mj Asb Mj Asb Netflix 8Denning"/>
    <n v="-24.68"/>
    <x v="1"/>
    <x v="21"/>
    <x v="1"/>
  </r>
  <r>
    <s v="ANZ"/>
    <s v="Saving"/>
    <s v="06-0082-xxxx-00"/>
    <d v="2023-06-22T00:00:00"/>
    <s v="Loan Payment To: xxxx-1001         004600"/>
    <n v="-439.33"/>
    <x v="1"/>
    <x v="21"/>
    <x v="1"/>
  </r>
  <r>
    <s v="ANZ"/>
    <s v="Saving"/>
    <s v="06-0082-xxxx-00"/>
    <d v="2023-06-22T00:00:00"/>
    <s v="Loan Payment To: xxxx-1002         004600"/>
    <n v="-53.87"/>
    <x v="1"/>
    <x v="21"/>
    <x v="1"/>
  </r>
  <r>
    <s v="ANZ"/>
    <s v="Saving"/>
    <s v="06-0082-xxxx-00"/>
    <d v="2023-06-22T00:00:00"/>
    <s v="Loan Payment To: xxxx-1003         004600"/>
    <n v="-350.42"/>
    <x v="1"/>
    <x v="21"/>
    <x v="1"/>
  </r>
  <r>
    <s v="ANZ"/>
    <s v="Saving"/>
    <s v="06-0082-xxxx-00"/>
    <d v="2023-06-21T17:25:01"/>
    <s v="Payment Sam Kiwibank Sam Kiwibank  "/>
    <n v="-1076.76"/>
    <x v="1"/>
    <x v="21"/>
    <x v="1"/>
  </r>
  <r>
    <s v="ANZ"/>
    <s v="Saving"/>
    <s v="06-0082-xxxx-00"/>
    <d v="2023-06-21T16:21:44"/>
    <s v="Direct Credit Bidfood Limited   Bidfood"/>
    <n v="585.36"/>
    <x v="11"/>
    <x v="22"/>
    <x v="35"/>
  </r>
  <r>
    <s v="ANZ"/>
    <s v="Saving"/>
    <s v="06-0082-xxxx-00"/>
    <d v="2023-06-20T04:12:02"/>
    <s v="Automatic Payment Mj Asb Electricity Contactenrgy Mj 8Denning"/>
    <n v="-101.86"/>
    <x v="1"/>
    <x v="21"/>
    <x v="1"/>
  </r>
  <r>
    <s v="ANZ"/>
    <s v="Saving"/>
    <s v="06-0082-xxxx-00"/>
    <d v="2023-06-18T04:09:57"/>
    <s v="Automatic Payment Mj Asb Mj 8Denning Towerhouse Insurance"/>
    <n v="-1.1499999999999999"/>
    <x v="1"/>
    <x v="21"/>
    <x v="1"/>
  </r>
  <r>
    <s v="ANZ"/>
    <s v="Saving"/>
    <s v="06-0082-xxxx-00"/>
    <d v="2023-06-18T04:09:57"/>
    <s v="Automatic Payment Mj Asb 24 Panorama Tower H&amp;C Insurance"/>
    <n v="-104.73"/>
    <x v="1"/>
    <x v="21"/>
    <x v="1"/>
  </r>
  <r>
    <s v="ANZ"/>
    <s v="Saving"/>
    <s v="06-0082-xxxx-00"/>
    <d v="2023-06-18T04:09:56"/>
    <s v="Automatic Payment Mj Asb Mj 5B Tower H&amp;C Insurance"/>
    <n v="-117.48"/>
    <x v="1"/>
    <x v="21"/>
    <x v="1"/>
  </r>
  <r>
    <s v="ANZ"/>
    <s v="Saving"/>
    <s v="06-0082-xxxx-00"/>
    <d v="2023-06-18T04:09:38"/>
    <s v="Automatic Payment Mj Asb Mobile Sam Skinny"/>
    <n v="-5.43"/>
    <x v="1"/>
    <x v="21"/>
    <x v="1"/>
  </r>
  <r>
    <s v="ANZ"/>
    <s v="Saving"/>
    <s v="06-0082-xxxx-00"/>
    <d v="2023-06-15T00:00:00"/>
    <s v="Loan Payment To: xxxx-1001         004600"/>
    <n v="-415.37"/>
    <x v="1"/>
    <x v="21"/>
    <x v="1"/>
  </r>
  <r>
    <s v="ANZ"/>
    <s v="Saving"/>
    <s v="06-0082-xxxx-00"/>
    <d v="2023-06-15T00:00:00"/>
    <s v="Loan Payment To: xxxx-1002         004600"/>
    <n v="-319.72000000000003"/>
    <x v="1"/>
    <x v="21"/>
    <x v="1"/>
  </r>
  <r>
    <s v="ANZ"/>
    <s v="Saving"/>
    <s v="06-0082-xxxx-00"/>
    <d v="2023-06-15T00:00:00"/>
    <s v="Loan Payment To: xxxx-1003         004600"/>
    <n v="-284.77"/>
    <x v="1"/>
    <x v="21"/>
    <x v="1"/>
  </r>
  <r>
    <s v="ANZ"/>
    <s v="Saving"/>
    <s v="06-0082-xxxx-00"/>
    <d v="2023-06-14T21:54:24"/>
    <s v="Payment Sam Kiwibank Sam Kiwibank  "/>
    <n v="-52.93"/>
    <x v="1"/>
    <x v="21"/>
    <x v="1"/>
  </r>
  <r>
    <s v="ANZ"/>
    <s v="Saving"/>
    <s v="06-0082-xxxx-00"/>
    <d v="2023-06-14T21:54:09"/>
    <s v="Payment Mj Asb Mj Asb  "/>
    <n v="-42.23"/>
    <x v="1"/>
    <x v="21"/>
    <x v="1"/>
  </r>
  <r>
    <s v="ANZ"/>
    <s v="Saving"/>
    <s v="06-0082-xxxx-00"/>
    <d v="2023-06-14T15:37:40"/>
    <s v="Direct Credit Bidfood Limited   Bidfood"/>
    <n v="2420.1999999999998"/>
    <x v="11"/>
    <x v="22"/>
    <x v="35"/>
  </r>
  <r>
    <s v="ANZ"/>
    <s v="Saving"/>
    <s v="06-0082-xxxx-00"/>
    <d v="2023-06-13T04:09:11"/>
    <s v="Automatic Payment Mj Asb Aia Insurance Sammj"/>
    <n v="-117.01"/>
    <x v="1"/>
    <x v="21"/>
    <x v="1"/>
  </r>
  <r>
    <s v="ANZ"/>
    <s v="Saving"/>
    <s v="06-0082-xxxx-00"/>
    <d v="2023-06-09T04:10:06"/>
    <s v="Automatic Payment Mj Asb Mobile Mj Skinny"/>
    <n v="-13.77"/>
    <x v="1"/>
    <x v="21"/>
    <x v="1"/>
  </r>
  <r>
    <s v="ANZ"/>
    <s v="Saving"/>
    <s v="06-0082-xxxx-00"/>
    <d v="2023-06-08T00:00:00"/>
    <s v="Loan Payment To: xxxx-1001         004600"/>
    <n v="-223.49"/>
    <x v="1"/>
    <x v="21"/>
    <x v="1"/>
  </r>
  <r>
    <s v="ANZ"/>
    <s v="Saving"/>
    <s v="06-0082-xxxx-00"/>
    <d v="2023-06-08T00:00:00"/>
    <s v="Loan Payment To: xxxx-1002         004600"/>
    <n v="-44.3"/>
    <x v="1"/>
    <x v="21"/>
    <x v="1"/>
  </r>
  <r>
    <s v="ANZ"/>
    <s v="Saving"/>
    <s v="06-0082-xxxx-00"/>
    <d v="2023-06-08T00:00:00"/>
    <s v="Loan Payment To: xxxx-1003         004600"/>
    <n v="-237.33"/>
    <x v="1"/>
    <x v="21"/>
    <x v="1"/>
  </r>
  <r>
    <s v="ANZ"/>
    <s v="Saving"/>
    <s v="06-0082-xxxx-00"/>
    <d v="2023-06-07T17:01:27"/>
    <s v="Payment Sam Kiwibank Sam Kiwibank  "/>
    <n v="-554.13"/>
    <x v="1"/>
    <x v="21"/>
    <x v="1"/>
  </r>
  <r>
    <s v="ANZ"/>
    <s v="Saving"/>
    <s v="06-0082-xxxx-00"/>
    <d v="2023-06-07T15:37:18"/>
    <s v="Direct Credit Bidfood Limited   Bidfood"/>
    <n v="965.53"/>
    <x v="11"/>
    <x v="22"/>
    <x v="35"/>
  </r>
  <r>
    <s v="ANZ"/>
    <s v="Saving"/>
    <s v="06-0082-xxxx-00"/>
    <d v="2023-06-06T04:09:03"/>
    <s v="Automatic Payment Mj Asb Water  Mj 8Denning"/>
    <n v="-135.1"/>
    <x v="1"/>
    <x v="21"/>
    <x v="1"/>
  </r>
  <r>
    <s v="ANZ"/>
    <s v="Saving"/>
    <s v="06-0082-xxxx-00"/>
    <d v="2023-06-04T04:07:48"/>
    <s v="Automatic Payment Mj Asb Mj 8Denning Towercontent Insurance"/>
    <n v="-21.42"/>
    <x v="1"/>
    <x v="21"/>
    <x v="1"/>
  </r>
  <r>
    <s v="ANZ"/>
    <s v="Saving"/>
    <s v="06-0082-xxxx-00"/>
    <d v="2023-06-04T04:07:35"/>
    <s v="Automatic Payment Mj Asb Mj Apple Cloud Storage"/>
    <n v="-19.71"/>
    <x v="1"/>
    <x v="21"/>
    <x v="1"/>
  </r>
  <r>
    <s v="ANZ"/>
    <s v="Saving"/>
    <s v="06-0082-xxxx-00"/>
    <d v="2023-06-06T04:07:04"/>
    <s v="Automatic Payment Mj Asb Mj Mobile Us Phone Sam"/>
    <n v="-3.52"/>
    <x v="1"/>
    <x v="21"/>
    <x v="1"/>
  </r>
  <r>
    <s v="ANZ"/>
    <s v="Saving"/>
    <s v="06-0082-xxxx-00"/>
    <d v="2023-06-01T00:00:00"/>
    <s v="Loan Payment To: xxxx-1001         004600"/>
    <n v="-493.31"/>
    <x v="1"/>
    <x v="21"/>
    <x v="1"/>
  </r>
  <r>
    <s v="ANZ"/>
    <s v="Saving"/>
    <s v="06-0082-xxxx-00"/>
    <d v="2023-06-01T00:00:00"/>
    <s v="Loan Payment To: xxxx-1002         004600"/>
    <n v="-443.14"/>
    <x v="1"/>
    <x v="21"/>
    <x v="1"/>
  </r>
  <r>
    <s v="ANZ"/>
    <s v="Saving"/>
    <s v="06-0082-xxxx-00"/>
    <d v="2023-06-01T00:00:00"/>
    <s v="Loan Payment To: xxxx-1003         004600"/>
    <n v="-279.45999999999998"/>
    <x v="1"/>
    <x v="21"/>
    <x v="1"/>
  </r>
  <r>
    <s v="ANZ"/>
    <s v="Saving"/>
    <s v="06-0082-xxxx-00"/>
    <d v="2023-05-31T17:26:59"/>
    <s v="Payment Sam Kiwibank Sam Kiwibank  "/>
    <n v="-650.45000000000005"/>
    <x v="1"/>
    <x v="21"/>
    <x v="1"/>
  </r>
  <r>
    <s v="ANZ"/>
    <s v="Saving"/>
    <s v="06-0082-xxxx-00"/>
    <d v="2023-05-31T17:26:37"/>
    <s v="Payment Mj Asb Mj Asb  "/>
    <n v="-510.46"/>
    <x v="1"/>
    <x v="21"/>
    <x v="1"/>
  </r>
  <r>
    <s v="ANZ"/>
    <s v="Saving"/>
    <s v="06-0082-xxxx-00"/>
    <d v="2023-05-31T15:37:45"/>
    <s v="Direct Credit Bidfood Limited   Bidfood"/>
    <n v="1049.8900000000001"/>
    <x v="11"/>
    <x v="22"/>
    <x v="35"/>
  </r>
  <r>
    <s v="ANZ"/>
    <s v="Saving"/>
    <s v="06-0082-xxxx-00"/>
    <d v="2023-05-27T04:09:21"/>
    <s v="Automatic Payment Mj Asb Council Rate 8Denning"/>
    <n v="-1255.3800000000001"/>
    <x v="1"/>
    <x v="21"/>
    <x v="1"/>
  </r>
  <r>
    <s v="ANZ"/>
    <s v="Saving"/>
    <s v="06-0082-xxxx-00"/>
    <d v="2023-05-27T04:09:20"/>
    <s v="Automatic Payment Mj Asb Council Rate 24 Panorama"/>
    <n v="-479.56"/>
    <x v="1"/>
    <x v="21"/>
    <x v="1"/>
  </r>
  <r>
    <s v="ANZ"/>
    <s v="Saving"/>
    <s v="06-0082-xxxx-00"/>
    <d v="2023-05-27T04:09:20"/>
    <s v="Automatic Payment Mj Asb  Rate Mj 5B"/>
    <n v="-55.47"/>
    <x v="1"/>
    <x v="21"/>
    <x v="1"/>
  </r>
  <r>
    <s v="ANZ"/>
    <s v="Saving"/>
    <s v="06-0082-xxxx-00"/>
    <d v="2023-05-25T00:00:00"/>
    <s v="Loan Payment To: xxxx-1001         004600"/>
    <n v="-572.05999999999995"/>
    <x v="1"/>
    <x v="21"/>
    <x v="1"/>
  </r>
  <r>
    <s v="ANZ"/>
    <s v="Saving"/>
    <s v="06-0082-xxxx-00"/>
    <d v="2023-05-25T00:00:00"/>
    <s v="Loan Payment To: xxxx-1002         004600"/>
    <n v="-603.19000000000005"/>
    <x v="1"/>
    <x v="21"/>
    <x v="1"/>
  </r>
  <r>
    <s v="ANZ"/>
    <s v="Saving"/>
    <s v="06-0082-xxxx-00"/>
    <d v="2023-05-25T00:00:00"/>
    <s v="Loan Payment To: xxxx-1003         004600"/>
    <n v="-73.61"/>
    <x v="1"/>
    <x v="21"/>
    <x v="1"/>
  </r>
  <r>
    <s v="ANZ"/>
    <s v="Saving"/>
    <s v="06-0082-xxxx-00"/>
    <d v="2023-05-24T04:09:12"/>
    <s v="Automatic Payment Mj Asb Mj Asb Netflix 8Denning"/>
    <n v="-2.13"/>
    <x v="1"/>
    <x v="21"/>
    <x v="1"/>
  </r>
  <r>
    <s v="ANZ"/>
    <s v="Saving"/>
    <s v="06-0082-xxxx-00"/>
    <d v="2023-05-24T16:21:11"/>
    <s v="Direct Credit Bidfood Limited   Bidfood"/>
    <n v="2876.4"/>
    <x v="11"/>
    <x v="22"/>
    <x v="35"/>
  </r>
  <r>
    <s v="ANZ"/>
    <s v="Saving"/>
    <s v="06-0082-xxxx-00"/>
    <d v="2023-05-24T18:07:08"/>
    <s v="Bill Payment S Taebi Rate Council "/>
    <n v="609.62"/>
    <x v="1"/>
    <x v="21"/>
    <x v="1"/>
  </r>
  <r>
    <s v="ANZ"/>
    <s v="Saving"/>
    <s v="06-0082-xxxx-00"/>
    <d v="2023-05-23T11:21:23"/>
    <s v="Payment Mj Asb Mj Asb  "/>
    <n v="-14.92"/>
    <x v="1"/>
    <x v="21"/>
    <x v="1"/>
  </r>
  <r>
    <s v="ANZ"/>
    <s v="Saving"/>
    <s v="06-0082-xxxx-00"/>
    <d v="2023-05-22T04:11:29"/>
    <s v="Automatic Payment Mj Asb Electricity Contactenrgy Mj 8Denning"/>
    <n v="-177.33"/>
    <x v="1"/>
    <x v="21"/>
    <x v="1"/>
  </r>
  <r>
    <s v="ANZ"/>
    <s v="Saving"/>
    <s v="06-0082-xxxx-00"/>
    <d v="2023-05-22T04:08:13"/>
    <s v="Automatic Payment Mj Asb Mobile Sam Skinny"/>
    <n v="-4.96"/>
    <x v="1"/>
    <x v="21"/>
    <x v="1"/>
  </r>
  <r>
    <s v="ANZ"/>
    <s v="Saving"/>
    <s v="06-0082-xxxx-00"/>
    <d v="2023-05-18T04:13:17"/>
    <s v="Automatic Payment Mj Asb Mj 8Denning Towerhouse Insurance"/>
    <n v="-141.33000000000001"/>
    <x v="1"/>
    <x v="21"/>
    <x v="1"/>
  </r>
  <r>
    <s v="ANZ"/>
    <s v="Saving"/>
    <s v="06-0082-xxxx-00"/>
    <d v="2023-05-18T04:13:14"/>
    <s v="Automatic Payment Mj Asb 24 Panorama Tower H&amp;C Insurance"/>
    <n v="-24.55"/>
    <x v="1"/>
    <x v="21"/>
    <x v="1"/>
  </r>
  <r>
    <s v="ANZ"/>
    <s v="Saving"/>
    <s v="06-0082-xxxx-00"/>
    <d v="2023-05-18T04:13:10"/>
    <s v="Automatic Payment Mj Asb Mj 5B Tower H&amp;C Insurance"/>
    <n v="-131.16"/>
    <x v="1"/>
    <x v="21"/>
    <x v="1"/>
  </r>
  <r>
    <s v="ANZ"/>
    <s v="Saving"/>
    <s v="06-0082-xxxx-00"/>
    <d v="2023-05-18T00:00:00"/>
    <s v="Loan Payment To: xxxx-1001         004600"/>
    <n v="-161.36000000000001"/>
    <x v="1"/>
    <x v="21"/>
    <x v="1"/>
  </r>
  <r>
    <s v="ANZ"/>
    <s v="Saving"/>
    <s v="06-0082-xxxx-00"/>
    <d v="2023-05-18T00:00:00"/>
    <s v="Loan Payment To: xxxx-1002         004600"/>
    <n v="-643.53"/>
    <x v="1"/>
    <x v="21"/>
    <x v="1"/>
  </r>
  <r>
    <s v="ANZ"/>
    <s v="Saving"/>
    <s v="06-0082-xxxx-00"/>
    <d v="2023-05-18T00:00:00"/>
    <s v="Loan Payment To: xxxx-1003         004600"/>
    <n v="-163.82"/>
    <x v="1"/>
    <x v="21"/>
    <x v="1"/>
  </r>
  <r>
    <s v="ANZ"/>
    <s v="Saving"/>
    <s v="06-0082-xxxx-00"/>
    <d v="2023-05-18T03:15:31"/>
    <s v="Payment Sam Kiwibank Sam Kiwibank  "/>
    <n v="-22.38"/>
    <x v="1"/>
    <x v="21"/>
    <x v="1"/>
  </r>
  <r>
    <s v="ANZ"/>
    <s v="Saving"/>
    <s v="06-0082-xxxx-00"/>
    <d v="2023-05-17T16:21:24"/>
    <s v="Direct Credit Bidfood Limited   Bidfood"/>
    <n v="3187.5"/>
    <x v="11"/>
    <x v="22"/>
    <x v="35"/>
  </r>
  <r>
    <s v="ANZ"/>
    <s v="Saving"/>
    <s v="06-0082-xxxx-00"/>
    <d v="2023-05-15T04:10:39"/>
    <s v="Automatic Payment Mj Asb Aia Insurance Sammj"/>
    <n v="-16.39"/>
    <x v="1"/>
    <x v="21"/>
    <x v="1"/>
  </r>
  <r>
    <s v="ANZ"/>
    <s v="Saving"/>
    <s v="06-0082-xxxx-00"/>
    <d v="2023-05-12T04:10:05"/>
    <s v="Automatic Payment Mj Asb Mobile Mj Skinny"/>
    <n v="-0.35"/>
    <x v="1"/>
    <x v="21"/>
    <x v="1"/>
  </r>
  <r>
    <s v="ANZ"/>
    <s v="Saving"/>
    <s v="06-0082-xxxx-00"/>
    <d v="2023-05-11T18:36:31"/>
    <s v="Direct Debit Inland Revenue Dept Iit 111811989Inc 404348032"/>
    <n v="-2277.14"/>
    <x v="5"/>
    <x v="7"/>
    <x v="13"/>
  </r>
  <r>
    <s v="ANZ"/>
    <s v="Saving"/>
    <s v="06-0082-xxxx-00"/>
    <d v="2023-05-11T00:00:00"/>
    <s v="Loan Payment To: xxxx-1001         004600"/>
    <n v="-591.72"/>
    <x v="1"/>
    <x v="21"/>
    <x v="1"/>
  </r>
  <r>
    <s v="ANZ"/>
    <s v="Saving"/>
    <s v="06-0082-xxxx-00"/>
    <d v="2023-05-11T00:00:00"/>
    <s v="Loan Payment To: xxxx-1002         004600"/>
    <n v="-41.12"/>
    <x v="1"/>
    <x v="21"/>
    <x v="1"/>
  </r>
  <r>
    <s v="ANZ"/>
    <s v="Saving"/>
    <s v="06-0082-xxxx-00"/>
    <d v="2023-05-11T00:00:00"/>
    <s v="Loan Payment To: xxxx-1003         004600"/>
    <n v="-219.1"/>
    <x v="1"/>
    <x v="21"/>
    <x v="1"/>
  </r>
  <r>
    <s v="ANZ"/>
    <s v="Saving"/>
    <s v="06-0082-xxxx-00"/>
    <d v="2023-05-10T22:36:00"/>
    <s v="Bill Payment S Taebi   "/>
    <n v="5146.63"/>
    <x v="1"/>
    <x v="21"/>
    <x v="1"/>
  </r>
  <r>
    <s v="ANZ"/>
    <s v="Saving"/>
    <s v="06-0082-xxxx-00"/>
    <d v="2023-05-10T15:36:33"/>
    <s v="Direct Credit Bidfood Limited   Bidfood"/>
    <n v="1830.97"/>
    <x v="11"/>
    <x v="22"/>
    <x v="35"/>
  </r>
  <r>
    <s v="ANZ"/>
    <s v="Saving"/>
    <s v="06-0082-xxxx-00"/>
    <d v="2023-05-08T04:10:37"/>
    <s v="Automatic Payment Mj Asb Water  Mj 8Denning"/>
    <n v="-31.47"/>
    <x v="1"/>
    <x v="21"/>
    <x v="1"/>
  </r>
  <r>
    <s v="ANZ"/>
    <s v="Saving"/>
    <s v="06-0082-xxxx-00"/>
    <d v="2023-05-08T04:08:45"/>
    <s v="Automatic Payment Mj Asb Mj Mobile Us Phone Sam"/>
    <n v="-16.93"/>
    <x v="1"/>
    <x v="21"/>
    <x v="1"/>
  </r>
  <r>
    <s v="ANZ"/>
    <s v="Saving"/>
    <s v="06-0082-xxxx-00"/>
    <d v="2023-05-04T04:14:06"/>
    <s v="Automatic Payment Mj Asb Mj 8Denning Towercontent Insurance"/>
    <n v="-56.85"/>
    <x v="1"/>
    <x v="21"/>
    <x v="1"/>
  </r>
  <r>
    <s v="ANZ"/>
    <s v="Saving"/>
    <s v="06-0082-xxxx-00"/>
    <d v="2023-05-04T04:11:34"/>
    <s v="Automatic Payment Mj Asb Mj Apple Cloud Storage"/>
    <n v="-8.76"/>
    <x v="1"/>
    <x v="21"/>
    <x v="1"/>
  </r>
  <r>
    <s v="ANZ"/>
    <s v="Saving"/>
    <s v="06-0082-xxxx-00"/>
    <d v="2023-05-04T00:00:00"/>
    <s v="Loan Payment To: xxxx-1001         004600"/>
    <n v="-338.69"/>
    <x v="1"/>
    <x v="21"/>
    <x v="1"/>
  </r>
  <r>
    <s v="ANZ"/>
    <s v="Saving"/>
    <s v="06-0082-xxxx-00"/>
    <d v="2023-05-04T00:00:00"/>
    <s v="Loan Payment To: xxxx-1002         004600"/>
    <n v="-460.82"/>
    <x v="1"/>
    <x v="21"/>
    <x v="1"/>
  </r>
  <r>
    <s v="ANZ"/>
    <s v="Saving"/>
    <s v="06-0082-xxxx-00"/>
    <d v="2023-05-04T00:00:00"/>
    <s v="Loan Payment To: xxxx-1003         004600"/>
    <n v="-284.14999999999998"/>
    <x v="1"/>
    <x v="21"/>
    <x v="1"/>
  </r>
  <r>
    <s v="ANZ"/>
    <s v="Saving"/>
    <s v="06-0082-xxxx-00"/>
    <d v="2023-05-03T16:25:34"/>
    <s v="Payment Sam Kiwibank Sam Kiwibank  "/>
    <n v="-450.95"/>
    <x v="1"/>
    <x v="21"/>
    <x v="1"/>
  </r>
  <r>
    <s v="ANZ"/>
    <s v="Saving"/>
    <s v="06-0082-xxxx-00"/>
    <d v="2023-05-03T16:25:18"/>
    <s v="Payment Mj Asb Mj Asb  "/>
    <n v="-246.3"/>
    <x v="1"/>
    <x v="21"/>
    <x v="1"/>
  </r>
  <r>
    <s v="ANZ"/>
    <s v="Saving"/>
    <s v="06-0082-xxxx-00"/>
    <d v="2023-05-03T16:21:31"/>
    <s v="Direct Credit Bidfood Limited   Bidfood"/>
    <n v="1703.2"/>
    <x v="11"/>
    <x v="22"/>
    <x v="35"/>
  </r>
  <r>
    <s v="ANZ"/>
    <s v="Saving"/>
    <s v="06-0082-xxxx-00"/>
    <d v="2023-04-27T00:00:00"/>
    <s v="Loan Payment To: xxxx-1001         004600"/>
    <n v="-197.72"/>
    <x v="1"/>
    <x v="21"/>
    <x v="1"/>
  </r>
  <r>
    <s v="ANZ"/>
    <s v="Saving"/>
    <s v="06-0082-xxxx-00"/>
    <d v="2023-04-27T00:00:00"/>
    <s v="Loan Payment To: xxxx-1002         004600"/>
    <n v="-489.14"/>
    <x v="1"/>
    <x v="21"/>
    <x v="1"/>
  </r>
  <r>
    <s v="ANZ"/>
    <s v="Saving"/>
    <s v="06-0082-xxxx-00"/>
    <d v="2023-04-27T00:00:00"/>
    <s v="Loan Payment To: xxxx-1003         004600"/>
    <n v="-64.239999999999995"/>
    <x v="1"/>
    <x v="21"/>
    <x v="1"/>
  </r>
  <r>
    <s v="ANZ"/>
    <s v="Saving"/>
    <s v="06-0082-xxxx-00"/>
    <d v="2023-04-27T08:19:50"/>
    <s v="Payment Mj Asb Mj Asb  "/>
    <n v="-619.35"/>
    <x v="1"/>
    <x v="21"/>
    <x v="1"/>
  </r>
  <r>
    <s v="ANZ"/>
    <s v="Saving"/>
    <s v="06-0082-xxxx-00"/>
    <d v="2023-04-26T16:21:56"/>
    <s v="Direct Credit Bidfood Limited   Bidfood"/>
    <n v="1397.45"/>
    <x v="11"/>
    <x v="22"/>
    <x v="35"/>
  </r>
  <r>
    <s v="ANZ"/>
    <s v="Saving"/>
    <s v="06-0082-xxxx-00"/>
    <d v="2023-04-24T04:08:54"/>
    <s v="Automatic Payment Mj Asb Mj Asb Netflix 8Denning"/>
    <n v="-15.6"/>
    <x v="1"/>
    <x v="21"/>
    <x v="1"/>
  </r>
  <r>
    <s v="ANZ"/>
    <s v="Saving"/>
    <s v="06-0082-xxxx-00"/>
    <d v="2023-04-24T04:08:53"/>
    <s v="Automatic Payment Mj Asb Mobile Sam Skinny"/>
    <n v="-5.04"/>
    <x v="1"/>
    <x v="21"/>
    <x v="1"/>
  </r>
  <r>
    <s v="ANZ"/>
    <s v="Saving"/>
    <s v="06-0082-xxxx-00"/>
    <d v="2023-04-20T04:16:46"/>
    <s v="Automatic Payment Mj Asb Electricity Contactenrgy Mj 8Denning"/>
    <n v="-188.07"/>
    <x v="1"/>
    <x v="21"/>
    <x v="1"/>
  </r>
  <r>
    <s v="ANZ"/>
    <s v="Saving"/>
    <s v="06-0082-xxxx-00"/>
    <d v="2023-04-20T00:00:00"/>
    <s v="Loan Payment To: xxxx-1001         004600"/>
    <n v="-184.9"/>
    <x v="1"/>
    <x v="21"/>
    <x v="1"/>
  </r>
  <r>
    <s v="ANZ"/>
    <s v="Saving"/>
    <s v="06-0082-xxxx-00"/>
    <d v="2023-04-20T00:00:00"/>
    <s v="Loan Payment To: xxxx-1002         004600"/>
    <n v="-29.48"/>
    <x v="1"/>
    <x v="21"/>
    <x v="1"/>
  </r>
  <r>
    <s v="ANZ"/>
    <s v="Saving"/>
    <s v="06-0082-xxxx-00"/>
    <d v="2023-04-20T00:00:00"/>
    <s v="Loan Payment To: xxxx-1003         004600"/>
    <n v="-60.78"/>
    <x v="1"/>
    <x v="21"/>
    <x v="1"/>
  </r>
  <r>
    <s v="ANZ"/>
    <s v="Saving"/>
    <s v="06-0082-xxxx-00"/>
    <d v="2023-04-20T02:34:32"/>
    <s v="Payment Mj Asb Mj Asb  "/>
    <n v="-768.45"/>
    <x v="1"/>
    <x v="21"/>
    <x v="1"/>
  </r>
  <r>
    <s v="ANZ"/>
    <s v="Saving"/>
    <s v="06-0082-xxxx-00"/>
    <d v="2023-04-19T16:22:00"/>
    <s v="Direct Credit Bidfood Limited   Bidfood"/>
    <n v="1164.1400000000001"/>
    <x v="11"/>
    <x v="22"/>
    <x v="35"/>
  </r>
  <r>
    <s v="ANZ"/>
    <s v="Saving"/>
    <s v="06-0082-xxxx-00"/>
    <d v="2023-04-18T04:11:34"/>
    <s v="Automatic Payment Mj Asb Mj 8Denning Towerhouse Insurance"/>
    <n v="-9.43"/>
    <x v="1"/>
    <x v="21"/>
    <x v="1"/>
  </r>
  <r>
    <s v="ANZ"/>
    <s v="Saving"/>
    <s v="06-0082-xxxx-00"/>
    <d v="2023-04-18T04:11:33"/>
    <s v="Automatic Payment Mj Asb 24 Panorama Tower H&amp;C Insurance"/>
    <n v="-114.9"/>
    <x v="1"/>
    <x v="21"/>
    <x v="1"/>
  </r>
  <r>
    <s v="ANZ"/>
    <s v="Saving"/>
    <s v="06-0082-xxxx-00"/>
    <d v="2023-04-18T04:11:16"/>
    <s v="Automatic Payment Mj Asb Mj 5B Tower H&amp;C Insurance"/>
    <n v="-48.42"/>
    <x v="1"/>
    <x v="21"/>
    <x v="1"/>
  </r>
  <r>
    <s v="ANZ"/>
    <s v="Saving"/>
    <s v="06-0082-xxxx-00"/>
    <d v="2023-04-14T04:08:22"/>
    <s v="Automatic Payment Mj Asb Mobile Mj Skinny"/>
    <n v="-24.29"/>
    <x v="1"/>
    <x v="21"/>
    <x v="1"/>
  </r>
  <r>
    <s v="ANZ"/>
    <s v="Saving"/>
    <s v="06-0082-xxxx-00"/>
    <d v="2023-04-13T04:12:54"/>
    <s v="Automatic Payment Mj Asb Aia Insurance Sammj"/>
    <n v="-33.79"/>
    <x v="1"/>
    <x v="21"/>
    <x v="1"/>
  </r>
  <r>
    <s v="ANZ"/>
    <s v="Saving"/>
    <s v="06-0082-xxxx-00"/>
    <d v="2023-04-13T00:00:00"/>
    <s v="Loan Payment To: xxxx-1001         004600"/>
    <n v="-675.32"/>
    <x v="1"/>
    <x v="21"/>
    <x v="1"/>
  </r>
  <r>
    <s v="ANZ"/>
    <s v="Saving"/>
    <s v="06-0082-xxxx-00"/>
    <d v="2023-04-13T00:00:00"/>
    <s v="Loan Payment To: xxxx-1002         004600"/>
    <n v="-46.03"/>
    <x v="1"/>
    <x v="21"/>
    <x v="1"/>
  </r>
  <r>
    <s v="ANZ"/>
    <s v="Saving"/>
    <s v="06-0082-xxxx-00"/>
    <d v="2023-04-13T00:00:00"/>
    <s v="Loan Payment To: xxxx-1003         004600"/>
    <n v="-96.26"/>
    <x v="1"/>
    <x v="21"/>
    <x v="1"/>
  </r>
  <r>
    <s v="ANZ"/>
    <s v="Saving"/>
    <s v="06-0082-xxxx-00"/>
    <d v="2023-04-12T17:15:36"/>
    <s v="Payment Sam Kiwibank Sam Kiwibank  "/>
    <n v="-90.28"/>
    <x v="1"/>
    <x v="21"/>
    <x v="1"/>
  </r>
  <r>
    <s v="ANZ"/>
    <s v="Saving"/>
    <s v="06-0082-xxxx-00"/>
    <d v="2023-04-12T15:06:57"/>
    <s v="Direct Credit Bidfood Limited   Bidfood"/>
    <n v="1922.22"/>
    <x v="11"/>
    <x v="22"/>
    <x v="35"/>
  </r>
  <r>
    <s v="ANZ"/>
    <s v="Saving"/>
    <s v="06-0082-xxxx-00"/>
    <d v="2023-04-06T04:13:41"/>
    <s v="Automatic Payment Mj Asb Water  Mj 8Denning"/>
    <n v="-121.31"/>
    <x v="1"/>
    <x v="21"/>
    <x v="1"/>
  </r>
  <r>
    <s v="ANZ"/>
    <s v="Saving"/>
    <s v="06-0082-xxxx-00"/>
    <d v="2023-04-06T04:09:06"/>
    <s v="Automatic Payment Mj Asb Mj Mobile Us Phone Sam"/>
    <n v="-19.18"/>
    <x v="1"/>
    <x v="21"/>
    <x v="1"/>
  </r>
  <r>
    <s v="ANZ"/>
    <s v="Saving"/>
    <s v="06-0082-xxxx-00"/>
    <d v="2023-04-06T00:00:00"/>
    <s v="Loan Payment To: xxxx-1001         004600"/>
    <n v="-15.5"/>
    <x v="1"/>
    <x v="21"/>
    <x v="1"/>
  </r>
  <r>
    <s v="ANZ"/>
    <s v="Saving"/>
    <s v="06-0082-xxxx-00"/>
    <d v="2023-04-06T00:00:00"/>
    <s v="Loan Payment To: xxxx-1002         004600"/>
    <n v="-115.61"/>
    <x v="1"/>
    <x v="21"/>
    <x v="1"/>
  </r>
  <r>
    <s v="ANZ"/>
    <s v="Saving"/>
    <s v="06-0082-xxxx-00"/>
    <d v="2023-04-06T00:00:00"/>
    <s v="Loan Payment To: xxxx-1003         004600"/>
    <n v="-355.77"/>
    <x v="1"/>
    <x v="21"/>
    <x v="1"/>
  </r>
  <r>
    <s v="ANZ"/>
    <s v="Saving"/>
    <s v="06-0082-xxxx-00"/>
    <d v="2023-04-05T16:10:20"/>
    <s v="Payment Mj Asb Mj Asb  "/>
    <n v="-1243.8699999999999"/>
    <x v="1"/>
    <x v="21"/>
    <x v="1"/>
  </r>
  <r>
    <s v="ANZ"/>
    <s v="Saving"/>
    <s v="06-0082-xxxx-00"/>
    <d v="2023-04-05T15:37:03"/>
    <s v="Direct Credit Bidfood Limited   Bidfood"/>
    <n v="2967.91"/>
    <x v="11"/>
    <x v="22"/>
    <x v="35"/>
  </r>
  <r>
    <s v="ANZ"/>
    <s v="Saving"/>
    <s v="06-0082-xxxx-00"/>
    <d v="2023-04-04T04:17:29"/>
    <s v="Automatic Payment Mj Asb Mj 8Denning Towercontent Insurance"/>
    <n v="-59.41"/>
    <x v="1"/>
    <x v="21"/>
    <x v="1"/>
  </r>
  <r>
    <s v="ANZ"/>
    <s v="Saving"/>
    <s v="06-0082-xxxx-00"/>
    <d v="2023-04-04T04:16:41"/>
    <s v="Automatic Payment Mj Asb Mj Apple Cloud Storage"/>
    <n v="-4.46"/>
    <x v="1"/>
    <x v="21"/>
    <x v="1"/>
  </r>
  <r>
    <s v="ANZ"/>
    <s v="Loan"/>
    <s v="xxxx-1001"/>
    <d v="2024-03-28T00:00:00"/>
    <s v="Loan Payment"/>
    <n v="231.7"/>
    <x v="2"/>
    <x v="23"/>
    <x v="36"/>
  </r>
  <r>
    <s v="ANZ"/>
    <s v="Loan"/>
    <s v="xxxx-1001"/>
    <d v="2024-03-21T00:00:00"/>
    <s v="Loan Payment"/>
    <n v="268.33999999999997"/>
    <x v="2"/>
    <x v="23"/>
    <x v="36"/>
  </r>
  <r>
    <s v="ANZ"/>
    <s v="Loan"/>
    <s v="xxxx-1001"/>
    <d v="2024-03-14T00:00:00"/>
    <s v="Loan Payment"/>
    <n v="132.09"/>
    <x v="2"/>
    <x v="23"/>
    <x v="36"/>
  </r>
  <r>
    <s v="ANZ"/>
    <s v="Loan"/>
    <s v="xxxx-1001"/>
    <d v="2024-03-07T00:00:00"/>
    <s v="Loan Payment"/>
    <n v="487.43"/>
    <x v="2"/>
    <x v="23"/>
    <x v="36"/>
  </r>
  <r>
    <s v="ANZ"/>
    <s v="Loan"/>
    <s v="xxxx-1001"/>
    <d v="2024-03-01T00:00:00"/>
    <s v="Loan Interest"/>
    <n v="-1602.86"/>
    <x v="2"/>
    <x v="23"/>
    <x v="37"/>
  </r>
  <r>
    <s v="ANZ"/>
    <s v="Loan"/>
    <s v="xxxx-1001"/>
    <d v="2024-02-29T00:00:00"/>
    <s v="Loan Payment"/>
    <n v="473.48"/>
    <x v="2"/>
    <x v="23"/>
    <x v="36"/>
  </r>
  <r>
    <s v="ANZ"/>
    <s v="Loan"/>
    <s v="xxxx-1001"/>
    <d v="2024-02-22T00:00:00"/>
    <s v="Loan Payment"/>
    <n v="132.43"/>
    <x v="2"/>
    <x v="23"/>
    <x v="36"/>
  </r>
  <r>
    <s v="ANZ"/>
    <s v="Loan"/>
    <s v="xxxx-1001"/>
    <d v="2024-02-15T00:00:00"/>
    <s v="Loan Payment"/>
    <n v="328.17"/>
    <x v="2"/>
    <x v="23"/>
    <x v="36"/>
  </r>
  <r>
    <s v="ANZ"/>
    <s v="Loan"/>
    <s v="xxxx-1001"/>
    <d v="2024-02-08T00:00:00"/>
    <s v="Loan Payment"/>
    <n v="523.29"/>
    <x v="2"/>
    <x v="23"/>
    <x v="36"/>
  </r>
  <r>
    <s v="ANZ"/>
    <s v="Loan"/>
    <s v="xxxx-1001"/>
    <d v="2024-02-01T00:00:00"/>
    <s v="Loan Interest"/>
    <n v="-1942.39"/>
    <x v="2"/>
    <x v="23"/>
    <x v="37"/>
  </r>
  <r>
    <s v="ANZ"/>
    <s v="Loan"/>
    <s v="xxxx-1001"/>
    <d v="2024-02-01T00:00:00"/>
    <s v="Loan Payment"/>
    <n v="314.72000000000003"/>
    <x v="2"/>
    <x v="23"/>
    <x v="36"/>
  </r>
  <r>
    <s v="ANZ"/>
    <s v="Loan"/>
    <s v="xxxx-1001"/>
    <d v="2024-01-25T00:00:00"/>
    <s v="Loan Payment"/>
    <n v="205.67"/>
    <x v="2"/>
    <x v="23"/>
    <x v="36"/>
  </r>
  <r>
    <s v="ANZ"/>
    <s v="Loan"/>
    <s v="xxxx-1001"/>
    <d v="2024-01-18T00:00:00"/>
    <s v="Loan Payment"/>
    <n v="324.91000000000003"/>
    <x v="2"/>
    <x v="23"/>
    <x v="36"/>
  </r>
  <r>
    <s v="ANZ"/>
    <s v="Loan"/>
    <s v="xxxx-1001"/>
    <d v="2024-01-11T00:00:00"/>
    <s v="Loan Payment"/>
    <n v="336.26"/>
    <x v="2"/>
    <x v="23"/>
    <x v="36"/>
  </r>
  <r>
    <s v="ANZ"/>
    <s v="Loan"/>
    <s v="xxxx-1001"/>
    <d v="2024-01-04T00:00:00"/>
    <s v="Loan Payment"/>
    <n v="239.34"/>
    <x v="2"/>
    <x v="23"/>
    <x v="36"/>
  </r>
  <r>
    <s v="ANZ"/>
    <s v="Loan"/>
    <s v="xxxx-1001"/>
    <d v="2024-01-01T00:00:00"/>
    <s v="Loan Interest"/>
    <n v="-1234.99"/>
    <x v="2"/>
    <x v="23"/>
    <x v="37"/>
  </r>
  <r>
    <s v="ANZ"/>
    <s v="Loan"/>
    <s v="xxxx-1001"/>
    <d v="2023-12-28T00:00:00"/>
    <s v="Loan Payment"/>
    <n v="238.98"/>
    <x v="2"/>
    <x v="23"/>
    <x v="36"/>
  </r>
  <r>
    <s v="ANZ"/>
    <s v="Loan"/>
    <s v="xxxx-1001"/>
    <d v="2023-12-21T00:00:00"/>
    <s v="Loan Payment"/>
    <n v="378.34"/>
    <x v="2"/>
    <x v="23"/>
    <x v="36"/>
  </r>
  <r>
    <s v="ANZ"/>
    <s v="Loan"/>
    <s v="xxxx-1001"/>
    <d v="2023-12-14T00:00:00"/>
    <s v="Loan Payment"/>
    <n v="63.03"/>
    <x v="2"/>
    <x v="23"/>
    <x v="36"/>
  </r>
  <r>
    <s v="ANZ"/>
    <s v="Loan"/>
    <s v="xxxx-1001"/>
    <d v="2023-12-07T00:00:00"/>
    <s v="Loan Payment"/>
    <n v="336.04"/>
    <x v="2"/>
    <x v="23"/>
    <x v="36"/>
  </r>
  <r>
    <s v="ANZ"/>
    <s v="Loan"/>
    <s v="xxxx-1001"/>
    <d v="2023-12-01T00:00:00"/>
    <s v="Loan Interest"/>
    <n v="-308.39"/>
    <x v="2"/>
    <x v="23"/>
    <x v="37"/>
  </r>
  <r>
    <s v="ANZ"/>
    <s v="Loan"/>
    <s v="xxxx-1001"/>
    <d v="2023-11-30T00:00:00"/>
    <s v="Loan Payment"/>
    <n v="524.46"/>
    <x v="2"/>
    <x v="23"/>
    <x v="36"/>
  </r>
  <r>
    <s v="ANZ"/>
    <s v="Loan"/>
    <s v="xxxx-1001"/>
    <d v="2023-11-23T00:00:00"/>
    <s v="Loan Payment"/>
    <n v="437.16"/>
    <x v="2"/>
    <x v="23"/>
    <x v="36"/>
  </r>
  <r>
    <s v="ANZ"/>
    <s v="Loan"/>
    <s v="xxxx-1001"/>
    <d v="2023-11-16T00:00:00"/>
    <s v="Loan Payment"/>
    <n v="477.16"/>
    <x v="2"/>
    <x v="23"/>
    <x v="36"/>
  </r>
  <r>
    <s v="ANZ"/>
    <s v="Loan"/>
    <s v="xxxx-1001"/>
    <d v="2023-11-09T00:00:00"/>
    <s v="Loan Payment"/>
    <n v="176.71"/>
    <x v="2"/>
    <x v="23"/>
    <x v="36"/>
  </r>
  <r>
    <s v="ANZ"/>
    <s v="Loan"/>
    <s v="xxxx-1001"/>
    <d v="2023-11-02T00:00:00"/>
    <s v="Loan Payment"/>
    <n v="105.93"/>
    <x v="2"/>
    <x v="23"/>
    <x v="36"/>
  </r>
  <r>
    <s v="ANZ"/>
    <s v="Loan"/>
    <s v="xxxx-1001"/>
    <d v="2023-11-01T00:00:00"/>
    <s v="Loan Interest"/>
    <n v="-1085.52"/>
    <x v="2"/>
    <x v="23"/>
    <x v="37"/>
  </r>
  <r>
    <s v="ANZ"/>
    <s v="Loan"/>
    <s v="xxxx-1001"/>
    <d v="2023-10-26T00:00:00"/>
    <s v="Loan Payment"/>
    <n v="162.61000000000001"/>
    <x v="2"/>
    <x v="23"/>
    <x v="36"/>
  </r>
  <r>
    <s v="ANZ"/>
    <s v="Loan"/>
    <s v="xxxx-1001"/>
    <d v="2023-10-19T00:00:00"/>
    <s v="Loan Payment"/>
    <n v="316.67"/>
    <x v="2"/>
    <x v="23"/>
    <x v="36"/>
  </r>
  <r>
    <s v="ANZ"/>
    <s v="Loan"/>
    <s v="xxxx-1001"/>
    <d v="2023-10-12T00:00:00"/>
    <s v="Loan Payment"/>
    <n v="479.61"/>
    <x v="2"/>
    <x v="23"/>
    <x v="36"/>
  </r>
  <r>
    <s v="ANZ"/>
    <s v="Loan"/>
    <s v="xxxx-1001"/>
    <d v="2023-10-05T00:00:00"/>
    <s v="Loan Payment"/>
    <n v="314.97000000000003"/>
    <x v="2"/>
    <x v="23"/>
    <x v="36"/>
  </r>
  <r>
    <s v="ANZ"/>
    <s v="Loan"/>
    <s v="xxxx-1001"/>
    <d v="2023-10-01T00:00:00"/>
    <s v="Loan Interest"/>
    <n v="-1187.3699999999999"/>
    <x v="2"/>
    <x v="23"/>
    <x v="37"/>
  </r>
  <r>
    <s v="ANZ"/>
    <s v="Loan"/>
    <s v="xxxx-1001"/>
    <d v="2023-09-28T00:00:00"/>
    <s v="Loan Payment"/>
    <n v="352"/>
    <x v="2"/>
    <x v="23"/>
    <x v="36"/>
  </r>
  <r>
    <s v="ANZ"/>
    <s v="Loan"/>
    <s v="xxxx-1001"/>
    <d v="2023-09-21T00:00:00"/>
    <s v="Loan Payment"/>
    <n v="189.63"/>
    <x v="2"/>
    <x v="23"/>
    <x v="36"/>
  </r>
  <r>
    <s v="ANZ"/>
    <s v="Loan"/>
    <s v="xxxx-1001"/>
    <d v="2023-09-14T00:00:00"/>
    <s v="Loan Payment"/>
    <n v="399.67"/>
    <x v="2"/>
    <x v="23"/>
    <x v="36"/>
  </r>
  <r>
    <s v="ANZ"/>
    <s v="Loan"/>
    <s v="xxxx-1001"/>
    <d v="2023-09-07T00:00:00"/>
    <s v="Loan Payment"/>
    <n v="420.04"/>
    <x v="2"/>
    <x v="23"/>
    <x v="36"/>
  </r>
  <r>
    <s v="ANZ"/>
    <s v="Loan"/>
    <s v="xxxx-1001"/>
    <d v="2023-09-01T00:00:00"/>
    <s v="Loan Interest"/>
    <n v="-418.17"/>
    <x v="2"/>
    <x v="23"/>
    <x v="37"/>
  </r>
  <r>
    <s v="ANZ"/>
    <s v="Loan"/>
    <s v="xxxx-1001"/>
    <d v="2023-08-31T00:00:00"/>
    <s v="Loan Payment"/>
    <n v="102.92"/>
    <x v="2"/>
    <x v="23"/>
    <x v="36"/>
  </r>
  <r>
    <s v="ANZ"/>
    <s v="Loan"/>
    <s v="xxxx-1001"/>
    <d v="2023-08-24T00:00:00"/>
    <s v="Loan Payment"/>
    <n v="17.37"/>
    <x v="2"/>
    <x v="23"/>
    <x v="36"/>
  </r>
  <r>
    <s v="ANZ"/>
    <s v="Loan"/>
    <s v="xxxx-1001"/>
    <d v="2023-08-17T00:00:00"/>
    <s v="Loan Payment"/>
    <n v="281.64999999999998"/>
    <x v="2"/>
    <x v="23"/>
    <x v="36"/>
  </r>
  <r>
    <s v="ANZ"/>
    <s v="Loan"/>
    <s v="xxxx-1001"/>
    <d v="2023-08-10T00:00:00"/>
    <s v="Loan Payment"/>
    <n v="274.26"/>
    <x v="2"/>
    <x v="23"/>
    <x v="36"/>
  </r>
  <r>
    <s v="ANZ"/>
    <s v="Loan"/>
    <s v="xxxx-1001"/>
    <d v="2023-08-03T00:00:00"/>
    <s v="Loan Payment"/>
    <n v="457.56"/>
    <x v="2"/>
    <x v="23"/>
    <x v="36"/>
  </r>
  <r>
    <s v="ANZ"/>
    <s v="Loan"/>
    <s v="xxxx-1001"/>
    <d v="2023-08-01T00:00:00"/>
    <s v="Loan Interest"/>
    <n v="-1854.24"/>
    <x v="2"/>
    <x v="23"/>
    <x v="37"/>
  </r>
  <r>
    <s v="ANZ"/>
    <s v="Loan"/>
    <s v="xxxx-1001"/>
    <d v="2023-07-27T00:00:00"/>
    <s v="Loan Payment"/>
    <n v="254"/>
    <x v="2"/>
    <x v="23"/>
    <x v="36"/>
  </r>
  <r>
    <s v="ANZ"/>
    <s v="Loan"/>
    <s v="xxxx-1001"/>
    <d v="2023-07-20T00:00:00"/>
    <s v="Loan Payment"/>
    <n v="545.52"/>
    <x v="2"/>
    <x v="23"/>
    <x v="36"/>
  </r>
  <r>
    <s v="ANZ"/>
    <s v="Loan"/>
    <s v="xxxx-1001"/>
    <d v="2023-07-13T00:00:00"/>
    <s v="Loan Payment"/>
    <n v="502.98"/>
    <x v="2"/>
    <x v="23"/>
    <x v="36"/>
  </r>
  <r>
    <s v="ANZ"/>
    <s v="Loan"/>
    <s v="xxxx-1001"/>
    <d v="2023-07-06T00:00:00"/>
    <s v="Loan Payment"/>
    <n v="150.13"/>
    <x v="2"/>
    <x v="23"/>
    <x v="36"/>
  </r>
  <r>
    <s v="ANZ"/>
    <s v="Loan"/>
    <s v="xxxx-1001"/>
    <d v="2023-07-01T00:00:00"/>
    <s v="Loan Interest"/>
    <n v="-1660.04"/>
    <x v="2"/>
    <x v="23"/>
    <x v="37"/>
  </r>
  <r>
    <s v="ANZ"/>
    <s v="Loan"/>
    <s v="xxxx-1001"/>
    <d v="2023-06-29T00:00:00"/>
    <s v="Loan Payment"/>
    <n v="179.33"/>
    <x v="2"/>
    <x v="23"/>
    <x v="36"/>
  </r>
  <r>
    <s v="ANZ"/>
    <s v="Loan"/>
    <s v="xxxx-1001"/>
    <d v="2023-06-22T00:00:00"/>
    <s v="Loan Payment"/>
    <n v="131"/>
    <x v="2"/>
    <x v="23"/>
    <x v="36"/>
  </r>
  <r>
    <s v="ANZ"/>
    <s v="Loan"/>
    <s v="xxxx-1001"/>
    <d v="2023-06-15T00:00:00"/>
    <s v="Loan Payment"/>
    <n v="29.46"/>
    <x v="2"/>
    <x v="23"/>
    <x v="36"/>
  </r>
  <r>
    <s v="ANZ"/>
    <s v="Loan"/>
    <s v="xxxx-1001"/>
    <d v="2023-06-08T00:00:00"/>
    <s v="Loan Payment"/>
    <n v="716.22"/>
    <x v="2"/>
    <x v="23"/>
    <x v="36"/>
  </r>
  <r>
    <s v="ANZ"/>
    <s v="Loan"/>
    <s v="xxxx-1001"/>
    <d v="2023-06-01T00:00:00"/>
    <s v="Loan Interest"/>
    <n v="-1417.79"/>
    <x v="2"/>
    <x v="23"/>
    <x v="37"/>
  </r>
  <r>
    <s v="ANZ"/>
    <s v="Loan"/>
    <s v="xxxx-1001"/>
    <d v="2023-06-01T00:00:00"/>
    <s v="Loan Payment"/>
    <n v="332.3"/>
    <x v="2"/>
    <x v="23"/>
    <x v="36"/>
  </r>
  <r>
    <s v="ANZ"/>
    <s v="Loan"/>
    <s v="xxxx-1001"/>
    <d v="2023-05-25T00:00:00"/>
    <s v="Loan Payment"/>
    <n v="3.29"/>
    <x v="2"/>
    <x v="23"/>
    <x v="36"/>
  </r>
  <r>
    <s v="ANZ"/>
    <s v="Loan"/>
    <s v="xxxx-1001"/>
    <d v="2023-05-18T00:00:00"/>
    <s v="Loan Payment"/>
    <n v="527.51"/>
    <x v="2"/>
    <x v="23"/>
    <x v="36"/>
  </r>
  <r>
    <s v="ANZ"/>
    <s v="Loan"/>
    <s v="xxxx-1001"/>
    <d v="2023-05-11T00:00:00"/>
    <s v="Loan Payment"/>
    <n v="11.39"/>
    <x v="2"/>
    <x v="23"/>
    <x v="36"/>
  </r>
  <r>
    <s v="ANZ"/>
    <s v="Loan"/>
    <s v="xxxx-1001"/>
    <d v="2023-05-04T00:00:00"/>
    <s v="Loan Payment"/>
    <n v="478.52"/>
    <x v="2"/>
    <x v="23"/>
    <x v="36"/>
  </r>
  <r>
    <s v="ANZ"/>
    <s v="Loan"/>
    <s v="xxxx-1001"/>
    <d v="2023-05-01T00:00:00"/>
    <s v="Loan Interest"/>
    <n v="-275.95999999999998"/>
    <x v="2"/>
    <x v="23"/>
    <x v="37"/>
  </r>
  <r>
    <s v="ANZ"/>
    <s v="Loan"/>
    <s v="xxxx-1001"/>
    <d v="2023-04-27T00:00:00"/>
    <s v="Loan Payment"/>
    <n v="378.78"/>
    <x v="2"/>
    <x v="23"/>
    <x v="36"/>
  </r>
  <r>
    <s v="ANZ"/>
    <s v="Loan"/>
    <s v="xxxx-1001"/>
    <d v="2023-04-20T00:00:00"/>
    <s v="Loan Payment"/>
    <n v="134.94"/>
    <x v="2"/>
    <x v="23"/>
    <x v="36"/>
  </r>
  <r>
    <s v="ANZ"/>
    <s v="Loan"/>
    <s v="xxxx-1001"/>
    <d v="2023-04-13T00:00:00"/>
    <s v="Loan Payment"/>
    <n v="64.150000000000006"/>
    <x v="2"/>
    <x v="23"/>
    <x v="36"/>
  </r>
  <r>
    <s v="ANZ"/>
    <s v="Loan"/>
    <s v="xxxx-1001"/>
    <d v="2023-04-06T00:00:00"/>
    <s v="Loan Payment"/>
    <n v="642.65"/>
    <x v="2"/>
    <x v="23"/>
    <x v="36"/>
  </r>
  <r>
    <s v="ANZ"/>
    <s v="Loan"/>
    <s v="xxxx-1001"/>
    <d v="2023-04-01T00:00:00"/>
    <s v="Loan Interest"/>
    <n v="-826.64"/>
    <x v="2"/>
    <x v="23"/>
    <x v="37"/>
  </r>
  <r>
    <s v="ANZ"/>
    <s v="Loan"/>
    <s v="xxxx-1002"/>
    <d v="2024-03-28T00:00:00"/>
    <s v="Loan Payment"/>
    <n v="370.85"/>
    <x v="2"/>
    <x v="23"/>
    <x v="36"/>
  </r>
  <r>
    <s v="ANZ"/>
    <s v="Loan"/>
    <s v="xxxx-1002"/>
    <d v="2024-03-21T00:00:00"/>
    <s v="Loan Payment"/>
    <n v="362.16"/>
    <x v="2"/>
    <x v="23"/>
    <x v="36"/>
  </r>
  <r>
    <s v="ANZ"/>
    <s v="Loan"/>
    <s v="xxxx-1002"/>
    <d v="2024-03-14T00:00:00"/>
    <s v="Loan Payment"/>
    <n v="37.07"/>
    <x v="2"/>
    <x v="23"/>
    <x v="36"/>
  </r>
  <r>
    <s v="ANZ"/>
    <s v="Loan"/>
    <s v="xxxx-1002"/>
    <d v="2024-03-07T00:00:00"/>
    <s v="Loan Payment"/>
    <n v="470.66"/>
    <x v="2"/>
    <x v="23"/>
    <x v="36"/>
  </r>
  <r>
    <s v="ANZ"/>
    <s v="Loan"/>
    <s v="xxxx-1002"/>
    <d v="2024-03-01T00:00:00"/>
    <s v="Loan Interest"/>
    <n v="-1419"/>
    <x v="2"/>
    <x v="23"/>
    <x v="37"/>
  </r>
  <r>
    <s v="ANZ"/>
    <s v="Loan"/>
    <s v="xxxx-1002"/>
    <d v="2024-02-29T00:00:00"/>
    <s v="Loan Payment"/>
    <n v="193.32"/>
    <x v="2"/>
    <x v="23"/>
    <x v="36"/>
  </r>
  <r>
    <s v="ANZ"/>
    <s v="Loan"/>
    <s v="xxxx-1002"/>
    <d v="2024-02-22T00:00:00"/>
    <s v="Loan Payment"/>
    <n v="117.47"/>
    <x v="2"/>
    <x v="23"/>
    <x v="36"/>
  </r>
  <r>
    <s v="ANZ"/>
    <s v="Loan"/>
    <s v="xxxx-1002"/>
    <d v="2024-02-15T00:00:00"/>
    <s v="Loan Payment"/>
    <n v="350.9"/>
    <x v="2"/>
    <x v="23"/>
    <x v="36"/>
  </r>
  <r>
    <s v="ANZ"/>
    <s v="Loan"/>
    <s v="xxxx-1002"/>
    <d v="2024-02-08T00:00:00"/>
    <s v="Loan Payment"/>
    <n v="507.22"/>
    <x v="2"/>
    <x v="23"/>
    <x v="36"/>
  </r>
  <r>
    <s v="ANZ"/>
    <s v="Loan"/>
    <s v="xxxx-1002"/>
    <d v="2024-02-01T00:00:00"/>
    <s v="Loan Interest"/>
    <n v="-1466.68"/>
    <x v="2"/>
    <x v="23"/>
    <x v="37"/>
  </r>
  <r>
    <s v="ANZ"/>
    <s v="Loan"/>
    <s v="xxxx-1002"/>
    <d v="2024-02-01T00:00:00"/>
    <s v="Loan Payment"/>
    <n v="167.3"/>
    <x v="2"/>
    <x v="23"/>
    <x v="36"/>
  </r>
  <r>
    <s v="ANZ"/>
    <s v="Loan"/>
    <s v="xxxx-1002"/>
    <d v="2024-01-25T00:00:00"/>
    <s v="Loan Payment"/>
    <n v="120.88"/>
    <x v="2"/>
    <x v="23"/>
    <x v="36"/>
  </r>
  <r>
    <s v="ANZ"/>
    <s v="Loan"/>
    <s v="xxxx-1002"/>
    <d v="2024-01-18T00:00:00"/>
    <s v="Loan Payment"/>
    <n v="309.36"/>
    <x v="2"/>
    <x v="23"/>
    <x v="36"/>
  </r>
  <r>
    <s v="ANZ"/>
    <s v="Loan"/>
    <s v="xxxx-1002"/>
    <d v="2024-01-11T00:00:00"/>
    <s v="Loan Payment"/>
    <n v="94.33"/>
    <x v="2"/>
    <x v="23"/>
    <x v="36"/>
  </r>
  <r>
    <s v="ANZ"/>
    <s v="Loan"/>
    <s v="xxxx-1002"/>
    <d v="2024-01-04T00:00:00"/>
    <s v="Loan Payment"/>
    <n v="336.95"/>
    <x v="2"/>
    <x v="23"/>
    <x v="36"/>
  </r>
  <r>
    <s v="ANZ"/>
    <s v="Loan"/>
    <s v="xxxx-1002"/>
    <d v="2024-01-01T00:00:00"/>
    <s v="Loan Interest"/>
    <n v="-1319.97"/>
    <x v="2"/>
    <x v="23"/>
    <x v="37"/>
  </r>
  <r>
    <s v="ANZ"/>
    <s v="Loan"/>
    <s v="xxxx-1002"/>
    <d v="2023-12-28T00:00:00"/>
    <s v="Loan Payment"/>
    <n v="288.14999999999998"/>
    <x v="2"/>
    <x v="23"/>
    <x v="36"/>
  </r>
  <r>
    <s v="ANZ"/>
    <s v="Loan"/>
    <s v="xxxx-1002"/>
    <d v="2023-12-21T00:00:00"/>
    <s v="Loan Payment"/>
    <n v="147.22"/>
    <x v="2"/>
    <x v="23"/>
    <x v="36"/>
  </r>
  <r>
    <s v="ANZ"/>
    <s v="Loan"/>
    <s v="xxxx-1002"/>
    <d v="2023-12-14T00:00:00"/>
    <s v="Loan Payment"/>
    <n v="531.98"/>
    <x v="2"/>
    <x v="23"/>
    <x v="36"/>
  </r>
  <r>
    <s v="ANZ"/>
    <s v="Loan"/>
    <s v="xxxx-1002"/>
    <d v="2023-12-07T00:00:00"/>
    <s v="Loan Payment"/>
    <n v="102.01"/>
    <x v="2"/>
    <x v="23"/>
    <x v="36"/>
  </r>
  <r>
    <s v="ANZ"/>
    <s v="Loan"/>
    <s v="xxxx-1002"/>
    <d v="2023-12-01T00:00:00"/>
    <s v="Loan Interest"/>
    <n v="-28.9"/>
    <x v="2"/>
    <x v="23"/>
    <x v="37"/>
  </r>
  <r>
    <s v="ANZ"/>
    <s v="Loan"/>
    <s v="xxxx-1002"/>
    <d v="2023-11-30T00:00:00"/>
    <s v="Loan Payment"/>
    <n v="17.88"/>
    <x v="2"/>
    <x v="23"/>
    <x v="36"/>
  </r>
  <r>
    <s v="ANZ"/>
    <s v="Loan"/>
    <s v="xxxx-1002"/>
    <d v="2023-11-23T00:00:00"/>
    <s v="Loan Payment"/>
    <n v="499.97"/>
    <x v="2"/>
    <x v="23"/>
    <x v="36"/>
  </r>
  <r>
    <s v="ANZ"/>
    <s v="Loan"/>
    <s v="xxxx-1002"/>
    <d v="2023-11-16T00:00:00"/>
    <s v="Loan Payment"/>
    <n v="524.58000000000004"/>
    <x v="2"/>
    <x v="23"/>
    <x v="36"/>
  </r>
  <r>
    <s v="ANZ"/>
    <s v="Loan"/>
    <s v="xxxx-1002"/>
    <d v="2023-11-09T00:00:00"/>
    <s v="Loan Payment"/>
    <n v="198.08"/>
    <x v="2"/>
    <x v="23"/>
    <x v="36"/>
  </r>
  <r>
    <s v="ANZ"/>
    <s v="Loan"/>
    <s v="xxxx-1002"/>
    <d v="2023-11-02T00:00:00"/>
    <s v="Loan Payment"/>
    <n v="448.57"/>
    <x v="2"/>
    <x v="23"/>
    <x v="36"/>
  </r>
  <r>
    <s v="ANZ"/>
    <s v="Loan"/>
    <s v="xxxx-1002"/>
    <d v="2023-11-01T00:00:00"/>
    <s v="Loan Interest"/>
    <n v="-1326.73"/>
    <x v="2"/>
    <x v="23"/>
    <x v="37"/>
  </r>
  <r>
    <s v="ANZ"/>
    <s v="Loan"/>
    <s v="xxxx-1002"/>
    <d v="2023-10-26T00:00:00"/>
    <s v="Loan Payment"/>
    <n v="149.24"/>
    <x v="2"/>
    <x v="23"/>
    <x v="36"/>
  </r>
  <r>
    <s v="ANZ"/>
    <s v="Loan"/>
    <s v="xxxx-1002"/>
    <d v="2023-10-19T00:00:00"/>
    <s v="Loan Payment"/>
    <n v="226.74"/>
    <x v="2"/>
    <x v="23"/>
    <x v="36"/>
  </r>
  <r>
    <s v="ANZ"/>
    <s v="Loan"/>
    <s v="xxxx-1002"/>
    <d v="2023-10-12T00:00:00"/>
    <s v="Loan Payment"/>
    <n v="164.55"/>
    <x v="2"/>
    <x v="23"/>
    <x v="36"/>
  </r>
  <r>
    <s v="ANZ"/>
    <s v="Loan"/>
    <s v="xxxx-1002"/>
    <d v="2023-10-05T00:00:00"/>
    <s v="Loan Payment"/>
    <n v="194.51"/>
    <x v="2"/>
    <x v="23"/>
    <x v="36"/>
  </r>
  <r>
    <s v="ANZ"/>
    <s v="Loan"/>
    <s v="xxxx-1002"/>
    <d v="2023-10-01T00:00:00"/>
    <s v="Loan Interest"/>
    <n v="-1053.8900000000001"/>
    <x v="2"/>
    <x v="23"/>
    <x v="37"/>
  </r>
  <r>
    <s v="ANZ"/>
    <s v="Loan"/>
    <s v="xxxx-1002"/>
    <d v="2023-09-28T00:00:00"/>
    <s v="Loan Payment"/>
    <n v="210.98"/>
    <x v="2"/>
    <x v="23"/>
    <x v="36"/>
  </r>
  <r>
    <s v="ANZ"/>
    <s v="Loan"/>
    <s v="xxxx-1002"/>
    <d v="2023-09-21T00:00:00"/>
    <s v="Loan Payment"/>
    <n v="182.26"/>
    <x v="2"/>
    <x v="23"/>
    <x v="36"/>
  </r>
  <r>
    <s v="ANZ"/>
    <s v="Loan"/>
    <s v="xxxx-1002"/>
    <d v="2023-09-14T00:00:00"/>
    <s v="Loan Payment"/>
    <n v="357.3"/>
    <x v="2"/>
    <x v="23"/>
    <x v="36"/>
  </r>
  <r>
    <s v="ANZ"/>
    <s v="Loan"/>
    <s v="xxxx-1002"/>
    <d v="2023-09-07T00:00:00"/>
    <s v="Loan Payment"/>
    <n v="403.67"/>
    <x v="2"/>
    <x v="23"/>
    <x v="36"/>
  </r>
  <r>
    <s v="ANZ"/>
    <s v="Loan"/>
    <s v="xxxx-1002"/>
    <d v="2023-09-01T00:00:00"/>
    <s v="Loan Interest"/>
    <n v="-1813.92"/>
    <x v="2"/>
    <x v="23"/>
    <x v="37"/>
  </r>
  <r>
    <s v="ANZ"/>
    <s v="Loan"/>
    <s v="xxxx-1002"/>
    <d v="2023-08-31T00:00:00"/>
    <s v="Loan Payment"/>
    <n v="431.72"/>
    <x v="2"/>
    <x v="23"/>
    <x v="36"/>
  </r>
  <r>
    <s v="ANZ"/>
    <s v="Loan"/>
    <s v="xxxx-1002"/>
    <d v="2023-08-24T00:00:00"/>
    <s v="Loan Payment"/>
    <n v="465.92"/>
    <x v="2"/>
    <x v="23"/>
    <x v="36"/>
  </r>
  <r>
    <s v="ANZ"/>
    <s v="Loan"/>
    <s v="xxxx-1002"/>
    <d v="2023-08-17T00:00:00"/>
    <s v="Loan Payment"/>
    <n v="183.76"/>
    <x v="2"/>
    <x v="23"/>
    <x v="36"/>
  </r>
  <r>
    <s v="ANZ"/>
    <s v="Loan"/>
    <s v="xxxx-1002"/>
    <d v="2023-08-10T00:00:00"/>
    <s v="Loan Payment"/>
    <n v="552.03"/>
    <x v="2"/>
    <x v="23"/>
    <x v="36"/>
  </r>
  <r>
    <s v="ANZ"/>
    <s v="Loan"/>
    <s v="xxxx-1002"/>
    <d v="2023-08-03T00:00:00"/>
    <s v="Loan Payment"/>
    <n v="294.02999999999997"/>
    <x v="2"/>
    <x v="23"/>
    <x v="36"/>
  </r>
  <r>
    <s v="ANZ"/>
    <s v="Loan"/>
    <s v="xxxx-1002"/>
    <d v="2023-08-01T00:00:00"/>
    <s v="Loan Interest"/>
    <n v="-1624.25"/>
    <x v="2"/>
    <x v="23"/>
    <x v="37"/>
  </r>
  <r>
    <s v="ANZ"/>
    <s v="Loan"/>
    <s v="xxxx-1002"/>
    <d v="2023-07-27T00:00:00"/>
    <s v="Loan Payment"/>
    <n v="660.04"/>
    <x v="2"/>
    <x v="23"/>
    <x v="36"/>
  </r>
  <r>
    <s v="ANZ"/>
    <s v="Loan"/>
    <s v="xxxx-1002"/>
    <d v="2023-07-20T00:00:00"/>
    <s v="Loan Payment"/>
    <n v="73.180000000000007"/>
    <x v="2"/>
    <x v="23"/>
    <x v="36"/>
  </r>
  <r>
    <s v="ANZ"/>
    <s v="Loan"/>
    <s v="xxxx-1002"/>
    <d v="2023-07-13T00:00:00"/>
    <s v="Loan Payment"/>
    <n v="344.07"/>
    <x v="2"/>
    <x v="23"/>
    <x v="36"/>
  </r>
  <r>
    <s v="ANZ"/>
    <s v="Loan"/>
    <s v="xxxx-1002"/>
    <d v="2023-07-06T00:00:00"/>
    <s v="Loan Payment"/>
    <n v="326.77999999999997"/>
    <x v="2"/>
    <x v="23"/>
    <x v="36"/>
  </r>
  <r>
    <s v="ANZ"/>
    <s v="Loan"/>
    <s v="xxxx-1002"/>
    <d v="2023-07-01T00:00:00"/>
    <s v="Loan Interest"/>
    <n v="-1311.14"/>
    <x v="2"/>
    <x v="23"/>
    <x v="37"/>
  </r>
  <r>
    <s v="ANZ"/>
    <s v="Loan"/>
    <s v="xxxx-1002"/>
    <d v="2023-06-29T00:00:00"/>
    <s v="Loan Payment"/>
    <n v="141.03"/>
    <x v="2"/>
    <x v="23"/>
    <x v="36"/>
  </r>
  <r>
    <s v="ANZ"/>
    <s v="Loan"/>
    <s v="xxxx-1002"/>
    <d v="2023-06-22T00:00:00"/>
    <s v="Loan Payment"/>
    <n v="366.46"/>
    <x v="2"/>
    <x v="23"/>
    <x v="36"/>
  </r>
  <r>
    <s v="ANZ"/>
    <s v="Loan"/>
    <s v="xxxx-1002"/>
    <d v="2023-06-15T00:00:00"/>
    <s v="Loan Payment"/>
    <n v="666.13"/>
    <x v="2"/>
    <x v="23"/>
    <x v="36"/>
  </r>
  <r>
    <s v="ANZ"/>
    <s v="Loan"/>
    <s v="xxxx-1002"/>
    <d v="2023-06-08T00:00:00"/>
    <s v="Loan Payment"/>
    <n v="290.95999999999998"/>
    <x v="2"/>
    <x v="23"/>
    <x v="36"/>
  </r>
  <r>
    <s v="ANZ"/>
    <s v="Loan"/>
    <s v="xxxx-1002"/>
    <d v="2023-06-01T00:00:00"/>
    <s v="Loan Interest"/>
    <n v="-1218.26"/>
    <x v="2"/>
    <x v="23"/>
    <x v="37"/>
  </r>
  <r>
    <s v="ANZ"/>
    <s v="Loan"/>
    <s v="xxxx-1002"/>
    <d v="2023-06-01T00:00:00"/>
    <s v="Loan Payment"/>
    <n v="459.4"/>
    <x v="2"/>
    <x v="23"/>
    <x v="36"/>
  </r>
  <r>
    <s v="ANZ"/>
    <s v="Loan"/>
    <s v="xxxx-1002"/>
    <d v="2023-05-25T00:00:00"/>
    <s v="Loan Payment"/>
    <n v="209.27"/>
    <x v="2"/>
    <x v="23"/>
    <x v="36"/>
  </r>
  <r>
    <s v="ANZ"/>
    <s v="Loan"/>
    <s v="xxxx-1002"/>
    <d v="2023-05-18T00:00:00"/>
    <s v="Loan Payment"/>
    <n v="295.98"/>
    <x v="2"/>
    <x v="23"/>
    <x v="36"/>
  </r>
  <r>
    <s v="ANZ"/>
    <s v="Loan"/>
    <s v="xxxx-1002"/>
    <d v="2023-05-11T00:00:00"/>
    <s v="Loan Payment"/>
    <n v="47.27"/>
    <x v="2"/>
    <x v="23"/>
    <x v="36"/>
  </r>
  <r>
    <s v="ANZ"/>
    <s v="Loan"/>
    <s v="xxxx-1002"/>
    <d v="2023-05-04T00:00:00"/>
    <s v="Loan Payment"/>
    <n v="270.47000000000003"/>
    <x v="2"/>
    <x v="23"/>
    <x v="36"/>
  </r>
  <r>
    <s v="ANZ"/>
    <s v="Loan"/>
    <s v="xxxx-1002"/>
    <d v="2023-05-01T00:00:00"/>
    <s v="Loan Interest"/>
    <n v="-1718.83"/>
    <x v="2"/>
    <x v="23"/>
    <x v="37"/>
  </r>
  <r>
    <s v="ANZ"/>
    <s v="Loan"/>
    <s v="xxxx-1002"/>
    <d v="2023-04-27T00:00:00"/>
    <s v="Loan Payment"/>
    <n v="152.47"/>
    <x v="2"/>
    <x v="23"/>
    <x v="36"/>
  </r>
  <r>
    <s v="ANZ"/>
    <s v="Loan"/>
    <s v="xxxx-1002"/>
    <d v="2023-04-20T00:00:00"/>
    <s v="Loan Payment"/>
    <n v="187.79"/>
    <x v="2"/>
    <x v="23"/>
    <x v="36"/>
  </r>
  <r>
    <s v="ANZ"/>
    <s v="Loan"/>
    <s v="xxxx-1002"/>
    <d v="2023-04-13T00:00:00"/>
    <s v="Loan Payment"/>
    <n v="7.08"/>
    <x v="2"/>
    <x v="23"/>
    <x v="36"/>
  </r>
  <r>
    <s v="ANZ"/>
    <s v="Loan"/>
    <s v="xxxx-1002"/>
    <d v="2023-04-06T00:00:00"/>
    <s v="Loan Payment"/>
    <n v="361.43"/>
    <x v="2"/>
    <x v="23"/>
    <x v="36"/>
  </r>
  <r>
    <s v="ANZ"/>
    <s v="Loan"/>
    <s v="xxxx-1002"/>
    <d v="2023-04-01T00:00:00"/>
    <s v="Loan Interest"/>
    <n v="-1799.77"/>
    <x v="2"/>
    <x v="23"/>
    <x v="37"/>
  </r>
  <r>
    <s v="ANZ"/>
    <s v="Loan"/>
    <s v="xxxx-1003"/>
    <d v="2024-03-28T00:00:00"/>
    <s v="Loan Payment"/>
    <n v="149.57"/>
    <x v="2"/>
    <x v="23"/>
    <x v="36"/>
  </r>
  <r>
    <s v="ANZ"/>
    <s v="Loan"/>
    <s v="xxxx-1003"/>
    <d v="2024-03-21T00:00:00"/>
    <s v="Loan Payment"/>
    <n v="46.02"/>
    <x v="2"/>
    <x v="23"/>
    <x v="36"/>
  </r>
  <r>
    <s v="ANZ"/>
    <s v="Loan"/>
    <s v="xxxx-1003"/>
    <d v="2024-03-14T00:00:00"/>
    <s v="Loan Payment"/>
    <n v="343.64"/>
    <x v="2"/>
    <x v="23"/>
    <x v="36"/>
  </r>
  <r>
    <s v="ANZ"/>
    <s v="Loan"/>
    <s v="xxxx-1003"/>
    <d v="2024-03-07T00:00:00"/>
    <s v="Loan Payment"/>
    <n v="184.92"/>
    <x v="2"/>
    <x v="23"/>
    <x v="36"/>
  </r>
  <r>
    <s v="ANZ"/>
    <s v="Loan"/>
    <s v="xxxx-1003"/>
    <d v="2024-03-01T00:00:00"/>
    <s v="Loan Interest"/>
    <n v="-1085.95"/>
    <x v="2"/>
    <x v="23"/>
    <x v="37"/>
  </r>
  <r>
    <s v="ANZ"/>
    <s v="Loan"/>
    <s v="xxxx-1003"/>
    <d v="2024-02-29T00:00:00"/>
    <s v="Loan Payment"/>
    <n v="350.7"/>
    <x v="2"/>
    <x v="23"/>
    <x v="36"/>
  </r>
  <r>
    <s v="ANZ"/>
    <s v="Loan"/>
    <s v="xxxx-1003"/>
    <d v="2024-02-22T00:00:00"/>
    <s v="Loan Payment"/>
    <n v="282.52"/>
    <x v="2"/>
    <x v="23"/>
    <x v="36"/>
  </r>
  <r>
    <s v="ANZ"/>
    <s v="Loan"/>
    <s v="xxxx-1003"/>
    <d v="2024-02-15T00:00:00"/>
    <s v="Loan Payment"/>
    <n v="136.65"/>
    <x v="2"/>
    <x v="23"/>
    <x v="36"/>
  </r>
  <r>
    <s v="ANZ"/>
    <s v="Loan"/>
    <s v="xxxx-1003"/>
    <d v="2024-02-08T00:00:00"/>
    <s v="Loan Payment"/>
    <n v="93.48"/>
    <x v="2"/>
    <x v="23"/>
    <x v="36"/>
  </r>
  <r>
    <s v="ANZ"/>
    <s v="Loan"/>
    <s v="xxxx-1003"/>
    <d v="2024-02-01T00:00:00"/>
    <s v="Loan Interest"/>
    <n v="-1057.03"/>
    <x v="2"/>
    <x v="23"/>
    <x v="37"/>
  </r>
  <r>
    <s v="ANZ"/>
    <s v="Loan"/>
    <s v="xxxx-1003"/>
    <d v="2024-02-01T00:00:00"/>
    <s v="Loan Payment"/>
    <n v="76.02"/>
    <x v="2"/>
    <x v="23"/>
    <x v="36"/>
  </r>
  <r>
    <s v="ANZ"/>
    <s v="Loan"/>
    <s v="xxxx-1003"/>
    <d v="2024-01-25T00:00:00"/>
    <s v="Loan Payment"/>
    <n v="115.2"/>
    <x v="2"/>
    <x v="23"/>
    <x v="36"/>
  </r>
  <r>
    <s v="ANZ"/>
    <s v="Loan"/>
    <s v="xxxx-1003"/>
    <d v="2024-01-18T00:00:00"/>
    <s v="Loan Payment"/>
    <n v="325.49"/>
    <x v="2"/>
    <x v="23"/>
    <x v="36"/>
  </r>
  <r>
    <s v="ANZ"/>
    <s v="Loan"/>
    <s v="xxxx-1003"/>
    <d v="2024-01-11T00:00:00"/>
    <s v="Loan Payment"/>
    <n v="206.27"/>
    <x v="2"/>
    <x v="23"/>
    <x v="36"/>
  </r>
  <r>
    <s v="ANZ"/>
    <s v="Loan"/>
    <s v="xxxx-1003"/>
    <d v="2024-01-04T00:00:00"/>
    <s v="Loan Payment"/>
    <n v="12.56"/>
    <x v="2"/>
    <x v="23"/>
    <x v="36"/>
  </r>
  <r>
    <s v="ANZ"/>
    <s v="Loan"/>
    <s v="xxxx-1003"/>
    <d v="2024-01-01T00:00:00"/>
    <s v="Loan Interest"/>
    <n v="-437.23"/>
    <x v="2"/>
    <x v="23"/>
    <x v="37"/>
  </r>
  <r>
    <s v="ANZ"/>
    <s v="Loan"/>
    <s v="xxxx-1003"/>
    <d v="2023-12-28T00:00:00"/>
    <s v="Loan Payment"/>
    <n v="247.36"/>
    <x v="2"/>
    <x v="23"/>
    <x v="36"/>
  </r>
  <r>
    <s v="ANZ"/>
    <s v="Loan"/>
    <s v="xxxx-1003"/>
    <d v="2023-12-21T00:00:00"/>
    <s v="Loan Payment"/>
    <n v="197.86"/>
    <x v="2"/>
    <x v="23"/>
    <x v="36"/>
  </r>
  <r>
    <s v="ANZ"/>
    <s v="Loan"/>
    <s v="xxxx-1003"/>
    <d v="2023-12-14T00:00:00"/>
    <s v="Loan Payment"/>
    <n v="293.68"/>
    <x v="2"/>
    <x v="23"/>
    <x v="36"/>
  </r>
  <r>
    <s v="ANZ"/>
    <s v="Loan"/>
    <s v="xxxx-1003"/>
    <d v="2023-12-07T00:00:00"/>
    <s v="Loan Payment"/>
    <n v="247.85"/>
    <x v="2"/>
    <x v="23"/>
    <x v="36"/>
  </r>
  <r>
    <s v="ANZ"/>
    <s v="Loan"/>
    <s v="xxxx-1003"/>
    <d v="2023-12-01T00:00:00"/>
    <s v="Loan Interest"/>
    <n v="-1170.72"/>
    <x v="2"/>
    <x v="23"/>
    <x v="37"/>
  </r>
  <r>
    <s v="ANZ"/>
    <s v="Loan"/>
    <s v="xxxx-1003"/>
    <d v="2023-11-30T00:00:00"/>
    <s v="Loan Payment"/>
    <n v="51.65"/>
    <x v="2"/>
    <x v="23"/>
    <x v="36"/>
  </r>
  <r>
    <s v="ANZ"/>
    <s v="Loan"/>
    <s v="xxxx-1003"/>
    <d v="2023-11-23T00:00:00"/>
    <s v="Loan Payment"/>
    <n v="7.8"/>
    <x v="2"/>
    <x v="23"/>
    <x v="36"/>
  </r>
  <r>
    <s v="ANZ"/>
    <s v="Loan"/>
    <s v="xxxx-1003"/>
    <d v="2023-11-16T00:00:00"/>
    <s v="Loan Payment"/>
    <n v="348.21"/>
    <x v="2"/>
    <x v="23"/>
    <x v="36"/>
  </r>
  <r>
    <s v="ANZ"/>
    <s v="Loan"/>
    <s v="xxxx-1003"/>
    <d v="2023-11-09T00:00:00"/>
    <s v="Loan Payment"/>
    <n v="266.19"/>
    <x v="2"/>
    <x v="23"/>
    <x v="36"/>
  </r>
  <r>
    <s v="ANZ"/>
    <s v="Loan"/>
    <s v="xxxx-1003"/>
    <d v="2023-11-02T00:00:00"/>
    <s v="Loan Payment"/>
    <n v="316.89"/>
    <x v="2"/>
    <x v="23"/>
    <x v="36"/>
  </r>
  <r>
    <s v="ANZ"/>
    <s v="Loan"/>
    <s v="xxxx-1003"/>
    <d v="2023-11-01T00:00:00"/>
    <s v="Loan Interest"/>
    <n v="-1173.74"/>
    <x v="2"/>
    <x v="23"/>
    <x v="37"/>
  </r>
  <r>
    <s v="ANZ"/>
    <s v="Loan"/>
    <s v="xxxx-1003"/>
    <d v="2023-10-26T00:00:00"/>
    <s v="Loan Payment"/>
    <n v="351.04"/>
    <x v="2"/>
    <x v="23"/>
    <x v="36"/>
  </r>
  <r>
    <s v="ANZ"/>
    <s v="Loan"/>
    <s v="xxxx-1003"/>
    <d v="2023-10-19T00:00:00"/>
    <s v="Loan Payment"/>
    <n v="181.26"/>
    <x v="2"/>
    <x v="23"/>
    <x v="36"/>
  </r>
  <r>
    <s v="ANZ"/>
    <s v="Loan"/>
    <s v="xxxx-1003"/>
    <d v="2023-10-12T00:00:00"/>
    <s v="Loan Payment"/>
    <n v="124.47"/>
    <x v="2"/>
    <x v="23"/>
    <x v="36"/>
  </r>
  <r>
    <s v="ANZ"/>
    <s v="Loan"/>
    <s v="xxxx-1003"/>
    <d v="2023-10-05T00:00:00"/>
    <s v="Loan Payment"/>
    <n v="356.64"/>
    <x v="2"/>
    <x v="23"/>
    <x v="36"/>
  </r>
  <r>
    <s v="ANZ"/>
    <s v="Loan"/>
    <s v="xxxx-1003"/>
    <d v="2023-10-01T00:00:00"/>
    <s v="Loan Interest"/>
    <n v="-83.54"/>
    <x v="2"/>
    <x v="23"/>
    <x v="37"/>
  </r>
  <r>
    <s v="ANZ"/>
    <s v="Loan"/>
    <s v="xxxx-1003"/>
    <d v="2023-09-28T00:00:00"/>
    <s v="Loan Payment"/>
    <n v="309.32"/>
    <x v="2"/>
    <x v="23"/>
    <x v="36"/>
  </r>
  <r>
    <s v="ANZ"/>
    <s v="Loan"/>
    <s v="xxxx-1003"/>
    <d v="2023-09-21T00:00:00"/>
    <s v="Loan Payment"/>
    <n v="53.71"/>
    <x v="2"/>
    <x v="23"/>
    <x v="36"/>
  </r>
  <r>
    <s v="ANZ"/>
    <s v="Loan"/>
    <s v="xxxx-1003"/>
    <d v="2023-09-14T00:00:00"/>
    <s v="Loan Payment"/>
    <n v="237.22"/>
    <x v="2"/>
    <x v="23"/>
    <x v="36"/>
  </r>
  <r>
    <s v="ANZ"/>
    <s v="Loan"/>
    <s v="xxxx-1003"/>
    <d v="2023-09-07T00:00:00"/>
    <s v="Loan Payment"/>
    <n v="350.01"/>
    <x v="2"/>
    <x v="23"/>
    <x v="36"/>
  </r>
  <r>
    <s v="ANZ"/>
    <s v="Loan"/>
    <s v="xxxx-1003"/>
    <d v="2023-09-01T00:00:00"/>
    <s v="Loan Interest"/>
    <n v="-616.19000000000005"/>
    <x v="2"/>
    <x v="23"/>
    <x v="37"/>
  </r>
  <r>
    <s v="ANZ"/>
    <s v="Loan"/>
    <s v="xxxx-1003"/>
    <d v="2023-08-31T00:00:00"/>
    <s v="Loan Payment"/>
    <n v="122.67"/>
    <x v="2"/>
    <x v="23"/>
    <x v="36"/>
  </r>
  <r>
    <s v="ANZ"/>
    <s v="Loan"/>
    <s v="xxxx-1003"/>
    <d v="2023-08-24T00:00:00"/>
    <s v="Loan Payment"/>
    <n v="80.58"/>
    <x v="2"/>
    <x v="23"/>
    <x v="36"/>
  </r>
  <r>
    <s v="ANZ"/>
    <s v="Loan"/>
    <s v="xxxx-1003"/>
    <d v="2023-08-17T00:00:00"/>
    <s v="Loan Payment"/>
    <n v="19.45"/>
    <x v="2"/>
    <x v="23"/>
    <x v="36"/>
  </r>
  <r>
    <s v="ANZ"/>
    <s v="Loan"/>
    <s v="xxxx-1003"/>
    <d v="2023-08-10T00:00:00"/>
    <s v="Loan Payment"/>
    <n v="361.45"/>
    <x v="2"/>
    <x v="23"/>
    <x v="36"/>
  </r>
  <r>
    <s v="ANZ"/>
    <s v="Loan"/>
    <s v="xxxx-1003"/>
    <d v="2023-08-03T00:00:00"/>
    <s v="Loan Payment"/>
    <n v="257.16000000000003"/>
    <x v="2"/>
    <x v="23"/>
    <x v="36"/>
  </r>
  <r>
    <s v="ANZ"/>
    <s v="Loan"/>
    <s v="xxxx-1003"/>
    <d v="2023-08-01T00:00:00"/>
    <s v="Loan Interest"/>
    <n v="-124.68"/>
    <x v="2"/>
    <x v="23"/>
    <x v="37"/>
  </r>
  <r>
    <s v="ANZ"/>
    <s v="Loan"/>
    <s v="xxxx-1003"/>
    <d v="2023-07-27T00:00:00"/>
    <s v="Loan Payment"/>
    <n v="176.49"/>
    <x v="2"/>
    <x v="23"/>
    <x v="36"/>
  </r>
  <r>
    <s v="ANZ"/>
    <s v="Loan"/>
    <s v="xxxx-1003"/>
    <d v="2023-07-20T00:00:00"/>
    <s v="Loan Payment"/>
    <n v="104.4"/>
    <x v="2"/>
    <x v="23"/>
    <x v="36"/>
  </r>
  <r>
    <s v="ANZ"/>
    <s v="Loan"/>
    <s v="xxxx-1003"/>
    <d v="2023-07-13T00:00:00"/>
    <s v="Loan Payment"/>
    <n v="157.22999999999999"/>
    <x v="2"/>
    <x v="23"/>
    <x v="36"/>
  </r>
  <r>
    <s v="ANZ"/>
    <s v="Loan"/>
    <s v="xxxx-1003"/>
    <d v="2023-07-06T00:00:00"/>
    <s v="Loan Payment"/>
    <n v="121.5"/>
    <x v="2"/>
    <x v="23"/>
    <x v="36"/>
  </r>
  <r>
    <s v="ANZ"/>
    <s v="Loan"/>
    <s v="xxxx-1003"/>
    <d v="2023-07-01T00:00:00"/>
    <s v="Loan Interest"/>
    <n v="-829.51"/>
    <x v="2"/>
    <x v="23"/>
    <x v="37"/>
  </r>
  <r>
    <s v="ANZ"/>
    <s v="Loan"/>
    <s v="xxxx-1003"/>
    <d v="2023-06-29T00:00:00"/>
    <s v="Loan Payment"/>
    <n v="222.28"/>
    <x v="2"/>
    <x v="23"/>
    <x v="36"/>
  </r>
  <r>
    <s v="ANZ"/>
    <s v="Loan"/>
    <s v="xxxx-1003"/>
    <d v="2023-06-22T00:00:00"/>
    <s v="Loan Payment"/>
    <n v="277.11"/>
    <x v="2"/>
    <x v="23"/>
    <x v="36"/>
  </r>
  <r>
    <s v="ANZ"/>
    <s v="Loan"/>
    <s v="xxxx-1003"/>
    <d v="2023-06-15T00:00:00"/>
    <s v="Loan Payment"/>
    <n v="0.85"/>
    <x v="2"/>
    <x v="23"/>
    <x v="36"/>
  </r>
  <r>
    <s v="ANZ"/>
    <s v="Loan"/>
    <s v="xxxx-1003"/>
    <d v="2023-06-08T00:00:00"/>
    <s v="Loan Payment"/>
    <n v="4.55"/>
    <x v="2"/>
    <x v="23"/>
    <x v="36"/>
  </r>
  <r>
    <s v="ANZ"/>
    <s v="Loan"/>
    <s v="xxxx-1003"/>
    <d v="2023-06-01T00:00:00"/>
    <s v="Loan Interest"/>
    <n v="-1021.26"/>
    <x v="2"/>
    <x v="23"/>
    <x v="37"/>
  </r>
  <r>
    <s v="ANZ"/>
    <s v="Loan"/>
    <s v="xxxx-1003"/>
    <d v="2023-06-01T00:00:00"/>
    <s v="Loan Payment"/>
    <n v="361.71"/>
    <x v="2"/>
    <x v="23"/>
    <x v="36"/>
  </r>
  <r>
    <s v="ANZ"/>
    <s v="Loan"/>
    <s v="xxxx-1003"/>
    <d v="2023-05-25T00:00:00"/>
    <s v="Loan Payment"/>
    <n v="285.47000000000003"/>
    <x v="2"/>
    <x v="23"/>
    <x v="36"/>
  </r>
  <r>
    <s v="ANZ"/>
    <s v="Loan"/>
    <s v="xxxx-1003"/>
    <d v="2023-05-18T00:00:00"/>
    <s v="Loan Payment"/>
    <n v="258.07"/>
    <x v="2"/>
    <x v="23"/>
    <x v="36"/>
  </r>
  <r>
    <s v="ANZ"/>
    <s v="Loan"/>
    <s v="xxxx-1003"/>
    <d v="2023-05-11T00:00:00"/>
    <s v="Loan Payment"/>
    <n v="21.8"/>
    <x v="2"/>
    <x v="23"/>
    <x v="36"/>
  </r>
  <r>
    <s v="ANZ"/>
    <s v="Loan"/>
    <s v="xxxx-1003"/>
    <d v="2023-05-04T00:00:00"/>
    <s v="Loan Payment"/>
    <n v="189.57"/>
    <x v="2"/>
    <x v="23"/>
    <x v="36"/>
  </r>
  <r>
    <s v="ANZ"/>
    <s v="Loan"/>
    <s v="xxxx-1003"/>
    <d v="2023-05-01T00:00:00"/>
    <s v="Loan Interest"/>
    <n v="-131.56"/>
    <x v="2"/>
    <x v="23"/>
    <x v="37"/>
  </r>
  <r>
    <s v="ANZ"/>
    <s v="Loan"/>
    <s v="xxxx-1003"/>
    <d v="2023-04-27T00:00:00"/>
    <s v="Loan Payment"/>
    <n v="341.75"/>
    <x v="2"/>
    <x v="23"/>
    <x v="36"/>
  </r>
  <r>
    <s v="ANZ"/>
    <s v="Loan"/>
    <s v="xxxx-1003"/>
    <d v="2023-04-20T00:00:00"/>
    <s v="Loan Payment"/>
    <n v="275.33999999999997"/>
    <x v="2"/>
    <x v="23"/>
    <x v="36"/>
  </r>
  <r>
    <s v="ANZ"/>
    <s v="Loan"/>
    <s v="xxxx-1003"/>
    <d v="2023-04-13T00:00:00"/>
    <s v="Loan Payment"/>
    <n v="52.35"/>
    <x v="2"/>
    <x v="23"/>
    <x v="36"/>
  </r>
  <r>
    <s v="ANZ"/>
    <s v="Loan"/>
    <s v="xxxx-1003"/>
    <d v="2023-04-06T00:00:00"/>
    <s v="Loan Payment"/>
    <n v="285.85000000000002"/>
    <x v="2"/>
    <x v="23"/>
    <x v="36"/>
  </r>
  <r>
    <s v="ANZ"/>
    <s v="Loan"/>
    <s v="xxxx-1003"/>
    <d v="2023-04-01T00:00:00"/>
    <s v="Loan Interest"/>
    <n v="-608.49"/>
    <x v="2"/>
    <x v="23"/>
    <x v="37"/>
  </r>
  <r>
    <s v="KiwiBank"/>
    <s v="Saving"/>
    <s v="38-9016-xxxx-00"/>
    <d v="2023-04-02T00:00:00"/>
    <s v="TRF 4833481054851016 ;"/>
    <n v="-11.71"/>
    <x v="1"/>
    <x v="24"/>
    <x v="1"/>
  </r>
  <r>
    <s v="KiwiBank"/>
    <s v="Saving"/>
    <s v="38-9016-xxxx-00"/>
    <d v="2023-04-02T00:00:00"/>
    <s v="TRF 4833481054851016 ;"/>
    <n v="-7.56"/>
    <x v="1"/>
    <x v="24"/>
    <x v="1"/>
  </r>
  <r>
    <s v="KiwiBank"/>
    <s v="Saving"/>
    <s v="38-9016-xxxx-00"/>
    <d v="2023-04-03T00:00:00"/>
    <s v="TRF 4833481054851016 ;"/>
    <n v="-3.08"/>
    <x v="1"/>
    <x v="24"/>
    <x v="1"/>
  </r>
  <r>
    <s v="KiwiBank"/>
    <s v="Saving"/>
    <s v="38-9016-xxxx-00"/>
    <d v="2023-04-03T00:00:00"/>
    <s v="PAY subtlesweetness.nz ;SamTaebi"/>
    <n v="-22.57"/>
    <x v="0"/>
    <x v="0"/>
    <x v="0"/>
  </r>
  <r>
    <s v="KiwiBank"/>
    <s v="Saving"/>
    <s v="38-9016-xxxx-00"/>
    <d v="2023-04-05T00:00:00"/>
    <s v="TRANSFER FROM S TAEBI - 01 ;"/>
    <n v="1354.19"/>
    <x v="1"/>
    <x v="24"/>
    <x v="1"/>
  </r>
  <r>
    <s v="KiwiBank"/>
    <s v="Saving"/>
    <s v="38-9016-xxxx-00"/>
    <d v="2023-04-06T00:00:00"/>
    <s v="Direct Credit MJ ASB MR S M ALAVI ;Ref: MJ ASB MR S M ALAVI"/>
    <n v="155.5"/>
    <x v="1"/>
    <x v="24"/>
    <x v="1"/>
  </r>
  <r>
    <s v="KiwiBank"/>
    <s v="Saving"/>
    <s v="38-9016-xxxx-00"/>
    <d v="2023-04-06T00:00:00"/>
    <s v="TRANSFER TO S TAEBI - 01 ;"/>
    <n v="-10.67"/>
    <x v="1"/>
    <x v="24"/>
    <x v="1"/>
  </r>
  <r>
    <s v="KiwiBank"/>
    <s v="Saving"/>
    <s v="38-9016-xxxx-00"/>
    <d v="2023-04-06T00:00:00"/>
    <s v="TRF 4327420538275015 ;"/>
    <n v="-7.74"/>
    <x v="1"/>
    <x v="24"/>
    <x v="1"/>
  </r>
  <r>
    <s v="KiwiBank"/>
    <s v="Saving"/>
    <s v="38-9016-xxxx-00"/>
    <d v="2023-04-06T00:00:00"/>
    <s v="TRF 4833481054851016 ;"/>
    <n v="-89.21"/>
    <x v="1"/>
    <x v="24"/>
    <x v="1"/>
  </r>
  <r>
    <s v="KiwiBank"/>
    <s v="Saving"/>
    <s v="38-9016-xxxx-00"/>
    <d v="2023-04-08T00:00:00"/>
    <s v="TRF 4833481054851016 ;"/>
    <n v="-67.19"/>
    <x v="1"/>
    <x v="24"/>
    <x v="1"/>
  </r>
  <r>
    <s v="KiwiBank"/>
    <s v="Saving"/>
    <s v="38-9016-xxxx-00"/>
    <d v="2023-04-11T00:00:00"/>
    <s v="AP#18495353 TO S TAEBI  S M ALAVI ;Transfer to S TAEBI  S M ALAVI - 06"/>
    <n v="-50.03"/>
    <x v="1"/>
    <x v="24"/>
    <x v="1"/>
  </r>
  <r>
    <s v="KiwiBank"/>
    <s v="Saving"/>
    <s v="38-9016-xxxx-00"/>
    <d v="2023-04-11T00:00:00"/>
    <s v="AP#18495354 TO S TAEBI  S M ALAVI ;Transfer to S TAEBI  S M ALAVI - 07"/>
    <n v="-349.5"/>
    <x v="1"/>
    <x v="24"/>
    <x v="1"/>
  </r>
  <r>
    <s v="KiwiBank"/>
    <s v="Saving"/>
    <s v="38-9016-xxxx-00"/>
    <d v="2023-04-11T00:00:00"/>
    <s v="AP#20595693 TO S TAEBI  S M ALAVI ;Transfer to S TAEBI  S M ALAVI - 08"/>
    <n v="-293.02999999999997"/>
    <x v="1"/>
    <x v="24"/>
    <x v="1"/>
  </r>
  <r>
    <s v="KiwiBank"/>
    <s v="Saving"/>
    <s v="38-9016-xxxx-00"/>
    <d v="2023-04-12T00:00:00"/>
    <s v="Salary KIWIBANK FORTNIGHT ;"/>
    <n v="4855.08"/>
    <x v="11"/>
    <x v="22"/>
    <x v="38"/>
  </r>
  <r>
    <s v="KiwiBank"/>
    <s v="Saving"/>
    <s v="38-9016-xxxx-00"/>
    <d v="2023-04-12T00:00:00"/>
    <s v="TRF 4833481054851016 ;"/>
    <n v="-176.4"/>
    <x v="1"/>
    <x v="24"/>
    <x v="1"/>
  </r>
  <r>
    <s v="KiwiBank"/>
    <s v="Saving"/>
    <s v="38-9016-xxxx-00"/>
    <d v="2023-04-12T00:00:00"/>
    <s v="Bill Payment MJ ANZ ALAVI SEYED M ;Ref: MJ ANZ ALAVI SEYED M"/>
    <n v="139.87"/>
    <x v="1"/>
    <x v="24"/>
    <x v="1"/>
  </r>
  <r>
    <s v="KiwiBank"/>
    <s v="Saving"/>
    <s v="38-9016-xxxx-00"/>
    <d v="2023-04-12T00:00:00"/>
    <s v="Direct Credit MJ ASB MR S M ALAVI ;Ref: MJ ASB MR S M ALAVI"/>
    <n v="165.94"/>
    <x v="1"/>
    <x v="24"/>
    <x v="1"/>
  </r>
  <r>
    <s v="KiwiBank"/>
    <s v="Saving"/>
    <s v="38-9016-xxxx-00"/>
    <d v="2023-04-12T00:00:00"/>
    <s v="AP#18696077 TO HSBC ;HSBC 5B-Cleary"/>
    <n v="-2258.38"/>
    <x v="1"/>
    <x v="24"/>
    <x v="1"/>
  </r>
  <r>
    <s v="KiwiBank"/>
    <s v="Saving"/>
    <s v="38-9016-xxxx-00"/>
    <d v="2023-04-12T00:00:00"/>
    <s v="TRANSFER TO S TAEBI - 01 ;"/>
    <n v="-2399.5100000000002"/>
    <x v="1"/>
    <x v="24"/>
    <x v="1"/>
  </r>
  <r>
    <s v="KiwiBank"/>
    <s v="Saving"/>
    <s v="38-9016-xxxx-00"/>
    <d v="2023-04-14T00:00:00"/>
    <s v="PAY MJ ASB ;mam dad ticket perth"/>
    <n v="-126.12"/>
    <x v="1"/>
    <x v="24"/>
    <x v="1"/>
  </r>
  <r>
    <s v="KiwiBank"/>
    <s v="Saving"/>
    <s v="38-9016-xxxx-00"/>
    <d v="2023-04-14T00:00:00"/>
    <s v="Direct Debit -SOUTHERN CROSS MEDICAL CARE SOCIETY ;Ref: 23284297 000 029648197"/>
    <n v="-18.88"/>
    <x v="8"/>
    <x v="25"/>
    <x v="39"/>
  </r>
  <r>
    <s v="KiwiBank"/>
    <s v="Saving"/>
    <s v="38-9016-xxxx-00"/>
    <d v="2023-04-15T00:00:00"/>
    <s v="TRF 4833481054851016 ;"/>
    <n v="-300.98"/>
    <x v="1"/>
    <x v="24"/>
    <x v="1"/>
  </r>
  <r>
    <s v="KiwiBank"/>
    <s v="Saving"/>
    <s v="38-9016-xxxx-00"/>
    <d v="2023-04-15T00:00:00"/>
    <s v="TRF 4833481054851016 ;"/>
    <n v="-26.95"/>
    <x v="1"/>
    <x v="24"/>
    <x v="1"/>
  </r>
  <r>
    <s v="KiwiBank"/>
    <s v="Saving"/>
    <s v="38-9016-xxxx-00"/>
    <d v="2023-04-17T00:00:00"/>
    <s v="Spotify P226DD34E7 Stockholm ;"/>
    <n v="-15.63"/>
    <x v="7"/>
    <x v="26"/>
    <x v="40"/>
  </r>
  <r>
    <s v="KiwiBank"/>
    <s v="Saving"/>
    <s v="38-9016-xxxx-00"/>
    <d v="2023-04-19T00:00:00"/>
    <s v="TRF 4833481054851016 ;"/>
    <n v="-23.29"/>
    <x v="1"/>
    <x v="24"/>
    <x v="1"/>
  </r>
  <r>
    <s v="KiwiBank"/>
    <s v="Saving"/>
    <s v="38-9016-xxxx-00"/>
    <d v="2023-04-19T00:00:00"/>
    <s v="TRF 4833481054851016 ;"/>
    <n v="-2.9"/>
    <x v="1"/>
    <x v="24"/>
    <x v="1"/>
  </r>
  <r>
    <s v="KiwiBank"/>
    <s v="Saving"/>
    <s v="38-9016-xxxx-00"/>
    <d v="2023-04-20T00:00:00"/>
    <s v="TRANSFER FROM S TAEBI - 01 ;"/>
    <n v="2044.07"/>
    <x v="1"/>
    <x v="24"/>
    <x v="1"/>
  </r>
  <r>
    <s v="KiwiBank"/>
    <s v="Saving"/>
    <s v="38-9016-xxxx-00"/>
    <d v="2023-04-20T00:00:00"/>
    <s v="TRANSFER FROM S TAEBI - 01 ;"/>
    <n v="590.62"/>
    <x v="1"/>
    <x v="24"/>
    <x v="1"/>
  </r>
  <r>
    <s v="KiwiBank"/>
    <s v="Saving"/>
    <s v="38-9016-xxxx-00"/>
    <d v="2023-04-20T00:00:00"/>
    <s v="PAY MJ ASB ;queenstown"/>
    <n v="-1020.2"/>
    <x v="1"/>
    <x v="24"/>
    <x v="1"/>
  </r>
  <r>
    <s v="KiwiBank"/>
    <s v="Saving"/>
    <s v="38-9016-xxxx-00"/>
    <d v="2023-04-21T00:00:00"/>
    <s v="AP#18495353 TO S TAEBI  S M ALAVI ;Transfer to S TAEBI  S M ALAVI - 06"/>
    <n v="-1468.4"/>
    <x v="1"/>
    <x v="24"/>
    <x v="1"/>
  </r>
  <r>
    <s v="KiwiBank"/>
    <s v="Saving"/>
    <s v="38-9016-xxxx-00"/>
    <d v="2023-04-21T00:00:00"/>
    <s v="AP#18495354 TO S TAEBI  S M ALAVI ;Transfer to S TAEBI  S M ALAVI - 07"/>
    <n v="-884.31"/>
    <x v="1"/>
    <x v="24"/>
    <x v="1"/>
  </r>
  <r>
    <s v="KiwiBank"/>
    <s v="Saving"/>
    <s v="38-9016-xxxx-00"/>
    <d v="2023-04-21T00:00:00"/>
    <s v="AP#20595693 TO S TAEBI  S M ALAVI ;Transfer to S TAEBI  S M ALAVI - 08"/>
    <n v="-493.81"/>
    <x v="1"/>
    <x v="24"/>
    <x v="1"/>
  </r>
  <r>
    <s v="KiwiBank"/>
    <s v="Saving"/>
    <s v="38-9016-xxxx-00"/>
    <d v="2023-04-25T00:00:00"/>
    <s v="TRF 4833481054851016 ;"/>
    <n v="-52.77"/>
    <x v="1"/>
    <x v="24"/>
    <x v="1"/>
  </r>
  <r>
    <s v="KiwiBank"/>
    <s v="Saving"/>
    <s v="38-9016-xxxx-00"/>
    <d v="2023-04-25T00:00:00"/>
    <s v="TRF 4833481054851016 ;"/>
    <n v="-1.0900000000000001"/>
    <x v="1"/>
    <x v="24"/>
    <x v="1"/>
  </r>
  <r>
    <s v="KiwiBank"/>
    <s v="Saving"/>
    <s v="38-9016-xxxx-00"/>
    <d v="2023-04-26T00:00:00"/>
    <s v="Salary KIWIBANK FORTNIGHT ;"/>
    <n v="300.04000000000002"/>
    <x v="11"/>
    <x v="22"/>
    <x v="38"/>
  </r>
  <r>
    <s v="KiwiBank"/>
    <s v="Saving"/>
    <s v="38-9016-xxxx-00"/>
    <d v="2023-04-26T00:00:00"/>
    <s v="AP#18696077 TO HSBC ;HSBC 5B-Cleary"/>
    <n v="-1735.67"/>
    <x v="1"/>
    <x v="24"/>
    <x v="1"/>
  </r>
  <r>
    <s v="KiwiBank"/>
    <s v="Saving"/>
    <s v="38-9016-xxxx-00"/>
    <d v="2023-04-27T00:00:00"/>
    <s v="TRF 4833481054851016 ;"/>
    <n v="-1673.32"/>
    <x v="1"/>
    <x v="24"/>
    <x v="1"/>
  </r>
  <r>
    <s v="KiwiBank"/>
    <s v="Saving"/>
    <s v="38-9016-xxxx-00"/>
    <d v="2023-04-27T00:00:00"/>
    <s v="TRF 4833481054851016 ;"/>
    <n v="-161.41999999999999"/>
    <x v="1"/>
    <x v="24"/>
    <x v="1"/>
  </r>
  <r>
    <s v="KiwiBank"/>
    <s v="Saving"/>
    <s v="38-9016-xxxx-00"/>
    <d v="2023-04-27T00:00:00"/>
    <s v="TRF 4833481054851016 ;"/>
    <n v="-3.51"/>
    <x v="1"/>
    <x v="24"/>
    <x v="1"/>
  </r>
  <r>
    <s v="KiwiBank"/>
    <s v="Saving"/>
    <s v="38-9016-xxxx-00"/>
    <d v="2023-04-27T00:00:00"/>
    <s v="TRF 4833481054851016 ;"/>
    <n v="-18.420000000000002"/>
    <x v="1"/>
    <x v="24"/>
    <x v="1"/>
  </r>
  <r>
    <s v="KiwiBank"/>
    <s v="Saving"/>
    <s v="38-9016-xxxx-00"/>
    <d v="2023-04-27T00:00:00"/>
    <s v="Direct Credit MJ ASB MR S M ALAVI ;Ref: MJ ASB MR S M ALAVI"/>
    <n v="205.53"/>
    <x v="1"/>
    <x v="24"/>
    <x v="1"/>
  </r>
  <r>
    <s v="KiwiBank"/>
    <s v="Saving"/>
    <s v="38-9016-xxxx-00"/>
    <d v="2023-04-28T00:00:00"/>
    <s v="TRANSFER TO S TAEBI - 01 ;"/>
    <n v="-575.34"/>
    <x v="1"/>
    <x v="24"/>
    <x v="1"/>
  </r>
  <r>
    <s v="KiwiBank"/>
    <s v="Saving"/>
    <s v="38-9016-xxxx-00"/>
    <d v="2023-04-28T00:00:00"/>
    <s v="TRF 4833481054851016 ;"/>
    <n v="-163.08000000000001"/>
    <x v="1"/>
    <x v="24"/>
    <x v="1"/>
  </r>
  <r>
    <s v="KiwiBank"/>
    <s v="Saving"/>
    <s v="38-9016-xxxx-00"/>
    <d v="2023-04-28T00:00:00"/>
    <s v="Direct Debit -SOUTHERN CROSS MEDICAL CARE SOCIETY ;Ref: 23284297 000 029780294"/>
    <n v="-21.66"/>
    <x v="8"/>
    <x v="25"/>
    <x v="39"/>
  </r>
  <r>
    <s v="KiwiBank"/>
    <s v="Saving"/>
    <s v="38-9016-xxxx-00"/>
    <d v="2023-04-29T00:00:00"/>
    <s v="TRF 4833481054851016 ;"/>
    <n v="-48.94"/>
    <x v="1"/>
    <x v="24"/>
    <x v="1"/>
  </r>
  <r>
    <s v="KiwiBank"/>
    <s v="Saving"/>
    <s v="38-9016-xxxx-00"/>
    <d v="2023-04-29T00:00:00"/>
    <s v="TRF 4833481054851016 ;"/>
    <n v="-6.55"/>
    <x v="1"/>
    <x v="24"/>
    <x v="1"/>
  </r>
  <r>
    <s v="KiwiBank"/>
    <s v="Saving"/>
    <s v="38-9016-xxxx-00"/>
    <d v="2023-04-29T00:00:00"/>
    <s v="TRANSFER FROM S TAEBI - 01 ;"/>
    <n v="160.25"/>
    <x v="1"/>
    <x v="24"/>
    <x v="1"/>
  </r>
  <r>
    <s v="KiwiBank"/>
    <s v="Saving"/>
    <s v="38-9016-xxxx-00"/>
    <d v="2023-04-29T00:00:00"/>
    <s v="TRF 4833481054851016 ;"/>
    <n v="-29.72"/>
    <x v="1"/>
    <x v="24"/>
    <x v="1"/>
  </r>
  <r>
    <s v="KiwiBank"/>
    <s v="Saving"/>
    <s v="38-9016-xxxx-00"/>
    <d v="2023-04-30T00:00:00"/>
    <s v="TRF 4833481054851016 ;"/>
    <n v="-55.92"/>
    <x v="1"/>
    <x v="24"/>
    <x v="1"/>
  </r>
  <r>
    <s v="KiwiBank"/>
    <s v="Saving"/>
    <s v="38-9016-xxxx-00"/>
    <d v="2023-05-02T00:00:00"/>
    <s v="TRF 4833481054851016 ;"/>
    <n v="-94.97"/>
    <x v="1"/>
    <x v="24"/>
    <x v="1"/>
  </r>
  <r>
    <s v="KiwiBank"/>
    <s v="Saving"/>
    <s v="38-9016-xxxx-00"/>
    <d v="2023-05-03T00:00:00"/>
    <s v="TRF 4833481054851016 ;"/>
    <n v="-110.17"/>
    <x v="1"/>
    <x v="24"/>
    <x v="1"/>
  </r>
  <r>
    <s v="KiwiBank"/>
    <s v="Saving"/>
    <s v="38-9016-xxxx-00"/>
    <d v="2023-05-03T00:00:00"/>
    <s v="TRANSFER FROM S TAEBI - 01 ;"/>
    <n v="4244.8599999999997"/>
    <x v="1"/>
    <x v="24"/>
    <x v="1"/>
  </r>
  <r>
    <s v="KiwiBank"/>
    <s v="Saving"/>
    <s v="38-9016-xxxx-00"/>
    <d v="2023-05-03T00:00:00"/>
    <s v="Bill Payment MJ ANZ ALAVI SEYED M ;Ref: MJ ANZ ALAVI SEYED M"/>
    <n v="703.85"/>
    <x v="1"/>
    <x v="24"/>
    <x v="1"/>
  </r>
  <r>
    <s v="KiwiBank"/>
    <s v="Saving"/>
    <s v="38-9016-xxxx-00"/>
    <d v="2023-05-04T00:00:00"/>
    <s v="Direct Credit MJ ASB MR S M ALAVI ;Ref: MJ ASB MR S M ALAVI"/>
    <n v="38.47"/>
    <x v="1"/>
    <x v="24"/>
    <x v="1"/>
  </r>
  <r>
    <s v="KiwiBank"/>
    <s v="Saving"/>
    <s v="38-9016-xxxx-00"/>
    <d v="2023-05-04T00:00:00"/>
    <s v="TRF 4833481054851016 ;"/>
    <n v="-167.45"/>
    <x v="1"/>
    <x v="24"/>
    <x v="1"/>
  </r>
  <r>
    <s v="KiwiBank"/>
    <s v="Saving"/>
    <s v="38-9016-xxxx-00"/>
    <d v="2023-05-05T00:00:00"/>
    <s v="AP#18495353 TO S TAEBI  S M ALAVI ;Transfer to S TAEBI  S M ALAVI - 06"/>
    <n v="-812.53"/>
    <x v="1"/>
    <x v="24"/>
    <x v="1"/>
  </r>
  <r>
    <s v="KiwiBank"/>
    <s v="Saving"/>
    <s v="38-9016-xxxx-00"/>
    <d v="2023-05-05T00:00:00"/>
    <s v="AP#18495354 TO S TAEBI  S M ALAVI ;Transfer to S TAEBI  S M ALAVI - 07"/>
    <n v="-206.53"/>
    <x v="1"/>
    <x v="24"/>
    <x v="1"/>
  </r>
  <r>
    <s v="KiwiBank"/>
    <s v="Saving"/>
    <s v="38-9016-xxxx-00"/>
    <d v="2023-05-05T00:00:00"/>
    <s v="AP#20595693 TO S TAEBI  S M ALAVI ;Transfer to S TAEBI  S M ALAVI - 08"/>
    <n v="-35.270000000000003"/>
    <x v="1"/>
    <x v="24"/>
    <x v="1"/>
  </r>
  <r>
    <s v="KiwiBank"/>
    <s v="Saving"/>
    <s v="38-9016-xxxx-00"/>
    <d v="2023-05-06T00:00:00"/>
    <s v="TRF 4327420538275015 ;"/>
    <n v="-15.46"/>
    <x v="1"/>
    <x v="24"/>
    <x v="1"/>
  </r>
  <r>
    <s v="KiwiBank"/>
    <s v="Saving"/>
    <s v="38-9016-xxxx-00"/>
    <d v="2023-05-08T00:00:00"/>
    <s v="TRF 4833481054851016 ;"/>
    <n v="-83.03"/>
    <x v="1"/>
    <x v="24"/>
    <x v="1"/>
  </r>
  <r>
    <s v="KiwiBank"/>
    <s v="Saving"/>
    <s v="38-9016-xxxx-00"/>
    <d v="2023-05-08T00:00:00"/>
    <s v="TRANSFER FROM S TAEBI - 01 ;"/>
    <n v="1508.81"/>
    <x v="1"/>
    <x v="24"/>
    <x v="1"/>
  </r>
  <r>
    <s v="KiwiBank"/>
    <s v="Saving"/>
    <s v="38-9016-xxxx-00"/>
    <d v="2023-05-08T00:00:00"/>
    <s v="TRF 4833481054851016 ;"/>
    <n v="-1950.15"/>
    <x v="1"/>
    <x v="24"/>
    <x v="1"/>
  </r>
  <r>
    <s v="KiwiBank"/>
    <s v="Saving"/>
    <s v="38-9016-xxxx-00"/>
    <d v="2023-05-08T00:00:00"/>
    <s v="TRF 4833481054851016 ;"/>
    <n v="-0.71"/>
    <x v="1"/>
    <x v="24"/>
    <x v="1"/>
  </r>
  <r>
    <s v="KiwiBank"/>
    <s v="Saving"/>
    <s v="38-9016-xxxx-00"/>
    <d v="2023-05-09T00:00:00"/>
    <s v="TRF 4833481054851016 ;"/>
    <n v="-1.55"/>
    <x v="1"/>
    <x v="24"/>
    <x v="1"/>
  </r>
  <r>
    <s v="KiwiBank"/>
    <s v="Saving"/>
    <s v="38-9016-xxxx-00"/>
    <d v="2023-05-10T00:00:00"/>
    <s v="TRANSFER FROM S TAEBI - 01 ;"/>
    <n v="2119.8000000000002"/>
    <x v="1"/>
    <x v="24"/>
    <x v="1"/>
  </r>
  <r>
    <s v="KiwiBank"/>
    <s v="Saving"/>
    <s v="38-9016-xxxx-00"/>
    <d v="2023-05-10T00:00:00"/>
    <s v="Direct Credit MJ ASB MR S M ALAVI ;Ref: MJ ASB MR S M ALAVI"/>
    <n v="575.59"/>
    <x v="1"/>
    <x v="24"/>
    <x v="1"/>
  </r>
  <r>
    <s v="KiwiBank"/>
    <s v="Saving"/>
    <s v="38-9016-xxxx-00"/>
    <d v="2023-05-10T00:00:00"/>
    <s v="Salary KIWIBANK FORTNIGHT ;"/>
    <n v="2900.02"/>
    <x v="11"/>
    <x v="22"/>
    <x v="38"/>
  </r>
  <r>
    <s v="KiwiBank"/>
    <s v="Saving"/>
    <s v="38-9016-xxxx-00"/>
    <d v="2023-05-10T00:00:00"/>
    <s v="TRANSFER FROM S TAEBI - 01 ;"/>
    <n v="521.64"/>
    <x v="1"/>
    <x v="24"/>
    <x v="1"/>
  </r>
  <r>
    <s v="KiwiBank"/>
    <s v="Saving"/>
    <s v="38-9016-xxxx-00"/>
    <d v="2023-05-10T00:00:00"/>
    <s v="PAY ANZ MJ ;"/>
    <n v="-6950.38"/>
    <x v="1"/>
    <x v="24"/>
    <x v="1"/>
  </r>
  <r>
    <s v="KiwiBank"/>
    <s v="Saving"/>
    <s v="38-9016-xxxx-00"/>
    <d v="2023-05-10T00:00:00"/>
    <s v="AP#18696077 TO HSBC ;HSBC 5B-Cleary"/>
    <n v="-1869.07"/>
    <x v="1"/>
    <x v="24"/>
    <x v="1"/>
  </r>
  <r>
    <s v="KiwiBank"/>
    <s v="Saving"/>
    <s v="38-9016-xxxx-00"/>
    <d v="2023-05-10T00:00:00"/>
    <s v="TRANSFER FROM S TAEBI - 01 ;"/>
    <n v="672.05"/>
    <x v="1"/>
    <x v="24"/>
    <x v="1"/>
  </r>
  <r>
    <s v="KiwiBank"/>
    <s v="Saving"/>
    <s v="38-9016-xxxx-00"/>
    <d v="2023-05-11T00:00:00"/>
    <s v="TRF 4833481054851016 ;"/>
    <n v="-3.5"/>
    <x v="1"/>
    <x v="24"/>
    <x v="1"/>
  </r>
  <r>
    <s v="KiwiBank"/>
    <s v="Saving"/>
    <s v="38-9016-xxxx-00"/>
    <d v="2023-05-11T00:00:00"/>
    <s v="PAY MJ ASB ;mam dad ticket perth"/>
    <n v="-79.349999999999994"/>
    <x v="1"/>
    <x v="24"/>
    <x v="1"/>
  </r>
  <r>
    <s v="KiwiBank"/>
    <s v="Saving"/>
    <s v="38-9016-xxxx-00"/>
    <d v="2023-05-11T00:00:00"/>
    <s v="TRF 4833481054851016 ;"/>
    <n v="-1.43"/>
    <x v="1"/>
    <x v="24"/>
    <x v="1"/>
  </r>
  <r>
    <s v="KiwiBank"/>
    <s v="Saving"/>
    <s v="38-9016-xxxx-00"/>
    <d v="2023-05-11T00:00:00"/>
    <s v="TRF 4833481054851016 ;"/>
    <n v="-8.82"/>
    <x v="1"/>
    <x v="24"/>
    <x v="1"/>
  </r>
  <r>
    <s v="KiwiBank"/>
    <s v="Saving"/>
    <s v="38-9016-xxxx-00"/>
    <d v="2023-05-11T00:00:00"/>
    <s v="TRF 4833481054851016 ;"/>
    <n v="-20.149999999999999"/>
    <x v="1"/>
    <x v="24"/>
    <x v="1"/>
  </r>
  <r>
    <s v="KiwiBank"/>
    <s v="Saving"/>
    <s v="38-9016-xxxx-00"/>
    <d v="2023-05-11T00:00:00"/>
    <s v="Direct Debit -INLAND REVENUE DEPARTMENT ;Ref: 1239391360 I IT 113165197 INC"/>
    <n v="-51.43"/>
    <x v="12"/>
    <x v="27"/>
    <x v="41"/>
  </r>
  <r>
    <s v="KiwiBank"/>
    <s v="Saving"/>
    <s v="38-9016-xxxx-00"/>
    <d v="2023-05-12T00:00:00"/>
    <s v="Direct Debit -SOUTHERN CROSS MEDICAL CARE SOCIETY ;Ref: 23284297 000 029915150"/>
    <n v="-9.75"/>
    <x v="8"/>
    <x v="25"/>
    <x v="39"/>
  </r>
  <r>
    <s v="KiwiBank"/>
    <s v="Saving"/>
    <s v="38-9016-xxxx-00"/>
    <d v="2023-05-13T00:00:00"/>
    <s v="TRF 4833481054851016 ;"/>
    <n v="-0.19"/>
    <x v="1"/>
    <x v="24"/>
    <x v="1"/>
  </r>
  <r>
    <s v="KiwiBank"/>
    <s v="Saving"/>
    <s v="38-9016-xxxx-00"/>
    <d v="2023-05-13T00:00:00"/>
    <s v="PAY mina ;"/>
    <n v="-52.9"/>
    <x v="4"/>
    <x v="12"/>
    <x v="12"/>
  </r>
  <r>
    <s v="KiwiBank"/>
    <s v="Saving"/>
    <s v="38-9016-xxxx-00"/>
    <d v="2023-05-13T00:00:00"/>
    <s v="TRANSFER FROM S TAEBI - 01 ;"/>
    <n v="67.86"/>
    <x v="1"/>
    <x v="24"/>
    <x v="1"/>
  </r>
  <r>
    <s v="KiwiBank"/>
    <s v="Saving"/>
    <s v="38-9016-xxxx-00"/>
    <d v="2023-05-13T00:00:00"/>
    <s v="PAY mina ;"/>
    <n v="-12.64"/>
    <x v="4"/>
    <x v="12"/>
    <x v="12"/>
  </r>
  <r>
    <s v="KiwiBank"/>
    <s v="Saving"/>
    <s v="38-9016-xxxx-00"/>
    <d v="2023-05-15T00:00:00"/>
    <s v="TRANSFER FROM S TAEBI - 01 ;"/>
    <n v="312.23"/>
    <x v="1"/>
    <x v="24"/>
    <x v="1"/>
  </r>
  <r>
    <s v="KiwiBank"/>
    <s v="Saving"/>
    <s v="38-9016-xxxx-00"/>
    <d v="2023-05-15T00:00:00"/>
    <s v="TRF 4833481054851016 ;"/>
    <n v="-119.6"/>
    <x v="1"/>
    <x v="24"/>
    <x v="1"/>
  </r>
  <r>
    <s v="KiwiBank"/>
    <s v="Saving"/>
    <s v="38-9016-xxxx-00"/>
    <d v="2023-05-15T00:00:00"/>
    <s v="PAY MJ ASB ;"/>
    <n v="-110.09"/>
    <x v="1"/>
    <x v="24"/>
    <x v="1"/>
  </r>
  <r>
    <s v="KiwiBank"/>
    <s v="Saving"/>
    <s v="38-9016-xxxx-00"/>
    <d v="2023-05-15T00:00:00"/>
    <s v="TRF 4833481054851016 ;"/>
    <n v="0"/>
    <x v="1"/>
    <x v="24"/>
    <x v="1"/>
  </r>
  <r>
    <s v="KiwiBank"/>
    <s v="Saving"/>
    <s v="38-9016-xxxx-00"/>
    <d v="2023-05-16T00:00:00"/>
    <s v="TRF 4833481054851016 ;"/>
    <n v="-124.32"/>
    <x v="1"/>
    <x v="24"/>
    <x v="1"/>
  </r>
  <r>
    <s v="KiwiBank"/>
    <s v="Saving"/>
    <s v="38-9016-xxxx-00"/>
    <d v="2023-05-17T00:00:00"/>
    <s v="Spotify P231A9FC00 Stockholm ;"/>
    <n v="-3.49"/>
    <x v="7"/>
    <x v="26"/>
    <x v="40"/>
  </r>
  <r>
    <s v="KiwiBank"/>
    <s v="Saving"/>
    <s v="38-9016-xxxx-00"/>
    <d v="2023-05-18T00:00:00"/>
    <s v="TRANSFER FROM S TAEBI - 01 ;"/>
    <n v="3620.84"/>
    <x v="1"/>
    <x v="24"/>
    <x v="1"/>
  </r>
  <r>
    <s v="KiwiBank"/>
    <s v="Saving"/>
    <s v="38-9016-xxxx-00"/>
    <d v="2023-05-18T00:00:00"/>
    <s v="Bill Payment MJ ANZ ALAVI SEYED M ;Ref: MJ ANZ ALAVI SEYED M"/>
    <n v="18.260000000000002"/>
    <x v="1"/>
    <x v="24"/>
    <x v="1"/>
  </r>
  <r>
    <s v="KiwiBank"/>
    <s v="Saving"/>
    <s v="38-9016-xxxx-00"/>
    <d v="2023-05-19T00:00:00"/>
    <s v="TRANSFER FROM S TAEBI - 01 ;"/>
    <n v="19.61"/>
    <x v="1"/>
    <x v="24"/>
    <x v="1"/>
  </r>
  <r>
    <s v="KiwiBank"/>
    <s v="Saving"/>
    <s v="38-9016-xxxx-00"/>
    <d v="2023-05-19T00:00:00"/>
    <s v="TRF 4327420538275015 ;"/>
    <n v="-57.58"/>
    <x v="1"/>
    <x v="24"/>
    <x v="1"/>
  </r>
  <r>
    <s v="KiwiBank"/>
    <s v="Saving"/>
    <s v="38-9016-xxxx-00"/>
    <d v="2023-05-19T00:00:00"/>
    <s v="TRANSFER FROM S TAEBI - 01 ;"/>
    <n v="157.91999999999999"/>
    <x v="1"/>
    <x v="24"/>
    <x v="1"/>
  </r>
  <r>
    <s v="KiwiBank"/>
    <s v="Saving"/>
    <s v="38-9016-xxxx-00"/>
    <d v="2023-05-19T00:00:00"/>
    <s v="TRF 4833481054851016 ;"/>
    <n v="-95.32"/>
    <x v="1"/>
    <x v="24"/>
    <x v="1"/>
  </r>
  <r>
    <s v="KiwiBank"/>
    <s v="Saving"/>
    <s v="38-9016-xxxx-00"/>
    <d v="2023-05-19T00:00:00"/>
    <s v="TRANSFER FROM S TAEBI - 01 ;"/>
    <n v="80.52"/>
    <x v="1"/>
    <x v="24"/>
    <x v="1"/>
  </r>
  <r>
    <s v="KiwiBank"/>
    <s v="Saving"/>
    <s v="38-9016-xxxx-00"/>
    <d v="2023-05-19T00:00:00"/>
    <s v="PAY MJ ASB ;"/>
    <n v="-117.06"/>
    <x v="1"/>
    <x v="24"/>
    <x v="1"/>
  </r>
  <r>
    <s v="KiwiBank"/>
    <s v="Saving"/>
    <s v="38-9016-xxxx-00"/>
    <d v="2023-05-19T00:00:00"/>
    <s v="AP#18495353 TO S TAEBI  S M ALAVI ;Transfer to S TAEBI  S M ALAVI - 06"/>
    <n v="-928.94"/>
    <x v="1"/>
    <x v="24"/>
    <x v="1"/>
  </r>
  <r>
    <s v="KiwiBank"/>
    <s v="Saving"/>
    <s v="38-9016-xxxx-00"/>
    <d v="2023-05-19T00:00:00"/>
    <s v="AP#18495354 TO S TAEBI  S M ALAVI ;Transfer to S TAEBI  S M ALAVI - 07"/>
    <n v="-453.7"/>
    <x v="1"/>
    <x v="24"/>
    <x v="1"/>
  </r>
  <r>
    <s v="KiwiBank"/>
    <s v="Saving"/>
    <s v="38-9016-xxxx-00"/>
    <d v="2023-05-19T00:00:00"/>
    <s v="AP#20595693 TO S TAEBI  S M ALAVI ;Transfer to S TAEBI  S M ALAVI - 08"/>
    <n v="-472.63"/>
    <x v="1"/>
    <x v="24"/>
    <x v="1"/>
  </r>
  <r>
    <s v="KiwiBank"/>
    <s v="Saving"/>
    <s v="38-9016-xxxx-00"/>
    <d v="2023-05-20T00:00:00"/>
    <s v="TRANSFER FROM S TAEBI - 01 ;"/>
    <n v="376.25"/>
    <x v="1"/>
    <x v="24"/>
    <x v="1"/>
  </r>
  <r>
    <s v="KiwiBank"/>
    <s v="Saving"/>
    <s v="38-9016-xxxx-00"/>
    <d v="2023-05-20T00:00:00"/>
    <s v="TRF 4833481054851016 ;"/>
    <n v="-297.18"/>
    <x v="1"/>
    <x v="24"/>
    <x v="1"/>
  </r>
  <r>
    <s v="KiwiBank"/>
    <s v="Saving"/>
    <s v="38-9016-xxxx-00"/>
    <d v="2023-05-21T00:00:00"/>
    <s v="TRF 4833481054851016 ;"/>
    <n v="-122.24"/>
    <x v="1"/>
    <x v="24"/>
    <x v="1"/>
  </r>
  <r>
    <s v="KiwiBank"/>
    <s v="Saving"/>
    <s v="38-9016-xxxx-00"/>
    <d v="2023-05-23T00:00:00"/>
    <s v="PAY MJ ASB ;"/>
    <n v="-4.49"/>
    <x v="1"/>
    <x v="24"/>
    <x v="1"/>
  </r>
  <r>
    <s v="KiwiBank"/>
    <s v="Saving"/>
    <s v="38-9016-xxxx-00"/>
    <d v="2023-05-24T00:00:00"/>
    <s v="Salary KIWIBANK FORTNIGHT ;"/>
    <n v="2772.66"/>
    <x v="11"/>
    <x v="22"/>
    <x v="38"/>
  </r>
  <r>
    <s v="KiwiBank"/>
    <s v="Saving"/>
    <s v="38-9016-xxxx-00"/>
    <d v="2023-05-24T00:00:00"/>
    <s v="Direct Credit MJ ASB MR S M ALAVI ;Ref: MJ ASB MR S M ALAVI"/>
    <n v="1004.96"/>
    <x v="1"/>
    <x v="24"/>
    <x v="1"/>
  </r>
  <r>
    <s v="KiwiBank"/>
    <s v="Saving"/>
    <s v="38-9016-xxxx-00"/>
    <d v="2023-05-24T00:00:00"/>
    <s v="PAY ANZ MJ ;rate council"/>
    <n v="-1013.04"/>
    <x v="1"/>
    <x v="24"/>
    <x v="1"/>
  </r>
  <r>
    <s v="KiwiBank"/>
    <s v="Saving"/>
    <s v="38-9016-xxxx-00"/>
    <d v="2023-05-24T00:00:00"/>
    <s v="AP#18696077 TO HSBC ;HSBC 5B-Cleary"/>
    <n v="-2392"/>
    <x v="1"/>
    <x v="24"/>
    <x v="1"/>
  </r>
  <r>
    <s v="KiwiBank"/>
    <s v="Saving"/>
    <s v="38-9016-xxxx-00"/>
    <d v="2023-05-25T00:00:00"/>
    <s v="TRANSFER TO S TAEBI - 01 ;"/>
    <n v="-1160.74"/>
    <x v="1"/>
    <x v="24"/>
    <x v="1"/>
  </r>
  <r>
    <s v="KiwiBank"/>
    <s v="Saving"/>
    <s v="38-9016-xxxx-00"/>
    <d v="2023-05-26T00:00:00"/>
    <s v="TRANSFER FROM S TAEBI - 01 ;"/>
    <n v="89.88"/>
    <x v="1"/>
    <x v="24"/>
    <x v="1"/>
  </r>
  <r>
    <s v="KiwiBank"/>
    <s v="Saving"/>
    <s v="38-9016-xxxx-00"/>
    <d v="2023-05-26T00:00:00"/>
    <s v="TRF 4833481054851016 ;"/>
    <n v="-137.38"/>
    <x v="1"/>
    <x v="24"/>
    <x v="1"/>
  </r>
  <r>
    <s v="KiwiBank"/>
    <s v="Saving"/>
    <s v="38-9016-xxxx-00"/>
    <d v="2023-05-26T00:00:00"/>
    <s v="Direct Debit -SOUTHERN CROSS MEDICAL CARE SOCIETY ;Ref: 23284297 000 030050831"/>
    <n v="-14.6"/>
    <x v="8"/>
    <x v="25"/>
    <x v="39"/>
  </r>
  <r>
    <s v="KiwiBank"/>
    <s v="Saving"/>
    <s v="38-9016-xxxx-00"/>
    <d v="2023-05-27T00:00:00"/>
    <s v="Direct Credit rates MJ ASB MR S M ALAVI ;Ref: rates MJ ASB MR S M ALAVI"/>
    <n v="2073.63"/>
    <x v="1"/>
    <x v="24"/>
    <x v="1"/>
  </r>
  <r>
    <s v="KiwiBank"/>
    <s v="Saving"/>
    <s v="38-9016-xxxx-00"/>
    <d v="2023-05-27T00:00:00"/>
    <s v="TRF 4833481054851016 ;"/>
    <n v="-2955.52"/>
    <x v="1"/>
    <x v="24"/>
    <x v="1"/>
  </r>
  <r>
    <s v="KiwiBank"/>
    <s v="Saving"/>
    <s v="38-9016-xxxx-00"/>
    <d v="2023-05-27T00:00:00"/>
    <s v="TRANSFER FROM S TAEBI - 01 ;"/>
    <n v="107.46"/>
    <x v="1"/>
    <x v="24"/>
    <x v="1"/>
  </r>
  <r>
    <s v="KiwiBank"/>
    <s v="Saving"/>
    <s v="38-9016-xxxx-00"/>
    <d v="2023-05-27T00:00:00"/>
    <s v="TRF 4833481054851016 ;"/>
    <n v="-26.17"/>
    <x v="1"/>
    <x v="24"/>
    <x v="1"/>
  </r>
  <r>
    <s v="KiwiBank"/>
    <s v="Saving"/>
    <s v="38-9016-xxxx-00"/>
    <d v="2023-05-31T00:00:00"/>
    <s v="TRANSFER FROM S TAEBI - 01 ;"/>
    <n v="2309.4699999999998"/>
    <x v="1"/>
    <x v="24"/>
    <x v="1"/>
  </r>
  <r>
    <s v="KiwiBank"/>
    <s v="Saving"/>
    <s v="38-9016-xxxx-00"/>
    <d v="2023-05-31T00:00:00"/>
    <s v="TRF 4833481054851016 ;"/>
    <n v="-101.8"/>
    <x v="1"/>
    <x v="24"/>
    <x v="1"/>
  </r>
  <r>
    <s v="KiwiBank"/>
    <s v="Saving"/>
    <s v="38-9016-xxxx-00"/>
    <d v="2023-05-31T00:00:00"/>
    <s v="Bill Payment MJ ANZ ALAVI SEYED M ;Ref: MJ ANZ ALAVI SEYED M"/>
    <n v="324.29000000000002"/>
    <x v="1"/>
    <x v="24"/>
    <x v="1"/>
  </r>
  <r>
    <s v="KiwiBank"/>
    <s v="Saving"/>
    <s v="38-9016-xxxx-00"/>
    <d v="2023-06-02T00:00:00"/>
    <s v="TRANSFER FROM S TAEBI - 01 ;"/>
    <n v="283.72000000000003"/>
    <x v="1"/>
    <x v="24"/>
    <x v="1"/>
  </r>
  <r>
    <s v="KiwiBank"/>
    <s v="Saving"/>
    <s v="38-9016-xxxx-00"/>
    <d v="2023-06-02T00:00:00"/>
    <s v="TRF 4833481054851016 ;"/>
    <n v="-82.72"/>
    <x v="1"/>
    <x v="24"/>
    <x v="1"/>
  </r>
  <r>
    <s v="KiwiBank"/>
    <s v="Saving"/>
    <s v="38-9016-xxxx-00"/>
    <d v="2023-06-02T00:00:00"/>
    <s v="AP#18495353 TO S TAEBI  S M ALAVI ;Transfer to S TAEBI  S M ALAVI - 06"/>
    <n v="-1426.31"/>
    <x v="1"/>
    <x v="24"/>
    <x v="1"/>
  </r>
  <r>
    <s v="KiwiBank"/>
    <s v="Saving"/>
    <s v="38-9016-xxxx-00"/>
    <d v="2023-06-02T00:00:00"/>
    <s v="AP#18495354 TO S TAEBI  S M ALAVI ;Transfer to S TAEBI  S M ALAVI - 07"/>
    <n v="-741.94"/>
    <x v="1"/>
    <x v="24"/>
    <x v="1"/>
  </r>
  <r>
    <s v="KiwiBank"/>
    <s v="Saving"/>
    <s v="38-9016-xxxx-00"/>
    <d v="2023-06-02T00:00:00"/>
    <s v="AP#20595693 TO S TAEBI  S M ALAVI ;Transfer to S TAEBI  S M ALAVI - 08"/>
    <n v="-9.5299999999999994"/>
    <x v="1"/>
    <x v="24"/>
    <x v="1"/>
  </r>
  <r>
    <s v="KiwiBank"/>
    <s v="Saving"/>
    <s v="38-9016-xxxx-00"/>
    <d v="2023-06-03T00:00:00"/>
    <s v="TRANSFER FROM S TAEBI - 01 ;"/>
    <n v="72.89"/>
    <x v="1"/>
    <x v="24"/>
    <x v="1"/>
  </r>
  <r>
    <s v="KiwiBank"/>
    <s v="Saving"/>
    <s v="38-9016-xxxx-00"/>
    <d v="2023-06-03T00:00:00"/>
    <s v="TRF 4833481054851016 ;"/>
    <n v="-67.67"/>
    <x v="1"/>
    <x v="24"/>
    <x v="1"/>
  </r>
  <r>
    <s v="KiwiBank"/>
    <s v="Saving"/>
    <s v="38-9016-xxxx-00"/>
    <d v="2023-06-03T00:00:00"/>
    <s v="TRF 4833481054851016 ;"/>
    <n v="-3.45"/>
    <x v="1"/>
    <x v="24"/>
    <x v="1"/>
  </r>
  <r>
    <s v="KiwiBank"/>
    <s v="Saving"/>
    <s v="38-9016-xxxx-00"/>
    <d v="2023-06-07T00:00:00"/>
    <s v="AP#18696077 TO HSBC ;HSBC 5B-Cleary"/>
    <n v="-957.39"/>
    <x v="1"/>
    <x v="24"/>
    <x v="1"/>
  </r>
  <r>
    <s v="KiwiBank"/>
    <s v="Saving"/>
    <s v="38-9016-xxxx-00"/>
    <d v="2023-06-07T00:00:00"/>
    <s v="Salary KIWIBANK FORTNIGHT ;"/>
    <n v="1262.5"/>
    <x v="11"/>
    <x v="22"/>
    <x v="38"/>
  </r>
  <r>
    <s v="KiwiBank"/>
    <s v="Saving"/>
    <s v="38-9016-xxxx-00"/>
    <d v="2023-06-07T00:00:00"/>
    <s v="TRF 4833481054851016 ;"/>
    <n v="-11.3"/>
    <x v="1"/>
    <x v="24"/>
    <x v="1"/>
  </r>
  <r>
    <s v="KiwiBank"/>
    <s v="Saving"/>
    <s v="38-9016-xxxx-00"/>
    <d v="2023-06-07T00:00:00"/>
    <s v="Bill Payment MJ ANZ ALAVI SEYED M ;Ref: MJ ANZ ALAVI SEYED M"/>
    <n v="437.17"/>
    <x v="1"/>
    <x v="24"/>
    <x v="1"/>
  </r>
  <r>
    <s v="KiwiBank"/>
    <s v="Saving"/>
    <s v="38-9016-xxxx-00"/>
    <d v="2023-06-07T00:00:00"/>
    <s v="Direct Credit MJ ASB MR S M ALAVI ;Ref: MJ ASB MR S M ALAVI"/>
    <n v="1697.19"/>
    <x v="1"/>
    <x v="24"/>
    <x v="1"/>
  </r>
  <r>
    <s v="KiwiBank"/>
    <s v="Saving"/>
    <s v="38-9016-xxxx-00"/>
    <d v="2023-06-08T00:00:00"/>
    <s v="Direct Credit Pckg RefundCS3405206 Kiwibank B C CONTINGENCY ACCO ;Ref: Pckg RefundCS3405206 Kiwibank B C CONTINGENCY ACCO"/>
    <n v="73.42"/>
    <x v="13"/>
    <x v="24"/>
    <x v="42"/>
  </r>
  <r>
    <s v="KiwiBank"/>
    <s v="Saving"/>
    <s v="38-9016-xxxx-00"/>
    <d v="2023-06-08T00:00:00"/>
    <s v="TRF 4833481054851016 ;"/>
    <n v="-5.98"/>
    <x v="1"/>
    <x v="24"/>
    <x v="42"/>
  </r>
  <r>
    <s v="KiwiBank"/>
    <s v="Saving"/>
    <s v="38-9016-xxxx-00"/>
    <d v="2023-06-09T00:00:00"/>
    <s v="TRF 4833481054851016 ;"/>
    <n v="-0.12"/>
    <x v="1"/>
    <x v="24"/>
    <x v="42"/>
  </r>
  <r>
    <s v="KiwiBank"/>
    <s v="Saving"/>
    <s v="38-9016-xxxx-00"/>
    <d v="2023-06-09T00:00:00"/>
    <s v="TRF 4833481054851016 ;"/>
    <n v="-8.81"/>
    <x v="1"/>
    <x v="24"/>
    <x v="42"/>
  </r>
  <r>
    <s v="KiwiBank"/>
    <s v="Saving"/>
    <s v="38-9016-xxxx-00"/>
    <d v="2023-06-09T00:00:00"/>
    <s v="Direct Debit -SOUTHERN CROSS MEDICAL CARE SOCIETY ;Ref: 23284297 000 030184860"/>
    <n v="-19.010000000000002"/>
    <x v="8"/>
    <x v="25"/>
    <x v="42"/>
  </r>
  <r>
    <s v="KiwiBank"/>
    <s v="Saving"/>
    <s v="38-9016-xxxx-00"/>
    <d v="2023-06-12T00:00:00"/>
    <s v="TRF 4833481054851016 ;"/>
    <n v="-27.89"/>
    <x v="1"/>
    <x v="24"/>
    <x v="42"/>
  </r>
  <r>
    <s v="KiwiBank"/>
    <s v="Saving"/>
    <s v="38-9016-xxxx-00"/>
    <d v="2023-06-14T00:00:00"/>
    <s v="TRF 4833481054851016 ;"/>
    <n v="-99.68"/>
    <x v="1"/>
    <x v="24"/>
    <x v="42"/>
  </r>
  <r>
    <s v="KiwiBank"/>
    <s v="Saving"/>
    <s v="38-9016-xxxx-00"/>
    <d v="2023-06-14T00:00:00"/>
    <s v="Bill Payment MJ ANZ ALAVI SEYED M ;Ref: MJ ANZ ALAVI SEYED M"/>
    <n v="411.34"/>
    <x v="1"/>
    <x v="24"/>
    <x v="42"/>
  </r>
  <r>
    <s v="KiwiBank"/>
    <s v="Saving"/>
    <s v="38-9016-xxxx-00"/>
    <d v="2023-06-15T00:00:00"/>
    <s v="TRF 4833481054851016 ;"/>
    <n v="-20.98"/>
    <x v="1"/>
    <x v="24"/>
    <x v="42"/>
  </r>
  <r>
    <s v="KiwiBank"/>
    <s v="Saving"/>
    <s v="38-9016-xxxx-00"/>
    <d v="2023-06-16T00:00:00"/>
    <s v="AP#18495353 TO S TAEBI  S M ALAVI ;Transfer to S TAEBI  S M ALAVI - 06"/>
    <n v="-944.8"/>
    <x v="1"/>
    <x v="24"/>
    <x v="42"/>
  </r>
  <r>
    <s v="KiwiBank"/>
    <s v="Saving"/>
    <s v="38-9016-xxxx-00"/>
    <d v="2023-06-16T00:00:00"/>
    <s v="AP#18495354 TO S TAEBI  S M ALAVI ;Transfer to S TAEBI  S M ALAVI - 07"/>
    <n v="-22.59"/>
    <x v="1"/>
    <x v="24"/>
    <x v="42"/>
  </r>
  <r>
    <s v="KiwiBank"/>
    <s v="Saving"/>
    <s v="38-9016-xxxx-00"/>
    <d v="2023-06-16T00:00:00"/>
    <s v="AP#20595693 TO S TAEBI  S M ALAVI ;Transfer to S TAEBI  S M ALAVI - 08"/>
    <n v="-84.32"/>
    <x v="1"/>
    <x v="24"/>
    <x v="42"/>
  </r>
  <r>
    <s v="KiwiBank"/>
    <s v="Saving"/>
    <s v="38-9016-xxxx-00"/>
    <d v="2023-06-17T00:00:00"/>
    <s v="Spotify P23BCFC316 Stockholm ;"/>
    <n v="-12.62"/>
    <x v="7"/>
    <x v="26"/>
    <x v="42"/>
  </r>
  <r>
    <s v="KiwiBank"/>
    <s v="Saving"/>
    <s v="38-9016-xxxx-00"/>
    <d v="2023-06-20T00:00:00"/>
    <s v="TRF 4833481054851016 ;"/>
    <n v="-452.6"/>
    <x v="1"/>
    <x v="24"/>
    <x v="42"/>
  </r>
  <r>
    <s v="KiwiBank"/>
    <s v="Saving"/>
    <s v="38-9016-xxxx-00"/>
    <d v="2023-06-21T00:00:00"/>
    <s v="AP#18696077 TO HSBC ;HSBC 5B-Cleary"/>
    <n v="-2108.81"/>
    <x v="1"/>
    <x v="24"/>
    <x v="42"/>
  </r>
  <r>
    <s v="KiwiBank"/>
    <s v="Saving"/>
    <s v="38-9016-xxxx-00"/>
    <d v="2023-06-21T00:00:00"/>
    <s v="Salary KIWIBANK FORTNIGHT ;"/>
    <n v="453.71"/>
    <x v="11"/>
    <x v="22"/>
    <x v="42"/>
  </r>
  <r>
    <s v="KiwiBank"/>
    <s v="Saving"/>
    <s v="38-9016-xxxx-00"/>
    <d v="2023-06-21T00:00:00"/>
    <s v="Bill Payment MJ ANZ ALAVI SEYED M ;Ref: MJ ANZ ALAVI SEYED M"/>
    <n v="1168.8499999999999"/>
    <x v="1"/>
    <x v="24"/>
    <x v="42"/>
  </r>
  <r>
    <s v="KiwiBank"/>
    <s v="Saving"/>
    <s v="38-9016-xxxx-00"/>
    <d v="2023-06-21T00:00:00"/>
    <s v="Direct Credit MJ ASB MR S M ALAVI ;Ref: MJ ASB MR S M ALAVI"/>
    <n v="2764.8"/>
    <x v="1"/>
    <x v="24"/>
    <x v="42"/>
  </r>
  <r>
    <s v="KiwiBank"/>
    <s v="Saving"/>
    <s v="38-9016-xxxx-00"/>
    <d v="2023-06-21T00:00:00"/>
    <s v="TRANSFER TO S TAEBI - 01 ;"/>
    <n v="-885.75"/>
    <x v="1"/>
    <x v="24"/>
    <x v="1"/>
  </r>
  <r>
    <s v="KiwiBank"/>
    <s v="Saving"/>
    <s v="38-9016-xxxx-00"/>
    <d v="2023-06-23T00:00:00"/>
    <s v="TRF 4833481054851016 ;"/>
    <n v="-23.07"/>
    <x v="1"/>
    <x v="24"/>
    <x v="1"/>
  </r>
  <r>
    <s v="KiwiBank"/>
    <s v="Saving"/>
    <s v="38-9016-xxxx-00"/>
    <d v="2023-06-23T00:00:00"/>
    <s v="Direct Debit -SOUTHERN CROSS MEDICAL CARE SOCIETY ;Ref: 23284297 000 030318383"/>
    <n v="-24.9"/>
    <x v="8"/>
    <x v="25"/>
    <x v="39"/>
  </r>
  <r>
    <s v="KiwiBank"/>
    <s v="Saving"/>
    <s v="38-9016-xxxx-00"/>
    <d v="2023-06-24T00:00:00"/>
    <s v="TRF 4833481054851016 ;"/>
    <n v="-1.6"/>
    <x v="1"/>
    <x v="24"/>
    <x v="1"/>
  </r>
  <r>
    <s v="KiwiBank"/>
    <s v="Saving"/>
    <s v="38-9016-xxxx-00"/>
    <d v="2023-06-26T00:00:00"/>
    <s v="TRF 4833481054851016 ;"/>
    <n v="-10.97"/>
    <x v="1"/>
    <x v="24"/>
    <x v="1"/>
  </r>
  <r>
    <s v="KiwiBank"/>
    <s v="Saving"/>
    <s v="38-9016-xxxx-00"/>
    <d v="2023-06-27T00:00:00"/>
    <s v="TRF 4833481054851016 ;"/>
    <n v="-248.23"/>
    <x v="1"/>
    <x v="24"/>
    <x v="1"/>
  </r>
  <r>
    <s v="KiwiBank"/>
    <s v="Saving"/>
    <s v="38-9016-xxxx-00"/>
    <d v="2023-06-27T00:00:00"/>
    <s v="TRF 4833481054851016 ;"/>
    <n v="-9.75"/>
    <x v="1"/>
    <x v="24"/>
    <x v="1"/>
  </r>
  <r>
    <s v="KiwiBank"/>
    <s v="Saving"/>
    <s v="38-9016-xxxx-00"/>
    <d v="2023-06-28T00:00:00"/>
    <s v="Bill Payment MJ ANZ ALAVI SEYED M ;Ref: MJ ANZ ALAVI SEYED M"/>
    <n v="103.23"/>
    <x v="1"/>
    <x v="24"/>
    <x v="1"/>
  </r>
  <r>
    <s v="KiwiBank"/>
    <s v="Saving"/>
    <s v="38-9016-xxxx-00"/>
    <d v="2023-06-28T00:00:00"/>
    <s v="TRANSFER TO S TAEBI - 01 ;"/>
    <n v="-283.8"/>
    <x v="1"/>
    <x v="24"/>
    <x v="1"/>
  </r>
  <r>
    <s v="KiwiBank"/>
    <s v="Saving"/>
    <s v="38-9016-xxxx-00"/>
    <d v="2023-06-29T00:00:00"/>
    <s v="TRF 4833481054851016 ;"/>
    <n v="-16.39"/>
    <x v="1"/>
    <x v="24"/>
    <x v="1"/>
  </r>
  <r>
    <s v="KiwiBank"/>
    <s v="Saving"/>
    <s v="38-9016-xxxx-00"/>
    <d v="2023-06-30T00:00:00"/>
    <s v="TRANSFER FROM S TAEBI - 01 ;"/>
    <n v="2481.6"/>
    <x v="1"/>
    <x v="24"/>
    <x v="1"/>
  </r>
  <r>
    <s v="KiwiBank"/>
    <s v="Saving"/>
    <s v="38-9016-xxxx-00"/>
    <d v="2023-06-30T00:00:00"/>
    <s v="TRF 4833481054851016 ;"/>
    <n v="-2062.7800000000002"/>
    <x v="1"/>
    <x v="24"/>
    <x v="1"/>
  </r>
  <r>
    <s v="KiwiBank"/>
    <s v="Saving"/>
    <s v="38-9016-xxxx-00"/>
    <d v="2023-06-30T00:00:00"/>
    <s v="AP#18495353 TO S TAEBI  S M ALAVI ;Transfer to S TAEBI  S M ALAVI - 06"/>
    <n v="-1329.26"/>
    <x v="1"/>
    <x v="24"/>
    <x v="1"/>
  </r>
  <r>
    <s v="KiwiBank"/>
    <s v="Saving"/>
    <s v="38-9016-xxxx-00"/>
    <d v="2023-06-30T00:00:00"/>
    <s v="AP#18495354 TO S TAEBI  S M ALAVI ;Transfer to S TAEBI  S M ALAVI - 07"/>
    <n v="-1902.37"/>
    <x v="1"/>
    <x v="24"/>
    <x v="1"/>
  </r>
  <r>
    <s v="KiwiBank"/>
    <s v="Saving"/>
    <s v="38-9016-xxxx-00"/>
    <d v="2023-06-30T00:00:00"/>
    <s v="AP#20595693 TO S TAEBI  S M ALAVI ;Transfer to S TAEBI  S M ALAVI - 08"/>
    <n v="-162.83000000000001"/>
    <x v="1"/>
    <x v="24"/>
    <x v="1"/>
  </r>
  <r>
    <s v="KiwiBank"/>
    <s v="Saving"/>
    <s v="38-9016-xxxx-00"/>
    <d v="2023-07-01T00:00:00"/>
    <s v="TRF 4833481054851016 ;"/>
    <n v="-0.28999999999999998"/>
    <x v="1"/>
    <x v="24"/>
    <x v="1"/>
  </r>
  <r>
    <s v="KiwiBank"/>
    <s v="Saving"/>
    <s v="38-9016-xxxx-00"/>
    <d v="2023-07-01T00:00:00"/>
    <s v="TRANSFER TO S TAEBI - 01 ;"/>
    <n v="-186.87"/>
    <x v="1"/>
    <x v="24"/>
    <x v="1"/>
  </r>
  <r>
    <s v="KiwiBank"/>
    <s v="Saving"/>
    <s v="38-9016-xxxx-00"/>
    <d v="2023-07-01T00:00:00"/>
    <s v="TRANSFER FROM S TAEBI - 01 ;"/>
    <n v="515.57000000000005"/>
    <x v="1"/>
    <x v="24"/>
    <x v="1"/>
  </r>
  <r>
    <s v="KiwiBank"/>
    <s v="Saving"/>
    <s v="38-9016-xxxx-00"/>
    <d v="2023-07-01T00:00:00"/>
    <s v="TRF 4833481054851016 ;"/>
    <n v="-94.36"/>
    <x v="1"/>
    <x v="24"/>
    <x v="1"/>
  </r>
  <r>
    <s v="KiwiBank"/>
    <s v="Saving"/>
    <s v="38-9016-xxxx-00"/>
    <d v="2023-07-02T00:00:00"/>
    <s v="TRF 4833481054851016 ;"/>
    <n v="-74.88"/>
    <x v="1"/>
    <x v="24"/>
    <x v="1"/>
  </r>
  <r>
    <s v="KiwiBank"/>
    <s v="Saving"/>
    <s v="38-9016-xxxx-00"/>
    <d v="2023-07-03T00:00:00"/>
    <s v="TRF 4833481054851016 ;"/>
    <n v="-79.2"/>
    <x v="1"/>
    <x v="24"/>
    <x v="1"/>
  </r>
  <r>
    <s v="KiwiBank"/>
    <s v="Saving"/>
    <s v="38-9016-xxxx-00"/>
    <d v="2023-07-03T00:00:00"/>
    <s v="TRF 4833481054851016 ;"/>
    <n v="-7.27"/>
    <x v="1"/>
    <x v="24"/>
    <x v="1"/>
  </r>
  <r>
    <s v="KiwiBank"/>
    <s v="Saving"/>
    <s v="38-9016-xxxx-00"/>
    <d v="2023-07-05T00:00:00"/>
    <s v="Salary KIWIBANK FORTNIGHT ;"/>
    <n v="3875.59"/>
    <x v="11"/>
    <x v="22"/>
    <x v="38"/>
  </r>
  <r>
    <s v="KiwiBank"/>
    <s v="Saving"/>
    <s v="38-9016-xxxx-00"/>
    <d v="2023-07-05T00:00:00"/>
    <s v="Direct Credit MJ ASB MR S M ALAVI ;Ref: MJ ASB MR S M ALAVI"/>
    <n v="1348.83"/>
    <x v="1"/>
    <x v="24"/>
    <x v="1"/>
  </r>
  <r>
    <s v="KiwiBank"/>
    <s v="Saving"/>
    <s v="38-9016-xxxx-00"/>
    <d v="2023-07-05T00:00:00"/>
    <s v="Bill Payment MJ ANZ ALAVI SEYED M ;Ref: MJ ANZ ALAVI SEYED M"/>
    <n v="164.95"/>
    <x v="1"/>
    <x v="24"/>
    <x v="1"/>
  </r>
  <r>
    <s v="KiwiBank"/>
    <s v="Saving"/>
    <s v="38-9016-xxxx-00"/>
    <d v="2023-07-05T00:00:00"/>
    <s v="AP#18696077 TO HSBC ;HSBC 5B-Cleary"/>
    <n v="-2203.39"/>
    <x v="1"/>
    <x v="24"/>
    <x v="1"/>
  </r>
  <r>
    <s v="KiwiBank"/>
    <s v="Saving"/>
    <s v="38-9016-xxxx-00"/>
    <d v="2023-07-05T00:00:00"/>
    <s v="TRF 4833481054851016 ;"/>
    <n v="-60.55"/>
    <x v="1"/>
    <x v="24"/>
    <x v="1"/>
  </r>
  <r>
    <s v="KiwiBank"/>
    <s v="Saving"/>
    <s v="38-9016-xxxx-00"/>
    <d v="2023-07-05T00:00:00"/>
    <s v="TRANSFER TO S TAEBI - 01 ;"/>
    <n v="-111.72"/>
    <x v="1"/>
    <x v="24"/>
    <x v="1"/>
  </r>
  <r>
    <s v="KiwiBank"/>
    <s v="Saving"/>
    <s v="38-9016-xxxx-00"/>
    <d v="2023-07-05T00:00:00"/>
    <s v="TRANSFER TO S TAEBI - 01 ;"/>
    <n v="-3849.36"/>
    <x v="1"/>
    <x v="24"/>
    <x v="1"/>
  </r>
  <r>
    <s v="KiwiBank"/>
    <s v="Saving"/>
    <s v="38-9016-xxxx-00"/>
    <d v="2023-07-06T00:00:00"/>
    <s v="TRF 4833481054851016 ;"/>
    <n v="-37.619999999999997"/>
    <x v="1"/>
    <x v="24"/>
    <x v="1"/>
  </r>
  <r>
    <s v="KiwiBank"/>
    <s v="Saving"/>
    <s v="38-9016-xxxx-00"/>
    <d v="2023-07-06T00:00:00"/>
    <s v="TRF 4833481054851016 ;"/>
    <n v="-2.34"/>
    <x v="1"/>
    <x v="24"/>
    <x v="1"/>
  </r>
  <r>
    <s v="KiwiBank"/>
    <s v="Saving"/>
    <s v="38-9016-xxxx-00"/>
    <d v="2023-07-07T00:00:00"/>
    <s v="TRF 4833481054851016 ;"/>
    <n v="-27.8"/>
    <x v="1"/>
    <x v="24"/>
    <x v="1"/>
  </r>
  <r>
    <s v="KiwiBank"/>
    <s v="Saving"/>
    <s v="38-9016-xxxx-00"/>
    <d v="2023-07-07T00:00:00"/>
    <s v="Direct Debit -SOUTHERN CROSS MEDICAL CARE SOCIETY ;Ref: 23284297 000 030453529"/>
    <n v="-7.06"/>
    <x v="8"/>
    <x v="25"/>
    <x v="39"/>
  </r>
  <r>
    <s v="KiwiBank"/>
    <s v="Saving"/>
    <s v="38-9016-xxxx-00"/>
    <d v="2023-07-09T00:00:00"/>
    <s v="TRF 4833481054851016 ;"/>
    <n v="-64.73"/>
    <x v="1"/>
    <x v="24"/>
    <x v="1"/>
  </r>
  <r>
    <s v="KiwiBank"/>
    <s v="Saving"/>
    <s v="38-9016-xxxx-00"/>
    <d v="2023-07-12T00:00:00"/>
    <s v="Bill Payment MJ ANZ ALAVI SEYED M ;Ref: MJ ANZ ALAVI SEYED M"/>
    <n v="74.06"/>
    <x v="1"/>
    <x v="24"/>
    <x v="1"/>
  </r>
  <r>
    <s v="KiwiBank"/>
    <s v="Saving"/>
    <s v="38-9016-xxxx-00"/>
    <d v="2023-07-12T00:00:00"/>
    <s v="TRANSFER FROM S TAEBI - 01 ;"/>
    <n v="450.42"/>
    <x v="1"/>
    <x v="24"/>
    <x v="1"/>
  </r>
  <r>
    <s v="KiwiBank"/>
    <s v="Saving"/>
    <s v="38-9016-xxxx-00"/>
    <d v="2023-07-12T00:00:00"/>
    <s v="TRF 4833481054851016 ;"/>
    <n v="-12.13"/>
    <x v="1"/>
    <x v="24"/>
    <x v="1"/>
  </r>
  <r>
    <s v="KiwiBank"/>
    <s v="Saving"/>
    <s v="38-9016-xxxx-00"/>
    <d v="2023-07-12T00:00:00"/>
    <s v="TRANSFER FROM S TAEBI - 01 ;"/>
    <n v="960.21"/>
    <x v="1"/>
    <x v="24"/>
    <x v="1"/>
  </r>
  <r>
    <s v="KiwiBank"/>
    <s v="Saving"/>
    <s v="38-9016-xxxx-00"/>
    <d v="2023-07-12T00:00:00"/>
    <s v="PAY MJ ASB ;"/>
    <n v="-1928.76"/>
    <x v="1"/>
    <x v="24"/>
    <x v="1"/>
  </r>
  <r>
    <s v="KiwiBank"/>
    <s v="Saving"/>
    <s v="38-9016-xxxx-00"/>
    <d v="2023-07-13T00:00:00"/>
    <s v="TRF 4833481054851016 ;"/>
    <n v="-2.98"/>
    <x v="1"/>
    <x v="24"/>
    <x v="1"/>
  </r>
  <r>
    <s v="KiwiBank"/>
    <s v="Saving"/>
    <s v="38-9016-xxxx-00"/>
    <d v="2023-07-14T00:00:00"/>
    <s v="TRF 4833481054851016 ;"/>
    <n v="-78.38"/>
    <x v="1"/>
    <x v="24"/>
    <x v="1"/>
  </r>
  <r>
    <s v="KiwiBank"/>
    <s v="Saving"/>
    <s v="38-9016-xxxx-00"/>
    <d v="2023-07-14T00:00:00"/>
    <s v="AP#18495353 TO S TAEBI  S M ALAVI ;Transfer to S TAEBI  S M ALAVI - 06"/>
    <n v="-1740.44"/>
    <x v="1"/>
    <x v="24"/>
    <x v="1"/>
  </r>
  <r>
    <s v="KiwiBank"/>
    <s v="Saving"/>
    <s v="38-9016-xxxx-00"/>
    <d v="2023-07-14T00:00:00"/>
    <s v="AP#18495354 TO S TAEBI  S M ALAVI ;Transfer to S TAEBI  S M ALAVI - 07"/>
    <n v="-840.37"/>
    <x v="1"/>
    <x v="24"/>
    <x v="1"/>
  </r>
  <r>
    <s v="KiwiBank"/>
    <s v="Saving"/>
    <s v="38-9016-xxxx-00"/>
    <d v="2023-07-14T00:00:00"/>
    <s v="AP#20595693 TO S TAEBI  S M ALAVI ;Transfer to S TAEBI  S M ALAVI - 08"/>
    <n v="-94.22"/>
    <x v="1"/>
    <x v="24"/>
    <x v="1"/>
  </r>
  <r>
    <s v="KiwiBank"/>
    <s v="Saving"/>
    <s v="38-9016-xxxx-00"/>
    <d v="2023-07-15T00:00:00"/>
    <s v="TRANSFER FROM S TAEBI - 01 ;"/>
    <n v="199.36"/>
    <x v="1"/>
    <x v="24"/>
    <x v="1"/>
  </r>
  <r>
    <s v="KiwiBank"/>
    <s v="Saving"/>
    <s v="38-9016-xxxx-00"/>
    <d v="2023-07-15T00:00:00"/>
    <s v="TRF 4833481054851016 ;"/>
    <n v="-60.94"/>
    <x v="1"/>
    <x v="24"/>
    <x v="1"/>
  </r>
  <r>
    <s v="KiwiBank"/>
    <s v="Saving"/>
    <s v="38-9016-xxxx-00"/>
    <d v="2023-07-15T00:00:00"/>
    <s v="TRF 4833481054851016 ;"/>
    <n v="-1.1399999999999999"/>
    <x v="1"/>
    <x v="24"/>
    <x v="1"/>
  </r>
  <r>
    <s v="KiwiBank"/>
    <s v="Saving"/>
    <s v="38-9016-xxxx-00"/>
    <d v="2023-07-15T00:00:00"/>
    <s v="TRF 4833481054851016 ;"/>
    <n v="-81.650000000000006"/>
    <x v="1"/>
    <x v="24"/>
    <x v="1"/>
  </r>
  <r>
    <s v="KiwiBank"/>
    <s v="Saving"/>
    <s v="38-9016-xxxx-00"/>
    <d v="2023-07-17T00:00:00"/>
    <s v="Spotify P245E5BD94 Stockholm ;"/>
    <n v="-10.42"/>
    <x v="7"/>
    <x v="26"/>
    <x v="40"/>
  </r>
  <r>
    <s v="KiwiBank"/>
    <s v="Saving"/>
    <s v="38-9016-xxxx-00"/>
    <d v="2023-07-19T00:00:00"/>
    <s v="Salary KIWIBANK FORTNIGHT ;"/>
    <n v="5131.87"/>
    <x v="11"/>
    <x v="22"/>
    <x v="38"/>
  </r>
  <r>
    <s v="KiwiBank"/>
    <s v="Saving"/>
    <s v="38-9016-xxxx-00"/>
    <d v="2023-07-19T00:00:00"/>
    <s v="TRANSFER TO S TAEBI - 01 ;"/>
    <n v="-5205.41"/>
    <x v="1"/>
    <x v="24"/>
    <x v="1"/>
  </r>
  <r>
    <s v="KiwiBank"/>
    <s v="Saving"/>
    <s v="38-9016-xxxx-00"/>
    <d v="2023-07-19T00:00:00"/>
    <s v="Bill Payment MJ ANZ ALAVI SEYED M ;Ref: MJ ANZ ALAVI SEYED M"/>
    <n v="969.99"/>
    <x v="1"/>
    <x v="24"/>
    <x v="1"/>
  </r>
  <r>
    <s v="KiwiBank"/>
    <s v="Saving"/>
    <s v="38-9016-xxxx-00"/>
    <d v="2023-07-19T00:00:00"/>
    <s v="Direct Credit MJ ASB MR S M ALAVI ;Ref: MJ ASB MR S M ALAVI"/>
    <n v="144.80000000000001"/>
    <x v="1"/>
    <x v="24"/>
    <x v="1"/>
  </r>
  <r>
    <s v="KiwiBank"/>
    <s v="Saving"/>
    <s v="38-9016-xxxx-00"/>
    <d v="2023-07-19T00:00:00"/>
    <s v="TRANSFER TO S TAEBI - 01 ;"/>
    <n v="-1211.26"/>
    <x v="1"/>
    <x v="24"/>
    <x v="1"/>
  </r>
  <r>
    <s v="KiwiBank"/>
    <s v="Saving"/>
    <s v="38-9016-xxxx-00"/>
    <d v="2023-07-19T00:00:00"/>
    <s v="TRF 4833481054851016 ;"/>
    <n v="-97.66"/>
    <x v="1"/>
    <x v="24"/>
    <x v="1"/>
  </r>
  <r>
    <s v="KiwiBank"/>
    <s v="Saving"/>
    <s v="38-9016-xxxx-00"/>
    <d v="2023-07-19T00:00:00"/>
    <s v="AP#18696077 TO HSBC ;HSBC 5B-Cleary"/>
    <n v="-2152.29"/>
    <x v="1"/>
    <x v="24"/>
    <x v="1"/>
  </r>
  <r>
    <s v="KiwiBank"/>
    <s v="Saving"/>
    <s v="38-9016-xxxx-00"/>
    <d v="2023-07-20T00:00:00"/>
    <s v="TRANSFER FROM S TAEBI - 01 ;"/>
    <n v="195.22"/>
    <x v="1"/>
    <x v="24"/>
    <x v="1"/>
  </r>
  <r>
    <s v="KiwiBank"/>
    <s v="Saving"/>
    <s v="38-9016-xxxx-00"/>
    <d v="2023-07-20T00:00:00"/>
    <s v="TRF 4833481054851016 ;"/>
    <n v="-17.989999999999998"/>
    <x v="1"/>
    <x v="24"/>
    <x v="1"/>
  </r>
  <r>
    <s v="KiwiBank"/>
    <s v="Saving"/>
    <s v="38-9016-xxxx-00"/>
    <d v="2023-07-20T00:00:00"/>
    <s v="TRF 4833481054851016 ;"/>
    <n v="-10.23"/>
    <x v="1"/>
    <x v="24"/>
    <x v="1"/>
  </r>
  <r>
    <s v="KiwiBank"/>
    <s v="Saving"/>
    <s v="38-9016-xxxx-00"/>
    <d v="2023-07-21T00:00:00"/>
    <s v="TRF 4833481054851016 ;"/>
    <n v="-13.21"/>
    <x v="1"/>
    <x v="24"/>
    <x v="1"/>
  </r>
  <r>
    <s v="KiwiBank"/>
    <s v="Saving"/>
    <s v="38-9016-xxxx-00"/>
    <d v="2023-07-21T00:00:00"/>
    <s v="Spotify P245E5BD94 Stockholm ;"/>
    <n v="22.25"/>
    <x v="7"/>
    <x v="26"/>
    <x v="40"/>
  </r>
  <r>
    <s v="KiwiBank"/>
    <s v="Saving"/>
    <s v="38-9016-xxxx-00"/>
    <d v="2023-07-21T00:00:00"/>
    <s v="Direct Debit -SOUTHERN CROSS MEDICAL CARE SOCIETY ;Ref: 23284297 000 030584168"/>
    <n v="-25.23"/>
    <x v="8"/>
    <x v="25"/>
    <x v="39"/>
  </r>
  <r>
    <s v="KiwiBank"/>
    <s v="Saving"/>
    <s v="38-9016-xxxx-00"/>
    <d v="2023-07-22T00:00:00"/>
    <s v="TRF 4833481054851016 ;"/>
    <n v="-14.05"/>
    <x v="1"/>
    <x v="24"/>
    <x v="1"/>
  </r>
  <r>
    <s v="KiwiBank"/>
    <s v="Saving"/>
    <s v="38-9016-xxxx-00"/>
    <d v="2023-07-22T00:00:00"/>
    <s v="Direct Credit MJ ASB MR S M ALAVI ;Ref: MJ ASB MR S M ALAVI"/>
    <n v="218.05"/>
    <x v="1"/>
    <x v="24"/>
    <x v="1"/>
  </r>
  <r>
    <s v="KiwiBank"/>
    <s v="Saving"/>
    <s v="38-9016-xxxx-00"/>
    <d v="2023-07-22T00:00:00"/>
    <s v="TRF 4833481054851016 ;"/>
    <n v="-23.68"/>
    <x v="1"/>
    <x v="24"/>
    <x v="1"/>
  </r>
  <r>
    <s v="KiwiBank"/>
    <s v="Saving"/>
    <s v="38-9016-xxxx-00"/>
    <d v="2023-07-24T00:00:00"/>
    <s v="TRF 4833481054851016 ;"/>
    <n v="-4.91"/>
    <x v="1"/>
    <x v="24"/>
    <x v="1"/>
  </r>
  <r>
    <s v="KiwiBank"/>
    <s v="Saving"/>
    <s v="38-9016-xxxx-00"/>
    <d v="2023-07-26T00:00:00"/>
    <s v="TRANSFER FROM S TAEBI - 01 ;"/>
    <n v="1800.03"/>
    <x v="1"/>
    <x v="24"/>
    <x v="1"/>
  </r>
  <r>
    <s v="KiwiBank"/>
    <s v="Saving"/>
    <s v="38-9016-xxxx-00"/>
    <d v="2023-07-26T00:00:00"/>
    <s v="TRF 4833481054851016 ;"/>
    <n v="-179.67"/>
    <x v="1"/>
    <x v="24"/>
    <x v="1"/>
  </r>
  <r>
    <s v="KiwiBank"/>
    <s v="Saving"/>
    <s v="38-9016-xxxx-00"/>
    <d v="2023-07-26T00:00:00"/>
    <s v="Bill Payment MJ ANZ ALAVI SEYED M ;Ref: MJ ANZ ALAVI SEYED M"/>
    <n v="151.62"/>
    <x v="1"/>
    <x v="24"/>
    <x v="1"/>
  </r>
  <r>
    <s v="KiwiBank"/>
    <s v="Saving"/>
    <s v="38-9016-xxxx-00"/>
    <d v="2023-07-27T00:00:00"/>
    <s v="TRF 4833481054851016 ;"/>
    <n v="-14.25"/>
    <x v="1"/>
    <x v="24"/>
    <x v="1"/>
  </r>
  <r>
    <s v="KiwiBank"/>
    <s v="Saving"/>
    <s v="38-9016-xxxx-00"/>
    <d v="2023-07-28T00:00:00"/>
    <s v="AP#18495353 TO S TAEBI  S M ALAVI ;Transfer to S TAEBI  S M ALAVI - 06"/>
    <n v="-530.54"/>
    <x v="1"/>
    <x v="24"/>
    <x v="1"/>
  </r>
  <r>
    <s v="KiwiBank"/>
    <s v="Saving"/>
    <s v="38-9016-xxxx-00"/>
    <d v="2023-07-28T00:00:00"/>
    <s v="AP#18495354 TO S TAEBI  S M ALAVI ;Transfer to S TAEBI  S M ALAVI - 07"/>
    <n v="-68.64"/>
    <x v="1"/>
    <x v="24"/>
    <x v="1"/>
  </r>
  <r>
    <s v="KiwiBank"/>
    <s v="Saving"/>
    <s v="38-9016-xxxx-00"/>
    <d v="2023-07-28T00:00:00"/>
    <s v="AP#20595693 TO S TAEBI  S M ALAVI ;Transfer to S TAEBI  S M ALAVI - 08"/>
    <n v="-539.92999999999995"/>
    <x v="1"/>
    <x v="24"/>
    <x v="1"/>
  </r>
  <r>
    <s v="KiwiBank"/>
    <s v="Saving"/>
    <s v="38-9016-xxxx-00"/>
    <d v="2023-07-29T00:00:00"/>
    <s v="TRF 4833481054851016 ;"/>
    <n v="-8.2899999999999991"/>
    <x v="1"/>
    <x v="24"/>
    <x v="1"/>
  </r>
  <r>
    <s v="KiwiBank"/>
    <s v="Saving"/>
    <s v="38-9016-xxxx-00"/>
    <d v="2023-07-29T00:00:00"/>
    <s v="TRF 4833481054851016 ;"/>
    <n v="-33.119999999999997"/>
    <x v="1"/>
    <x v="24"/>
    <x v="1"/>
  </r>
  <r>
    <s v="KiwiBank"/>
    <s v="Saving"/>
    <s v="38-9016-xxxx-00"/>
    <d v="2023-07-30T00:00:00"/>
    <s v="TRF 4833481054851016 ;"/>
    <n v="-10.68"/>
    <x v="1"/>
    <x v="24"/>
    <x v="1"/>
  </r>
  <r>
    <s v="KiwiBank"/>
    <s v="Saving"/>
    <s v="38-9016-xxxx-00"/>
    <d v="2023-07-31T00:00:00"/>
    <s v="INTEREST DEBIT ;"/>
    <n v="-0.5"/>
    <x v="5"/>
    <x v="7"/>
    <x v="7"/>
  </r>
  <r>
    <s v="KiwiBank"/>
    <s v="Saving"/>
    <s v="38-9016-xxxx-00"/>
    <d v="2023-07-31T00:00:00"/>
    <s v="ACCOUNT OUT OF ORDER FEE ;"/>
    <n v="-2.2000000000000002"/>
    <x v="5"/>
    <x v="7"/>
    <x v="7"/>
  </r>
  <r>
    <s v="KiwiBank"/>
    <s v="Saving"/>
    <s v="38-9016-xxxx-00"/>
    <d v="2023-08-02T00:00:00"/>
    <s v="Salary KIWIBANK FORTNIGHT ;"/>
    <n v="3762.17"/>
    <x v="11"/>
    <x v="22"/>
    <x v="38"/>
  </r>
  <r>
    <s v="KiwiBank"/>
    <s v="Saving"/>
    <s v="38-9016-xxxx-00"/>
    <d v="2023-08-02T00:00:00"/>
    <s v="Bill Payment MJ ANZ ALAVI SEYED M ;Ref: MJ ANZ ALAVI SEYED M"/>
    <n v="116.27"/>
    <x v="1"/>
    <x v="24"/>
    <x v="1"/>
  </r>
  <r>
    <s v="KiwiBank"/>
    <s v="Saving"/>
    <s v="38-9016-xxxx-00"/>
    <d v="2023-08-02T00:00:00"/>
    <s v="TRANSFER TO S TAEBI - 01 ;"/>
    <n v="-435.67"/>
    <x v="1"/>
    <x v="24"/>
    <x v="1"/>
  </r>
  <r>
    <s v="KiwiBank"/>
    <s v="Saving"/>
    <s v="38-9016-xxxx-00"/>
    <d v="2023-08-02T00:00:00"/>
    <s v="Direct Credit MJ ASB MR S M ALAVI ;Ref: MJ ASB MR S M ALAVI"/>
    <n v="1457.8"/>
    <x v="1"/>
    <x v="24"/>
    <x v="1"/>
  </r>
  <r>
    <s v="KiwiBank"/>
    <s v="Saving"/>
    <s v="38-9016-xxxx-00"/>
    <d v="2023-08-02T00:00:00"/>
    <s v="TRANSFER TO S TAEBI - 01 ;"/>
    <n v="-1076.56"/>
    <x v="1"/>
    <x v="24"/>
    <x v="1"/>
  </r>
  <r>
    <s v="KiwiBank"/>
    <s v="Saving"/>
    <s v="38-9016-xxxx-00"/>
    <d v="2023-08-02T00:00:00"/>
    <s v="TRF 4833481054851016 ;"/>
    <n v="-0.11"/>
    <x v="1"/>
    <x v="24"/>
    <x v="1"/>
  </r>
  <r>
    <s v="KiwiBank"/>
    <s v="Saving"/>
    <s v="38-9016-xxxx-00"/>
    <d v="2023-08-02T00:00:00"/>
    <s v="TRANSFER TO S TAEBI - 01 ;"/>
    <n v="-229.87"/>
    <x v="1"/>
    <x v="24"/>
    <x v="1"/>
  </r>
  <r>
    <s v="KiwiBank"/>
    <s v="Saving"/>
    <s v="38-9016-xxxx-00"/>
    <d v="2023-08-02T00:00:00"/>
    <s v="AP#18696077 TO HSBC ;HSBC 5B-Cleary"/>
    <n v="-933.38"/>
    <x v="1"/>
    <x v="24"/>
    <x v="1"/>
  </r>
  <r>
    <s v="KiwiBank"/>
    <s v="Saving"/>
    <s v="38-9016-xxxx-00"/>
    <d v="2023-08-03T00:00:00"/>
    <s v="TRF 4833481054851016 ;"/>
    <n v="-42.4"/>
    <x v="1"/>
    <x v="24"/>
    <x v="1"/>
  </r>
  <r>
    <s v="KiwiBank"/>
    <s v="Saving"/>
    <s v="38-9016-xxxx-00"/>
    <d v="2023-08-04T00:00:00"/>
    <s v="Direct Credit MJ ASB MR S M ALAVI ;Ref: MJ ASB MR S M ALAVI"/>
    <n v="12.51"/>
    <x v="1"/>
    <x v="24"/>
    <x v="1"/>
  </r>
  <r>
    <s v="KiwiBank"/>
    <s v="Saving"/>
    <s v="38-9016-xxxx-00"/>
    <d v="2023-08-04T00:00:00"/>
    <s v="TRF 4833481054851016 ;"/>
    <n v="-16.149999999999999"/>
    <x v="1"/>
    <x v="24"/>
    <x v="1"/>
  </r>
  <r>
    <s v="KiwiBank"/>
    <s v="Saving"/>
    <s v="38-9016-xxxx-00"/>
    <d v="2023-08-04T00:00:00"/>
    <s v="Bill Payment MJ ANZ ALAVI SEYED M ;Ref: MJ ANZ ALAVI SEYED M"/>
    <n v="5056.74"/>
    <x v="1"/>
    <x v="24"/>
    <x v="1"/>
  </r>
  <r>
    <s v="KiwiBank"/>
    <s v="Saving"/>
    <s v="38-9016-xxxx-00"/>
    <d v="2023-08-04T00:00:00"/>
    <s v="TRANSFER TO S TAEBI - 01 ;"/>
    <n v="-5218.9399999999996"/>
    <x v="1"/>
    <x v="24"/>
    <x v="1"/>
  </r>
  <r>
    <s v="KiwiBank"/>
    <s v="Saving"/>
    <s v="38-9016-xxxx-00"/>
    <d v="2023-08-04T00:00:00"/>
    <s v="Direct Debit -SOUTHERN CROSS MEDICAL CARE SOCIETY ;Ref: 23284297 000 030719249"/>
    <n v="-15.39"/>
    <x v="8"/>
    <x v="25"/>
    <x v="39"/>
  </r>
  <r>
    <s v="KiwiBank"/>
    <s v="Saving"/>
    <s v="38-9016-xxxx-00"/>
    <d v="2023-08-06T00:00:00"/>
    <s v="TRF 4833481054851016 ;"/>
    <n v="-54.37"/>
    <x v="1"/>
    <x v="24"/>
    <x v="1"/>
  </r>
  <r>
    <s v="KiwiBank"/>
    <s v="Saving"/>
    <s v="38-9016-xxxx-00"/>
    <d v="2023-08-06T00:00:00"/>
    <s v="TRF 4833481054851016 ;"/>
    <n v="-10.52"/>
    <x v="1"/>
    <x v="24"/>
    <x v="1"/>
  </r>
  <r>
    <s v="KiwiBank"/>
    <s v="Saving"/>
    <s v="38-9016-xxxx-00"/>
    <d v="2023-08-06T00:00:00"/>
    <s v="TRF 4833481054851016 ;"/>
    <n v="-47.51"/>
    <x v="1"/>
    <x v="24"/>
    <x v="1"/>
  </r>
  <r>
    <s v="KiwiBank"/>
    <s v="Saving"/>
    <s v="38-9016-xxxx-00"/>
    <d v="2023-08-08T00:00:00"/>
    <s v="TRF 4833481054851016 ;"/>
    <n v="-147.52000000000001"/>
    <x v="1"/>
    <x v="24"/>
    <x v="1"/>
  </r>
  <r>
    <s v="KiwiBank"/>
    <s v="Saving"/>
    <s v="38-9016-xxxx-00"/>
    <d v="2023-08-10T00:00:00"/>
    <s v="TRANSFER FROM S TAEBI - 01 ;"/>
    <n v="81.52"/>
    <x v="1"/>
    <x v="24"/>
    <x v="1"/>
  </r>
  <r>
    <s v="KiwiBank"/>
    <s v="Saving"/>
    <s v="38-9016-xxxx-00"/>
    <d v="2023-08-10T00:00:00"/>
    <s v="TRF 4833481054851016 ;"/>
    <n v="-12.23"/>
    <x v="1"/>
    <x v="24"/>
    <x v="1"/>
  </r>
  <r>
    <s v="KiwiBank"/>
    <s v="Saving"/>
    <s v="38-9016-xxxx-00"/>
    <d v="2023-08-10T00:00:00"/>
    <s v="Bill Payment MJ ANZ ALAVI SEYED M ;Ref: MJ ANZ ALAVI SEYED M"/>
    <n v="95.5"/>
    <x v="1"/>
    <x v="24"/>
    <x v="1"/>
  </r>
  <r>
    <s v="KiwiBank"/>
    <s v="Saving"/>
    <s v="38-9016-xxxx-00"/>
    <d v="2023-08-11T00:00:00"/>
    <s v="TRF 4833481054851016 ;"/>
    <n v="-261.17"/>
    <x v="1"/>
    <x v="24"/>
    <x v="1"/>
  </r>
  <r>
    <s v="KiwiBank"/>
    <s v="Saving"/>
    <s v="38-9016-xxxx-00"/>
    <d v="2023-08-11T00:00:00"/>
    <s v="AP#18495353 TO S TAEBI  S M ALAVI ;Transfer to S TAEBI  S M ALAVI - 06"/>
    <n v="-1798.75"/>
    <x v="1"/>
    <x v="24"/>
    <x v="1"/>
  </r>
  <r>
    <s v="KiwiBank"/>
    <s v="Saving"/>
    <s v="38-9016-xxxx-00"/>
    <d v="2023-08-11T00:00:00"/>
    <s v="AP#18495354 TO S TAEBI  S M ALAVI ;Transfer to S TAEBI  S M ALAVI - 07"/>
    <n v="-2019.75"/>
    <x v="1"/>
    <x v="24"/>
    <x v="1"/>
  </r>
  <r>
    <s v="KiwiBank"/>
    <s v="Saving"/>
    <s v="38-9016-xxxx-00"/>
    <d v="2023-08-11T00:00:00"/>
    <s v="AP#20595693 TO S TAEBI  S M ALAVI ;Transfer to S TAEBI  S M ALAVI - 08"/>
    <n v="-112.15"/>
    <x v="1"/>
    <x v="24"/>
    <x v="1"/>
  </r>
  <r>
    <s v="KiwiBank"/>
    <s v="Saving"/>
    <s v="38-9016-xxxx-00"/>
    <d v="2023-08-12T00:00:00"/>
    <s v="TRF 4833481054851016 ;"/>
    <n v="-82.65"/>
    <x v="1"/>
    <x v="24"/>
    <x v="1"/>
  </r>
  <r>
    <s v="KiwiBank"/>
    <s v="Saving"/>
    <s v="38-9016-xxxx-00"/>
    <d v="2023-08-12T00:00:00"/>
    <s v="TRANSFER TO S TAEBI - 01 ;"/>
    <n v="-219.87"/>
    <x v="1"/>
    <x v="24"/>
    <x v="1"/>
  </r>
  <r>
    <s v="KiwiBank"/>
    <s v="Saving"/>
    <s v="38-9016-xxxx-00"/>
    <d v="2023-08-13T00:00:00"/>
    <s v="TRF 4833481054851016 ;"/>
    <n v="-23.72"/>
    <x v="1"/>
    <x v="24"/>
    <x v="1"/>
  </r>
  <r>
    <s v="KiwiBank"/>
    <s v="Saving"/>
    <s v="38-9016-xxxx-00"/>
    <d v="2023-08-14T00:00:00"/>
    <s v="TRF 4833481054851016 ;"/>
    <n v="-6.33"/>
    <x v="1"/>
    <x v="24"/>
    <x v="1"/>
  </r>
  <r>
    <s v="KiwiBank"/>
    <s v="Saving"/>
    <s v="38-9016-xxxx-00"/>
    <d v="2023-08-15T00:00:00"/>
    <s v="REPLACEMENT VISA DEBIT CARD#VISADEBITFEE15082023112202 ;"/>
    <n v="-0.38"/>
    <x v="5"/>
    <x v="7"/>
    <x v="7"/>
  </r>
  <r>
    <s v="KiwiBank"/>
    <s v="Saving"/>
    <s v="38-9016-xxxx-00"/>
    <d v="2023-08-16T00:00:00"/>
    <s v="Salary KIWIBANK FORTNIGHT ;"/>
    <n v="235.68"/>
    <x v="11"/>
    <x v="22"/>
    <x v="38"/>
  </r>
  <r>
    <s v="KiwiBank"/>
    <s v="Saving"/>
    <s v="38-9016-xxxx-00"/>
    <d v="2023-08-16T00:00:00"/>
    <s v="TRANSFER TO S TAEBI - 01 ;"/>
    <n v="-4017.96"/>
    <x v="1"/>
    <x v="24"/>
    <x v="1"/>
  </r>
  <r>
    <s v="KiwiBank"/>
    <s v="Saving"/>
    <s v="38-9016-xxxx-00"/>
    <d v="2023-08-16T00:00:00"/>
    <s v="Bill Payment MJ ANZ ALAVI SEYED M ;Ref: MJ ANZ ALAVI SEYED M"/>
    <n v="807.19"/>
    <x v="1"/>
    <x v="24"/>
    <x v="1"/>
  </r>
  <r>
    <s v="KiwiBank"/>
    <s v="Saving"/>
    <s v="38-9016-xxxx-00"/>
    <d v="2023-08-16T00:00:00"/>
    <s v="Direct Credit MJ ASB MR S M ALAVI ;Ref: MJ ASB MR S M ALAVI"/>
    <n v="1191.3699999999999"/>
    <x v="1"/>
    <x v="24"/>
    <x v="1"/>
  </r>
  <r>
    <s v="KiwiBank"/>
    <s v="Saving"/>
    <s v="38-9016-xxxx-00"/>
    <d v="2023-08-16T00:00:00"/>
    <s v="TRF 4327420538275015 ;"/>
    <n v="-16.809999999999999"/>
    <x v="1"/>
    <x v="24"/>
    <x v="1"/>
  </r>
  <r>
    <s v="KiwiBank"/>
    <s v="Saving"/>
    <s v="38-9016-xxxx-00"/>
    <d v="2023-08-16T00:00:00"/>
    <s v="AP#18696077 TO HSBC ;HSBC 5B-Cleary"/>
    <n v="-579.87"/>
    <x v="1"/>
    <x v="24"/>
    <x v="1"/>
  </r>
  <r>
    <s v="KiwiBank"/>
    <s v="Saving"/>
    <s v="38-9016-xxxx-00"/>
    <d v="2023-08-17T00:00:00"/>
    <s v="TRANSFER FROM S TAEBI - 01 ;"/>
    <n v="194.02"/>
    <x v="1"/>
    <x v="24"/>
    <x v="1"/>
  </r>
  <r>
    <s v="KiwiBank"/>
    <s v="Saving"/>
    <s v="38-9016-xxxx-00"/>
    <d v="2023-08-17T00:00:00"/>
    <s v="PAY MJ ASB ;"/>
    <n v="-121.92"/>
    <x v="1"/>
    <x v="24"/>
    <x v="1"/>
  </r>
  <r>
    <s v="KiwiBank"/>
    <s v="Saving"/>
    <s v="38-9016-xxxx-00"/>
    <d v="2023-08-18T00:00:00"/>
    <s v="TRF 4833481054851040 ;"/>
    <n v="-0.54"/>
    <x v="1"/>
    <x v="24"/>
    <x v="1"/>
  </r>
  <r>
    <s v="KiwiBank"/>
    <s v="Saving"/>
    <s v="38-9016-xxxx-00"/>
    <d v="2023-08-18T00:00:00"/>
    <s v="Direct Debit -SOUTHERN CROSS MEDICAL CARE SOCIETY ;Ref: 23284297 000 030848922"/>
    <n v="-20.190000000000001"/>
    <x v="8"/>
    <x v="25"/>
    <x v="39"/>
  </r>
  <r>
    <s v="KiwiBank"/>
    <s v="Saving"/>
    <s v="38-9016-xxxx-00"/>
    <d v="2023-08-19T00:00:00"/>
    <s v="TRF 4833481054851032 ;"/>
    <n v="-309.16000000000003"/>
    <x v="1"/>
    <x v="24"/>
    <x v="1"/>
  </r>
  <r>
    <s v="KiwiBank"/>
    <s v="Saving"/>
    <s v="38-9016-xxxx-00"/>
    <d v="2023-08-20T00:00:00"/>
    <s v="Direct Credit MJ ASB MR S M ALAVI ;Ref: MJ ASB MR S M ALAVI"/>
    <n v="604.87"/>
    <x v="1"/>
    <x v="24"/>
    <x v="1"/>
  </r>
  <r>
    <s v="KiwiBank"/>
    <s v="Saving"/>
    <s v="38-9016-xxxx-00"/>
    <d v="2023-08-20T00:00:00"/>
    <s v="TRF 4833481054851032 ;"/>
    <n v="-617.41"/>
    <x v="1"/>
    <x v="24"/>
    <x v="1"/>
  </r>
  <r>
    <s v="KiwiBank"/>
    <s v="Saving"/>
    <s v="38-9016-xxxx-00"/>
    <d v="2023-08-20T00:00:00"/>
    <s v="TRF 4833481054851032 ;"/>
    <n v="-0.46"/>
    <x v="1"/>
    <x v="24"/>
    <x v="1"/>
  </r>
  <r>
    <s v="KiwiBank"/>
    <s v="Saving"/>
    <s v="38-9016-xxxx-00"/>
    <d v="2023-08-20T00:00:00"/>
    <s v="TRF 4833481054851032 ;"/>
    <n v="-8.69"/>
    <x v="1"/>
    <x v="24"/>
    <x v="1"/>
  </r>
  <r>
    <s v="KiwiBank"/>
    <s v="Saving"/>
    <s v="38-9016-xxxx-00"/>
    <d v="2023-08-23T00:00:00"/>
    <s v="TRF 4833481054851032 ;"/>
    <n v="-0.09"/>
    <x v="1"/>
    <x v="24"/>
    <x v="1"/>
  </r>
  <r>
    <s v="KiwiBank"/>
    <s v="Saving"/>
    <s v="38-9016-xxxx-00"/>
    <d v="2023-08-24T00:00:00"/>
    <s v="TRANSFER FROM S TAEBI - 01 ;"/>
    <n v="2933.58"/>
    <x v="1"/>
    <x v="24"/>
    <x v="1"/>
  </r>
  <r>
    <s v="KiwiBank"/>
    <s v="Saving"/>
    <s v="38-9016-xxxx-00"/>
    <d v="2023-08-24T00:00:00"/>
    <s v="TRANSFER FROM S TAEBI - 01 ;"/>
    <n v="2902.45"/>
    <x v="1"/>
    <x v="24"/>
    <x v="1"/>
  </r>
  <r>
    <s v="KiwiBank"/>
    <s v="Saving"/>
    <s v="38-9016-xxxx-00"/>
    <d v="2023-08-24T00:00:00"/>
    <s v="TRANSFER FROM S TAEBI - 01 ;MJ IRD"/>
    <n v="2981.04"/>
    <x v="1"/>
    <x v="24"/>
    <x v="1"/>
  </r>
  <r>
    <s v="KiwiBank"/>
    <s v="Saving"/>
    <s v="38-9016-xxxx-00"/>
    <d v="2023-08-24T00:00:00"/>
    <s v="PAY ANZ MJ ;MJ IRD"/>
    <n v="-536.08000000000004"/>
    <x v="1"/>
    <x v="24"/>
    <x v="1"/>
  </r>
  <r>
    <s v="KiwiBank"/>
    <s v="Saving"/>
    <s v="38-9016-xxxx-00"/>
    <d v="2023-08-24T00:00:00"/>
    <s v="TRANSFER FROM S TAEBI - 01 ;"/>
    <n v="2761.52"/>
    <x v="1"/>
    <x v="24"/>
    <x v="1"/>
  </r>
  <r>
    <s v="KiwiBank"/>
    <s v="Saving"/>
    <s v="38-9016-xxxx-00"/>
    <d v="2023-08-24T00:00:00"/>
    <s v="PAY AklCouncil ;228965DpsA2A AklCouncil 12345853594"/>
    <n v="-2657.84"/>
    <x v="4"/>
    <x v="28"/>
    <x v="43"/>
  </r>
  <r>
    <s v="KiwiBank"/>
    <s v="Saving"/>
    <s v="38-9016-xxxx-00"/>
    <d v="2023-08-24T00:00:00"/>
    <s v="Direct Debit -INLAND REVENUE DEPARTMENT ;Ref: 2124987008 I IT 113165197 INC"/>
    <n v="-459.44"/>
    <x v="12"/>
    <x v="27"/>
    <x v="41"/>
  </r>
  <r>
    <s v="KiwiBank"/>
    <s v="Saving"/>
    <s v="38-9016-xxxx-00"/>
    <d v="2023-08-25T00:00:00"/>
    <s v="Bill Payment MJ ANZ ALAVI SEYED M ;Ref: MJ ANZ ALAVI SEYED M"/>
    <n v="1384.13"/>
    <x v="1"/>
    <x v="24"/>
    <x v="1"/>
  </r>
  <r>
    <s v="KiwiBank"/>
    <s v="Saving"/>
    <s v="38-9016-xxxx-00"/>
    <d v="2023-08-25T00:00:00"/>
    <s v="TRANSFER TO S TAEBI - 01 ;"/>
    <n v="-338.75"/>
    <x v="1"/>
    <x v="24"/>
    <x v="1"/>
  </r>
  <r>
    <s v="KiwiBank"/>
    <s v="Saving"/>
    <s v="38-9016-xxxx-00"/>
    <d v="2023-08-25T00:00:00"/>
    <s v="TRANSFER TO S TAEBI - 01 ;"/>
    <n v="-526.39"/>
    <x v="1"/>
    <x v="24"/>
    <x v="1"/>
  </r>
  <r>
    <s v="KiwiBank"/>
    <s v="Saving"/>
    <s v="38-9016-xxxx-00"/>
    <d v="2023-08-25T00:00:00"/>
    <s v="Salary KIWIBANK FORTNIGHT ;"/>
    <n v="950.68"/>
    <x v="11"/>
    <x v="22"/>
    <x v="38"/>
  </r>
  <r>
    <s v="KiwiBank"/>
    <s v="Saving"/>
    <s v="38-9016-xxxx-00"/>
    <d v="2023-08-25T00:00:00"/>
    <s v="AP#18495353 TO S TAEBI  S M ALAVI ;Transfer to S TAEBI  S M ALAVI - 06"/>
    <n v="-960.65"/>
    <x v="1"/>
    <x v="24"/>
    <x v="1"/>
  </r>
  <r>
    <s v="KiwiBank"/>
    <s v="Saving"/>
    <s v="38-9016-xxxx-00"/>
    <d v="2023-08-25T00:00:00"/>
    <s v="AP#18495354 TO S TAEBI  S M ALAVI ;Transfer to S TAEBI  S M ALAVI - 07"/>
    <n v="-1986.42"/>
    <x v="1"/>
    <x v="24"/>
    <x v="1"/>
  </r>
  <r>
    <s v="KiwiBank"/>
    <s v="Saving"/>
    <s v="38-9016-xxxx-00"/>
    <d v="2023-08-25T00:00:00"/>
    <s v="AP#20595693 TO S TAEBI  S M ALAVI ;Transfer to S TAEBI  S M ALAVI - 08"/>
    <n v="-518.89"/>
    <x v="1"/>
    <x v="24"/>
    <x v="1"/>
  </r>
  <r>
    <s v="KiwiBank"/>
    <s v="Saving"/>
    <s v="38-9016-xxxx-00"/>
    <d v="2023-08-26T00:00:00"/>
    <s v="PAY MJ ASB ;"/>
    <n v="-108.28"/>
    <x v="1"/>
    <x v="24"/>
    <x v="1"/>
  </r>
  <r>
    <s v="KiwiBank"/>
    <s v="Saving"/>
    <s v="38-9016-xxxx-00"/>
    <d v="2023-08-30T00:00:00"/>
    <s v="Salary KIWIBANK FORTNIGHT ;"/>
    <n v="2786.97"/>
    <x v="11"/>
    <x v="22"/>
    <x v="38"/>
  </r>
  <r>
    <s v="KiwiBank"/>
    <s v="Saving"/>
    <s v="38-9016-xxxx-00"/>
    <d v="2023-08-30T00:00:00"/>
    <s v="Bill Payment MJ ANZ ALAVI SEYED M ;Ref: MJ ANZ ALAVI SEYED M"/>
    <n v="1567.69"/>
    <x v="1"/>
    <x v="24"/>
    <x v="1"/>
  </r>
  <r>
    <s v="KiwiBank"/>
    <s v="Saving"/>
    <s v="38-9016-xxxx-00"/>
    <d v="2023-08-30T00:00:00"/>
    <s v="Direct Credit MJ ASB MR S M ALAVI ;Ref: MJ ASB MR S M ALAVI"/>
    <n v="414.29"/>
    <x v="1"/>
    <x v="24"/>
    <x v="1"/>
  </r>
  <r>
    <s v="KiwiBank"/>
    <s v="Saving"/>
    <s v="38-9016-xxxx-00"/>
    <d v="2023-08-30T00:00:00"/>
    <s v="Direct Credit MJ ASB MR S M ALAVI ;Ref: MJ ASB MR S M ALAVI"/>
    <n v="675.12"/>
    <x v="1"/>
    <x v="24"/>
    <x v="1"/>
  </r>
  <r>
    <s v="KiwiBank"/>
    <s v="Saving"/>
    <s v="38-9016-xxxx-00"/>
    <d v="2023-08-30T00:00:00"/>
    <s v="TRANSFER TO S TAEBI - 01 ;"/>
    <n v="-431.76"/>
    <x v="1"/>
    <x v="24"/>
    <x v="1"/>
  </r>
  <r>
    <s v="KiwiBank"/>
    <s v="Saving"/>
    <s v="38-9016-xxxx-00"/>
    <d v="2023-08-30T00:00:00"/>
    <s v="AP#18696077 TO HSBC ;HSBC 5B-Cleary"/>
    <n v="-1330"/>
    <x v="1"/>
    <x v="24"/>
    <x v="1"/>
  </r>
  <r>
    <s v="KiwiBank"/>
    <s v="Saving"/>
    <s v="38-9016-xxxx-00"/>
    <d v="2023-08-31T00:00:00"/>
    <s v="TRF 4833481054851032 ;"/>
    <n v="-3.85"/>
    <x v="1"/>
    <x v="24"/>
    <x v="1"/>
  </r>
  <r>
    <s v="KiwiBank"/>
    <s v="Saving"/>
    <s v="38-9016-xxxx-00"/>
    <d v="2023-09-01T00:00:00"/>
    <s v="TRF 4833481054851032 ;"/>
    <n v="-0.34"/>
    <x v="1"/>
    <x v="24"/>
    <x v="1"/>
  </r>
  <r>
    <s v="KiwiBank"/>
    <s v="Saving"/>
    <s v="38-9016-xxxx-00"/>
    <d v="2023-09-01T00:00:00"/>
    <s v="Direct Debit -SOUTHERN CROSS MEDICAL CARE SOCIETY ;Ref: 23284297 000 030983164"/>
    <n v="-20.99"/>
    <x v="8"/>
    <x v="25"/>
    <x v="39"/>
  </r>
  <r>
    <s v="KiwiBank"/>
    <s v="Saving"/>
    <s v="38-9016-xxxx-00"/>
    <d v="2023-09-02T00:00:00"/>
    <s v="TRF 4833481054851032 ;"/>
    <n v="-137"/>
    <x v="1"/>
    <x v="24"/>
    <x v="1"/>
  </r>
  <r>
    <s v="KiwiBank"/>
    <s v="Saving"/>
    <s v="38-9016-xxxx-00"/>
    <d v="2023-09-02T00:00:00"/>
    <s v="TRF 4833481054851032 ;"/>
    <n v="-6.18"/>
    <x v="1"/>
    <x v="24"/>
    <x v="1"/>
  </r>
  <r>
    <s v="KiwiBank"/>
    <s v="Saving"/>
    <s v="38-9016-xxxx-00"/>
    <d v="2023-09-03T00:00:00"/>
    <s v="TRF 4833481054851032 ;"/>
    <n v="-106.58"/>
    <x v="1"/>
    <x v="24"/>
    <x v="1"/>
  </r>
  <r>
    <s v="KiwiBank"/>
    <s v="Saving"/>
    <s v="38-9016-xxxx-00"/>
    <d v="2023-09-03T00:00:00"/>
    <s v="TRANSFER FROM S TAEBI - 01 ;"/>
    <n v="36.29"/>
    <x v="1"/>
    <x v="24"/>
    <x v="1"/>
  </r>
  <r>
    <s v="KiwiBank"/>
    <s v="Saving"/>
    <s v="38-9016-xxxx-00"/>
    <d v="2023-09-05T00:00:00"/>
    <s v="TRF 4833481054851032 ;"/>
    <n v="-7.68"/>
    <x v="1"/>
    <x v="24"/>
    <x v="1"/>
  </r>
  <r>
    <s v="KiwiBank"/>
    <s v="Saving"/>
    <s v="38-9016-xxxx-00"/>
    <d v="2023-09-07T00:00:00"/>
    <s v="TRANSFER FROM S TAEBI - 01 ;"/>
    <n v="2216.06"/>
    <x v="1"/>
    <x v="24"/>
    <x v="1"/>
  </r>
  <r>
    <s v="KiwiBank"/>
    <s v="Saving"/>
    <s v="38-9016-xxxx-00"/>
    <d v="2023-09-07T00:00:00"/>
    <s v="TRF 4833481054851032 ;"/>
    <n v="-668.38"/>
    <x v="1"/>
    <x v="24"/>
    <x v="1"/>
  </r>
  <r>
    <s v="KiwiBank"/>
    <s v="Saving"/>
    <s v="38-9016-xxxx-00"/>
    <d v="2023-09-07T00:00:00"/>
    <s v="TRANSFER FROM S TAEBI - 01 ;"/>
    <n v="852.88"/>
    <x v="1"/>
    <x v="24"/>
    <x v="1"/>
  </r>
  <r>
    <s v="KiwiBank"/>
    <s v="Saving"/>
    <s v="38-9016-xxxx-00"/>
    <d v="2023-09-07T00:00:00"/>
    <s v="TRANSFER FROM S TAEBI - 01 ;"/>
    <n v="312"/>
    <x v="1"/>
    <x v="24"/>
    <x v="1"/>
  </r>
  <r>
    <s v="KiwiBank"/>
    <s v="Saving"/>
    <s v="38-9016-xxxx-00"/>
    <d v="2023-09-07T00:00:00"/>
    <s v="PAY MJ ASB ;"/>
    <n v="-254.95"/>
    <x v="1"/>
    <x v="24"/>
    <x v="1"/>
  </r>
  <r>
    <s v="KiwiBank"/>
    <s v="Saving"/>
    <s v="38-9016-xxxx-00"/>
    <d v="2023-09-07T00:00:00"/>
    <s v="Bill Payment MJ ANZ ALAVI SEYED M ;Ref: MJ ANZ ALAVI SEYED M"/>
    <n v="1269.33"/>
    <x v="1"/>
    <x v="24"/>
    <x v="1"/>
  </r>
  <r>
    <s v="KiwiBank"/>
    <s v="Saving"/>
    <s v="38-9016-xxxx-00"/>
    <d v="2023-09-08T00:00:00"/>
    <s v="TRANSFER FROM S TAEBI - 01 ;"/>
    <n v="143.96"/>
    <x v="1"/>
    <x v="24"/>
    <x v="1"/>
  </r>
  <r>
    <s v="KiwiBank"/>
    <s v="Saving"/>
    <s v="38-9016-xxxx-00"/>
    <d v="2023-09-08T00:00:00"/>
    <s v="TRF 4833481054851032 ;"/>
    <n v="-14.49"/>
    <x v="1"/>
    <x v="24"/>
    <x v="1"/>
  </r>
  <r>
    <s v="KiwiBank"/>
    <s v="Saving"/>
    <s v="38-9016-xxxx-00"/>
    <d v="2023-09-08T00:00:00"/>
    <s v="AP#18495353 TO S TAEBI  S M ALAVI ;Transfer to S TAEBI  S M ALAVI - 06"/>
    <n v="-1474.06"/>
    <x v="1"/>
    <x v="24"/>
    <x v="1"/>
  </r>
  <r>
    <s v="KiwiBank"/>
    <s v="Saving"/>
    <s v="38-9016-xxxx-00"/>
    <d v="2023-09-08T00:00:00"/>
    <s v="AP#18495354 TO S TAEBI  S M ALAVI ;Transfer to S TAEBI  S M ALAVI - 07"/>
    <n v="-1766.56"/>
    <x v="1"/>
    <x v="24"/>
    <x v="1"/>
  </r>
  <r>
    <s v="KiwiBank"/>
    <s v="Saving"/>
    <s v="38-9016-xxxx-00"/>
    <d v="2023-09-08T00:00:00"/>
    <s v="AP#20595693 TO S TAEBI  S M ALAVI ;Transfer to S TAEBI  S M ALAVI - 08"/>
    <n v="-478.77"/>
    <x v="1"/>
    <x v="24"/>
    <x v="1"/>
  </r>
  <r>
    <s v="KiwiBank"/>
    <s v="Saving"/>
    <s v="38-9016-xxxx-00"/>
    <d v="2023-09-09T00:00:00"/>
    <s v="TRANSFER TO S TAEBI - 01 ;"/>
    <n v="-196.42"/>
    <x v="1"/>
    <x v="24"/>
    <x v="1"/>
  </r>
  <r>
    <s v="KiwiBank"/>
    <s v="Saving"/>
    <s v="38-9016-xxxx-00"/>
    <d v="2023-09-09T00:00:00"/>
    <s v="TRF 4833481054851032 ;"/>
    <n v="-77.89"/>
    <x v="1"/>
    <x v="24"/>
    <x v="1"/>
  </r>
  <r>
    <s v="KiwiBank"/>
    <s v="Saving"/>
    <s v="38-9016-xxxx-00"/>
    <d v="2023-09-09T00:00:00"/>
    <s v="TRANSFER FROM S TAEBI - 01 ;"/>
    <n v="659.47"/>
    <x v="1"/>
    <x v="24"/>
    <x v="1"/>
  </r>
  <r>
    <s v="KiwiBank"/>
    <s v="Saving"/>
    <s v="38-9016-xxxx-00"/>
    <d v="2023-09-09T00:00:00"/>
    <s v="TRF 4833481054851032 ;"/>
    <n v="-585.02"/>
    <x v="1"/>
    <x v="24"/>
    <x v="1"/>
  </r>
  <r>
    <s v="KiwiBank"/>
    <s v="Saving"/>
    <s v="38-9016-xxxx-00"/>
    <d v="2023-09-10T00:00:00"/>
    <s v="TRF 4833481054851032 ;"/>
    <n v="-35.9"/>
    <x v="1"/>
    <x v="24"/>
    <x v="1"/>
  </r>
  <r>
    <s v="KiwiBank"/>
    <s v="Saving"/>
    <s v="38-9016-xxxx-00"/>
    <d v="2023-09-10T00:00:00"/>
    <s v="TRF 4833481054851032 ;"/>
    <n v="-0.31"/>
    <x v="1"/>
    <x v="24"/>
    <x v="1"/>
  </r>
  <r>
    <s v="KiwiBank"/>
    <s v="Saving"/>
    <s v="38-9016-xxxx-00"/>
    <d v="2023-09-10T00:00:00"/>
    <s v="TRANSFER FROM S TAEBI - 01 ;"/>
    <n v="445.81"/>
    <x v="1"/>
    <x v="24"/>
    <x v="1"/>
  </r>
  <r>
    <s v="KiwiBank"/>
    <s v="Saving"/>
    <s v="38-9016-xxxx-00"/>
    <d v="2023-09-10T00:00:00"/>
    <s v="TRF 4833481054851032 ;"/>
    <n v="-89.51"/>
    <x v="1"/>
    <x v="24"/>
    <x v="1"/>
  </r>
  <r>
    <s v="KiwiBank"/>
    <s v="Saving"/>
    <s v="38-9016-xxxx-00"/>
    <d v="2023-09-11T00:00:00"/>
    <s v="TRANSFER TO S M ALAVI  S TAEBI - 00 ;"/>
    <n v="-173.24"/>
    <x v="1"/>
    <x v="24"/>
    <x v="1"/>
  </r>
  <r>
    <s v="KiwiBank"/>
    <s v="Saving"/>
    <s v="38-9016-xxxx-00"/>
    <d v="2023-09-12T00:00:00"/>
    <s v="TRF 4833481054851032 ;"/>
    <n v="-5.14"/>
    <x v="1"/>
    <x v="24"/>
    <x v="1"/>
  </r>
  <r>
    <s v="KiwiBank"/>
    <s v="Saving"/>
    <s v="38-9016-xxxx-00"/>
    <d v="2023-09-13T00:00:00"/>
    <s v="Salary KIWIBANK FORTNIGHT ;"/>
    <n v="5250.49"/>
    <x v="11"/>
    <x v="22"/>
    <x v="38"/>
  </r>
  <r>
    <s v="KiwiBank"/>
    <s v="Saving"/>
    <s v="38-9016-xxxx-00"/>
    <d v="2023-09-13T00:00:00"/>
    <s v="TRF 4833481054851032 ;"/>
    <n v="-61.01"/>
    <x v="1"/>
    <x v="24"/>
    <x v="1"/>
  </r>
  <r>
    <s v="KiwiBank"/>
    <s v="Saving"/>
    <s v="38-9016-xxxx-00"/>
    <d v="2023-09-13T00:00:00"/>
    <s v="Bill Payment MJ ANZ ALAVI SEYED M ;Ref: MJ ANZ ALAVI SEYED M"/>
    <n v="71.2"/>
    <x v="1"/>
    <x v="24"/>
    <x v="1"/>
  </r>
  <r>
    <s v="KiwiBank"/>
    <s v="Saving"/>
    <s v="38-9016-xxxx-00"/>
    <d v="2023-09-13T00:00:00"/>
    <s v="Direct Credit MJ ASB MR S M ALAVI ;Ref: MJ ASB MR S M ALAVI"/>
    <n v="49.8"/>
    <x v="1"/>
    <x v="24"/>
    <x v="1"/>
  </r>
  <r>
    <s v="KiwiBank"/>
    <s v="Saving"/>
    <s v="38-9016-xxxx-00"/>
    <d v="2023-09-13T00:00:00"/>
    <s v="TRANSFER TO S TAEBI - 01 ;"/>
    <n v="-2617.4499999999998"/>
    <x v="1"/>
    <x v="24"/>
    <x v="1"/>
  </r>
  <r>
    <s v="KiwiBank"/>
    <s v="Saving"/>
    <s v="38-9016-xxxx-00"/>
    <d v="2023-09-13T00:00:00"/>
    <s v="TRF 4833481054851032 ;"/>
    <n v="-45.6"/>
    <x v="1"/>
    <x v="24"/>
    <x v="1"/>
  </r>
  <r>
    <s v="KiwiBank"/>
    <s v="Saving"/>
    <s v="38-9016-xxxx-00"/>
    <d v="2023-09-13T00:00:00"/>
    <s v="AP#18696077 TO HSBC ;HSBC 5B-Cleary"/>
    <n v="-1600.46"/>
    <x v="1"/>
    <x v="24"/>
    <x v="1"/>
  </r>
  <r>
    <s v="KiwiBank"/>
    <s v="Saving"/>
    <s v="38-9016-xxxx-00"/>
    <d v="2023-09-15T00:00:00"/>
    <s v="TRF 4833481054851032 ;"/>
    <n v="-146.38"/>
    <x v="1"/>
    <x v="24"/>
    <x v="1"/>
  </r>
  <r>
    <s v="KiwiBank"/>
    <s v="Saving"/>
    <s v="38-9016-xxxx-00"/>
    <d v="2023-09-15T00:00:00"/>
    <s v="TRANSFER FROM S TAEBI - 01 ;"/>
    <n v="116.41"/>
    <x v="1"/>
    <x v="24"/>
    <x v="1"/>
  </r>
  <r>
    <s v="KiwiBank"/>
    <s v="Saving"/>
    <s v="38-9016-xxxx-00"/>
    <d v="2023-09-15T00:00:00"/>
    <s v="TRF 4833481054851032 ;"/>
    <n v="-31.43"/>
    <x v="1"/>
    <x v="24"/>
    <x v="1"/>
  </r>
  <r>
    <s v="KiwiBank"/>
    <s v="Saving"/>
    <s v="38-9016-xxxx-00"/>
    <d v="2023-09-15T00:00:00"/>
    <s v="Direct Credit MJ ASB MR S M ALAVI ;Ref: MJ ASB MR S M ALAVI"/>
    <n v="122.58"/>
    <x v="1"/>
    <x v="24"/>
    <x v="1"/>
  </r>
  <r>
    <s v="KiwiBank"/>
    <s v="Saving"/>
    <s v="38-9016-xxxx-00"/>
    <d v="2023-09-15T00:00:00"/>
    <s v="Direct Debit -SOUTHERN CROSS MEDICAL CARE SOCIETY ;Ref: 23284297 000 031116966"/>
    <n v="-22.19"/>
    <x v="8"/>
    <x v="25"/>
    <x v="39"/>
  </r>
  <r>
    <s v="KiwiBank"/>
    <s v="Saving"/>
    <s v="38-9016-xxxx-00"/>
    <d v="2023-09-16T00:00:00"/>
    <s v="TRANSFER FROM S TAEBI - 01 ;"/>
    <n v="1375.04"/>
    <x v="1"/>
    <x v="24"/>
    <x v="1"/>
  </r>
  <r>
    <s v="KiwiBank"/>
    <s v="Saving"/>
    <s v="38-9016-xxxx-00"/>
    <d v="2023-09-16T00:00:00"/>
    <s v="TRF 4833481054851032 ;"/>
    <n v="-848.84"/>
    <x v="1"/>
    <x v="24"/>
    <x v="1"/>
  </r>
  <r>
    <s v="KiwiBank"/>
    <s v="Saving"/>
    <s v="38-9016-xxxx-00"/>
    <d v="2023-09-20T00:00:00"/>
    <s v="Direct Credit MJ ASB MR S M ALAVI ;Ref: MJ ASB MR S M ALAVI"/>
    <n v="439.2"/>
    <x v="1"/>
    <x v="24"/>
    <x v="1"/>
  </r>
  <r>
    <s v="KiwiBank"/>
    <s v="Saving"/>
    <s v="38-9016-xxxx-00"/>
    <d v="2023-09-20T00:00:00"/>
    <s v="Direct Credit 00105706023900051988883ENTRUST NEW ENTRUST NEW ZEALAND ;Ref: 00105706023900051988883ENTRUST NEW ENTRUST NEW ZEALAND"/>
    <n v="398.5"/>
    <x v="13"/>
    <x v="24"/>
    <x v="42"/>
  </r>
  <r>
    <s v="KiwiBank"/>
    <s v="Saving"/>
    <s v="38-9016-xxxx-00"/>
    <d v="2023-09-21T00:00:00"/>
    <s v="PAY MJ ASB ;"/>
    <n v="-70.540000000000006"/>
    <x v="1"/>
    <x v="24"/>
    <x v="1"/>
  </r>
  <r>
    <s v="KiwiBank"/>
    <s v="Saving"/>
    <s v="38-9016-xxxx-00"/>
    <d v="2023-09-21T00:00:00"/>
    <s v="TRANSFER FROM S TAEBI - 01 ;"/>
    <n v="2547.69"/>
    <x v="1"/>
    <x v="24"/>
    <x v="1"/>
  </r>
  <r>
    <s v="KiwiBank"/>
    <s v="Saving"/>
    <s v="38-9016-xxxx-00"/>
    <d v="2023-09-21T00:00:00"/>
    <s v="Bill Payment MJ ANZ ALAVI SEYED M ;Ref: MJ ANZ ALAVI SEYED M"/>
    <n v="589.72"/>
    <x v="1"/>
    <x v="24"/>
    <x v="1"/>
  </r>
  <r>
    <s v="KiwiBank"/>
    <s v="Saving"/>
    <s v="38-9016-xxxx-00"/>
    <d v="2023-09-21T00:00:00"/>
    <s v="TRF 4833481054851032 ;"/>
    <n v="-453.35"/>
    <x v="1"/>
    <x v="24"/>
    <x v="1"/>
  </r>
  <r>
    <s v="KiwiBank"/>
    <s v="Saving"/>
    <s v="38-9016-xxxx-00"/>
    <d v="2023-09-21T00:00:00"/>
    <s v="TRF 4833481054851032 ;"/>
    <n v="-228.55"/>
    <x v="1"/>
    <x v="24"/>
    <x v="1"/>
  </r>
  <r>
    <s v="KiwiBank"/>
    <s v="Saving"/>
    <s v="38-9016-xxxx-00"/>
    <d v="2023-09-22T00:00:00"/>
    <s v="TRF 4833481054851032 ;"/>
    <n v="-120.77"/>
    <x v="1"/>
    <x v="24"/>
    <x v="1"/>
  </r>
  <r>
    <s v="KiwiBank"/>
    <s v="Saving"/>
    <s v="38-9016-xxxx-00"/>
    <d v="2023-09-22T00:00:00"/>
    <s v="AP#18495353 TO S TAEBI  S M ALAVI ;Transfer to S TAEBI  S M ALAVI - 06"/>
    <n v="-168.52"/>
    <x v="1"/>
    <x v="24"/>
    <x v="1"/>
  </r>
  <r>
    <s v="KiwiBank"/>
    <s v="Saving"/>
    <s v="38-9016-xxxx-00"/>
    <d v="2023-09-22T00:00:00"/>
    <s v="AP#18495354 TO S TAEBI  S M ALAVI ;Transfer to S TAEBI  S M ALAVI - 07"/>
    <n v="-2037.83"/>
    <x v="1"/>
    <x v="24"/>
    <x v="1"/>
  </r>
  <r>
    <s v="KiwiBank"/>
    <s v="Saving"/>
    <s v="38-9016-xxxx-00"/>
    <d v="2023-09-22T00:00:00"/>
    <s v="AP#20595693 TO S TAEBI  S M ALAVI ;Transfer to S TAEBI  S M ALAVI - 08"/>
    <n v="-52.07"/>
    <x v="1"/>
    <x v="24"/>
    <x v="1"/>
  </r>
  <r>
    <s v="KiwiBank"/>
    <s v="Saving"/>
    <s v="38-9016-xxxx-00"/>
    <d v="2023-09-24T00:00:00"/>
    <s v="TRF 4833481054851032 ;"/>
    <n v="-20.87"/>
    <x v="1"/>
    <x v="24"/>
    <x v="1"/>
  </r>
  <r>
    <s v="KiwiBank"/>
    <s v="Saving"/>
    <s v="38-9016-xxxx-00"/>
    <d v="2023-09-25T00:00:00"/>
    <s v="TRF 4833481054851032 ;"/>
    <n v="-11.4"/>
    <x v="1"/>
    <x v="24"/>
    <x v="1"/>
  </r>
  <r>
    <s v="KiwiBank"/>
    <s v="Saving"/>
    <s v="38-9016-xxxx-00"/>
    <d v="2023-09-26T00:00:00"/>
    <s v="TRF 4833481054851032 ;"/>
    <n v="-37.270000000000003"/>
    <x v="1"/>
    <x v="24"/>
    <x v="1"/>
  </r>
  <r>
    <s v="KiwiBank"/>
    <s v="Saving"/>
    <s v="38-9016-xxxx-00"/>
    <d v="2023-09-26T00:00:00"/>
    <s v="TRF 4833481054851032 ;"/>
    <n v="-77.77"/>
    <x v="1"/>
    <x v="24"/>
    <x v="1"/>
  </r>
  <r>
    <s v="KiwiBank"/>
    <s v="Saving"/>
    <s v="38-9016-xxxx-00"/>
    <d v="2023-09-27T00:00:00"/>
    <s v="Salary KIWIBANK FORTNIGHT ;"/>
    <n v="3721.19"/>
    <x v="11"/>
    <x v="22"/>
    <x v="38"/>
  </r>
  <r>
    <s v="KiwiBank"/>
    <s v="Saving"/>
    <s v="38-9016-xxxx-00"/>
    <d v="2023-09-27T00:00:00"/>
    <s v="Bill Payment MJ ANZ ALAVI SEYED M ;Ref: MJ ANZ ALAVI SEYED M"/>
    <n v="1538.79"/>
    <x v="1"/>
    <x v="24"/>
    <x v="1"/>
  </r>
  <r>
    <s v="KiwiBank"/>
    <s v="Saving"/>
    <s v="38-9016-xxxx-00"/>
    <d v="2023-09-27T00:00:00"/>
    <s v="TRF 4833481054851032 ;"/>
    <n v="-0.84"/>
    <x v="1"/>
    <x v="24"/>
    <x v="1"/>
  </r>
  <r>
    <s v="KiwiBank"/>
    <s v="Saving"/>
    <s v="38-9016-xxxx-00"/>
    <d v="2023-09-27T00:00:00"/>
    <s v="Direct Credit MJ ASB MR S M ALAVI ;Ref: MJ ASB MR S M ALAVI"/>
    <n v="211.05"/>
    <x v="1"/>
    <x v="24"/>
    <x v="1"/>
  </r>
  <r>
    <s v="KiwiBank"/>
    <s v="Saving"/>
    <s v="38-9016-xxxx-00"/>
    <d v="2023-09-27T00:00:00"/>
    <s v="TRANSFER TO S TAEBI - 01 ;"/>
    <n v="-3117.78"/>
    <x v="1"/>
    <x v="24"/>
    <x v="1"/>
  </r>
  <r>
    <s v="KiwiBank"/>
    <s v="Saving"/>
    <s v="38-9016-xxxx-00"/>
    <d v="2023-09-27T00:00:00"/>
    <s v="AP#18696077 TO HSBC ;HSBC 5B-Cleary"/>
    <n v="-1686.36"/>
    <x v="1"/>
    <x v="24"/>
    <x v="1"/>
  </r>
  <r>
    <s v="KiwiBank"/>
    <s v="Saving"/>
    <s v="38-9016-xxxx-00"/>
    <d v="2023-09-29T00:00:00"/>
    <s v="TRF 4833481054851032 ;"/>
    <n v="-0.02"/>
    <x v="1"/>
    <x v="24"/>
    <x v="1"/>
  </r>
  <r>
    <s v="KiwiBank"/>
    <s v="Saving"/>
    <s v="38-9016-xxxx-00"/>
    <d v="2023-09-29T00:00:00"/>
    <s v="Direct Debit -SOUTHERN CROSS MEDICAL CARE SOCIETY ;Ref: 23284297 000 031248332"/>
    <n v="-0.48"/>
    <x v="8"/>
    <x v="25"/>
    <x v="39"/>
  </r>
  <r>
    <s v="KiwiBank"/>
    <s v="Saving"/>
    <s v="38-9016-xxxx-00"/>
    <d v="2023-09-30T00:00:00"/>
    <s v="TRF 4833481054851032 ;"/>
    <n v="-21.59"/>
    <x v="1"/>
    <x v="24"/>
    <x v="1"/>
  </r>
  <r>
    <s v="KiwiBank"/>
    <s v="Saving"/>
    <s v="38-9016-xxxx-00"/>
    <d v="2023-10-04T00:00:00"/>
    <s v="TRANSFER FROM S TAEBI - 01 ;"/>
    <n v="64.56"/>
    <x v="1"/>
    <x v="24"/>
    <x v="1"/>
  </r>
  <r>
    <s v="KiwiBank"/>
    <s v="Saving"/>
    <s v="38-9016-xxxx-00"/>
    <d v="2023-10-04T00:00:00"/>
    <s v="TRANSFER FROM S TAEBI - 01 ;"/>
    <n v="764.34"/>
    <x v="1"/>
    <x v="24"/>
    <x v="1"/>
  </r>
  <r>
    <s v="KiwiBank"/>
    <s v="Saving"/>
    <s v="38-9016-xxxx-00"/>
    <d v="2023-10-04T00:00:00"/>
    <s v="Direct Credit MJ ASB MR S M ALAVI ;Ref: MJ ASB MR S M ALAVI"/>
    <n v="129.29"/>
    <x v="1"/>
    <x v="24"/>
    <x v="1"/>
  </r>
  <r>
    <s v="KiwiBank"/>
    <s v="Saving"/>
    <s v="38-9016-xxxx-00"/>
    <d v="2023-10-05T00:00:00"/>
    <s v="TRF 4833481054851032 ;"/>
    <n v="-4.05"/>
    <x v="1"/>
    <x v="24"/>
    <x v="1"/>
  </r>
  <r>
    <s v="KiwiBank"/>
    <s v="Saving"/>
    <s v="38-9016-xxxx-00"/>
    <d v="2023-10-05T00:00:00"/>
    <s v="Direct Credit MJ ASB MR S M ALAVI ;Ref: MJ ASB MR S M ALAVI"/>
    <n v="42.5"/>
    <x v="1"/>
    <x v="24"/>
    <x v="1"/>
  </r>
  <r>
    <s v="KiwiBank"/>
    <s v="Saving"/>
    <s v="38-9016-xxxx-00"/>
    <d v="2023-10-05T00:00:00"/>
    <s v="TRF 4833481054851032 ;"/>
    <n v="-10.24"/>
    <x v="1"/>
    <x v="24"/>
    <x v="1"/>
  </r>
  <r>
    <s v="KiwiBank"/>
    <s v="Saving"/>
    <s v="38-9016-xxxx-00"/>
    <d v="2023-10-06T00:00:00"/>
    <s v="TRANSFER FROM S TAEBI - 01 ;"/>
    <n v="260.88"/>
    <x v="1"/>
    <x v="24"/>
    <x v="1"/>
  </r>
  <r>
    <s v="KiwiBank"/>
    <s v="Saving"/>
    <s v="38-9016-xxxx-00"/>
    <d v="2023-10-06T00:00:00"/>
    <s v="TRF 4833481054851032 ;"/>
    <n v="-309.44"/>
    <x v="1"/>
    <x v="24"/>
    <x v="1"/>
  </r>
  <r>
    <s v="KiwiBank"/>
    <s v="Saving"/>
    <s v="38-9016-xxxx-00"/>
    <d v="2023-10-06T00:00:00"/>
    <s v="AP#18495353 TO S TAEBI  S M ALAVI ;Transfer to S TAEBI  S M ALAVI - 06"/>
    <n v="-785.4"/>
    <x v="1"/>
    <x v="24"/>
    <x v="1"/>
  </r>
  <r>
    <s v="KiwiBank"/>
    <s v="Saving"/>
    <s v="38-9016-xxxx-00"/>
    <d v="2023-10-06T00:00:00"/>
    <s v="AP#18495354 TO S TAEBI  S M ALAVI ;Transfer to S TAEBI  S M ALAVI - 07"/>
    <n v="-1580.73"/>
    <x v="1"/>
    <x v="24"/>
    <x v="1"/>
  </r>
  <r>
    <s v="KiwiBank"/>
    <s v="Saving"/>
    <s v="38-9016-xxxx-00"/>
    <d v="2023-10-06T00:00:00"/>
    <s v="AP#20595693 TO S TAEBI  S M ALAVI ;Transfer to S TAEBI  S M ALAVI - 08"/>
    <n v="-90.83"/>
    <x v="1"/>
    <x v="24"/>
    <x v="1"/>
  </r>
  <r>
    <s v="KiwiBank"/>
    <s v="Saving"/>
    <s v="38-9016-xxxx-00"/>
    <d v="2023-10-07T00:00:00"/>
    <s v="TRF 4833481054851032 ;"/>
    <n v="-9.2200000000000006"/>
    <x v="1"/>
    <x v="24"/>
    <x v="1"/>
  </r>
  <r>
    <s v="KiwiBank"/>
    <s v="Saving"/>
    <s v="38-9016-xxxx-00"/>
    <d v="2023-10-07T00:00:00"/>
    <s v="TRF 4833481054851032 ;"/>
    <n v="-117.2"/>
    <x v="1"/>
    <x v="24"/>
    <x v="1"/>
  </r>
  <r>
    <s v="KiwiBank"/>
    <s v="Saving"/>
    <s v="38-9016-xxxx-00"/>
    <d v="2023-10-07T00:00:00"/>
    <s v="TRF 4833481054851032 ;"/>
    <n v="-44.04"/>
    <x v="1"/>
    <x v="24"/>
    <x v="1"/>
  </r>
  <r>
    <s v="KiwiBank"/>
    <s v="Saving"/>
    <s v="38-9016-xxxx-00"/>
    <d v="2023-10-11T00:00:00"/>
    <s v="Salary KIWIBANK FORTNIGHT ;"/>
    <n v="816.06"/>
    <x v="11"/>
    <x v="22"/>
    <x v="38"/>
  </r>
  <r>
    <s v="KiwiBank"/>
    <s v="Saving"/>
    <s v="38-9016-xxxx-00"/>
    <d v="2023-10-11T00:00:00"/>
    <s v="Direct Credit MJ ASB MR S M ALAVI ;Ref: MJ ASB MR S M ALAVI"/>
    <n v="803.21"/>
    <x v="1"/>
    <x v="24"/>
    <x v="1"/>
  </r>
  <r>
    <s v="KiwiBank"/>
    <s v="Saving"/>
    <s v="38-9016-xxxx-00"/>
    <d v="2023-10-11T00:00:00"/>
    <s v="TRF 4833481054851032 ;"/>
    <n v="-277.62"/>
    <x v="1"/>
    <x v="24"/>
    <x v="1"/>
  </r>
  <r>
    <s v="KiwiBank"/>
    <s v="Saving"/>
    <s v="38-9016-xxxx-00"/>
    <d v="2023-10-11T00:00:00"/>
    <s v="Bill Payment MJ ANZ ALAVI SEYED M ;Ref: MJ ANZ ALAVI SEYED M"/>
    <n v="1003.13"/>
    <x v="1"/>
    <x v="24"/>
    <x v="1"/>
  </r>
  <r>
    <s v="KiwiBank"/>
    <s v="Saving"/>
    <s v="38-9016-xxxx-00"/>
    <d v="2023-10-11T00:00:00"/>
    <s v="TRANSFER TO S TAEBI - 01 ;"/>
    <n v="-1883.59"/>
    <x v="1"/>
    <x v="24"/>
    <x v="1"/>
  </r>
  <r>
    <s v="KiwiBank"/>
    <s v="Saving"/>
    <s v="38-9016-xxxx-00"/>
    <d v="2023-10-11T00:00:00"/>
    <s v="TRF 4833481054851032 ;"/>
    <n v="-215.74"/>
    <x v="1"/>
    <x v="24"/>
    <x v="1"/>
  </r>
  <r>
    <s v="KiwiBank"/>
    <s v="Saving"/>
    <s v="38-9016-xxxx-00"/>
    <d v="2023-10-11T00:00:00"/>
    <s v="AP#18696077 TO HSBC ;HSBC 5B-Cleary"/>
    <n v="-198.87"/>
    <x v="1"/>
    <x v="24"/>
    <x v="1"/>
  </r>
  <r>
    <s v="KiwiBank"/>
    <s v="Saving"/>
    <s v="38-9016-xxxx-00"/>
    <d v="2023-10-13T00:00:00"/>
    <s v="Direct Debit -SOUTHERN CROSS MEDICAL CARE SOCIETY ;Ref: 23284297 000 031380392"/>
    <n v="-8.92"/>
    <x v="8"/>
    <x v="25"/>
    <x v="39"/>
  </r>
  <r>
    <s v="KiwiBank"/>
    <s v="Saving"/>
    <s v="38-9016-xxxx-00"/>
    <d v="2023-10-15T00:00:00"/>
    <s v="PAY mina ;"/>
    <n v="-176.76"/>
    <x v="4"/>
    <x v="12"/>
    <x v="12"/>
  </r>
  <r>
    <s v="KiwiBank"/>
    <s v="Saving"/>
    <s v="38-9016-xxxx-00"/>
    <d v="2023-10-19T00:00:00"/>
    <s v="TRANSFER FROM S TAEBI - 01 ;"/>
    <n v="2675.98"/>
    <x v="1"/>
    <x v="24"/>
    <x v="1"/>
  </r>
  <r>
    <s v="KiwiBank"/>
    <s v="Saving"/>
    <s v="38-9016-xxxx-00"/>
    <d v="2023-10-19T00:00:00"/>
    <s v="Direct Credit MJ ASB MR S M ALAVI ;Ref: MJ ASB MR S M ALAVI"/>
    <n v="308.93"/>
    <x v="1"/>
    <x v="24"/>
    <x v="1"/>
  </r>
  <r>
    <s v="KiwiBank"/>
    <s v="Saving"/>
    <s v="38-9016-xxxx-00"/>
    <d v="2023-10-20T00:00:00"/>
    <s v="TRANSFER FROM S TAEBI - 01 ;"/>
    <n v="518.02"/>
    <x v="1"/>
    <x v="24"/>
    <x v="1"/>
  </r>
  <r>
    <s v="KiwiBank"/>
    <s v="Saving"/>
    <s v="38-9016-xxxx-00"/>
    <d v="2023-10-20T00:00:00"/>
    <s v="TRF 4833481054851032 ;"/>
    <n v="-211.28"/>
    <x v="1"/>
    <x v="24"/>
    <x v="1"/>
  </r>
  <r>
    <s v="KiwiBank"/>
    <s v="Saving"/>
    <s v="38-9016-xxxx-00"/>
    <d v="2023-10-20T00:00:00"/>
    <s v="AP#18495353 TO S TAEBI  S M ALAVI ;Transfer to S TAEBI  S M ALAVI - 06"/>
    <n v="-1145.6400000000001"/>
    <x v="1"/>
    <x v="24"/>
    <x v="1"/>
  </r>
  <r>
    <s v="KiwiBank"/>
    <s v="Saving"/>
    <s v="38-9016-xxxx-00"/>
    <d v="2023-10-20T00:00:00"/>
    <s v="AP#18495354 TO S TAEBI  S M ALAVI ;Transfer to S TAEBI  S M ALAVI - 07"/>
    <n v="-341.93"/>
    <x v="1"/>
    <x v="24"/>
    <x v="1"/>
  </r>
  <r>
    <s v="KiwiBank"/>
    <s v="Saving"/>
    <s v="38-9016-xxxx-00"/>
    <d v="2023-10-20T00:00:00"/>
    <s v="AP#20595693 TO S TAEBI  S M ALAVI ;Transfer to S TAEBI  S M ALAVI - 08"/>
    <n v="-120.18"/>
    <x v="1"/>
    <x v="24"/>
    <x v="1"/>
  </r>
  <r>
    <s v="KiwiBank"/>
    <s v="Saving"/>
    <s v="38-9016-xxxx-00"/>
    <d v="2023-10-21T00:00:00"/>
    <s v="TRF 4833481054851032 ;"/>
    <n v="-84.33"/>
    <x v="1"/>
    <x v="24"/>
    <x v="1"/>
  </r>
  <r>
    <s v="KiwiBank"/>
    <s v="Saving"/>
    <s v="38-9016-xxxx-00"/>
    <d v="2023-10-21T00:00:00"/>
    <s v="Direct Credit MJ ASB MR S M ALAVI ;Ref: MJ ASB MR S M ALAVI"/>
    <n v="123.08"/>
    <x v="1"/>
    <x v="24"/>
    <x v="1"/>
  </r>
  <r>
    <s v="KiwiBank"/>
    <s v="Saving"/>
    <s v="38-9016-xxxx-00"/>
    <d v="2023-10-21T00:00:00"/>
    <s v="TRF 4833481054851032 ;"/>
    <n v="-38.19"/>
    <x v="1"/>
    <x v="24"/>
    <x v="1"/>
  </r>
  <r>
    <s v="KiwiBank"/>
    <s v="Saving"/>
    <s v="38-9016-xxxx-00"/>
    <d v="2023-10-22T00:00:00"/>
    <s v="TRANSFER FROM S TAEBI - 01 ;"/>
    <n v="509.64"/>
    <x v="1"/>
    <x v="24"/>
    <x v="1"/>
  </r>
  <r>
    <s v="KiwiBank"/>
    <s v="Saving"/>
    <s v="38-9016-xxxx-00"/>
    <d v="2023-10-22T00:00:00"/>
    <s v="TRF 4833481054851032 ;"/>
    <n v="-307"/>
    <x v="1"/>
    <x v="24"/>
    <x v="1"/>
  </r>
  <r>
    <s v="KiwiBank"/>
    <s v="Saving"/>
    <s v="38-9016-xxxx-00"/>
    <d v="2023-10-23T00:00:00"/>
    <s v="TRANSFER FROM S TAEBI - 01 ;"/>
    <n v="382.37"/>
    <x v="1"/>
    <x v="24"/>
    <x v="1"/>
  </r>
  <r>
    <s v="KiwiBank"/>
    <s v="Saving"/>
    <s v="38-9016-xxxx-00"/>
    <d v="2023-10-23T00:00:00"/>
    <s v="TRF 4833481054851032 ;"/>
    <n v="-505.91"/>
    <x v="1"/>
    <x v="24"/>
    <x v="1"/>
  </r>
  <r>
    <s v="KiwiBank"/>
    <s v="Saving"/>
    <s v="38-9016-xxxx-00"/>
    <d v="2023-10-24T00:00:00"/>
    <s v="TRF 4833481054851032 ;"/>
    <n v="-24.46"/>
    <x v="1"/>
    <x v="24"/>
    <x v="1"/>
  </r>
  <r>
    <s v="KiwiBank"/>
    <s v="Saving"/>
    <s v="38-9016-xxxx-00"/>
    <d v="2023-10-25T00:00:00"/>
    <s v="Salary KIWIBANK FORTNIGHT ;"/>
    <n v="1592.61"/>
    <x v="11"/>
    <x v="22"/>
    <x v="38"/>
  </r>
  <r>
    <s v="KiwiBank"/>
    <s v="Saving"/>
    <s v="38-9016-xxxx-00"/>
    <d v="2023-10-25T00:00:00"/>
    <s v="TRF 4833481054851032 ;"/>
    <n v="-55.28"/>
    <x v="1"/>
    <x v="24"/>
    <x v="1"/>
  </r>
  <r>
    <s v="KiwiBank"/>
    <s v="Saving"/>
    <s v="38-9016-xxxx-00"/>
    <d v="2023-10-25T00:00:00"/>
    <s v="TRANSFER TO S TAEBI - 01 ;"/>
    <n v="-3264.85"/>
    <x v="1"/>
    <x v="24"/>
    <x v="1"/>
  </r>
  <r>
    <s v="KiwiBank"/>
    <s v="Saving"/>
    <s v="38-9016-xxxx-00"/>
    <d v="2023-10-25T00:00:00"/>
    <s v="TRF 4833481054851032 ;"/>
    <n v="-49.77"/>
    <x v="1"/>
    <x v="24"/>
    <x v="1"/>
  </r>
  <r>
    <s v="KiwiBank"/>
    <s v="Saving"/>
    <s v="38-9016-xxxx-00"/>
    <d v="2023-10-25T00:00:00"/>
    <s v="Bill Payment MJ ANZ ALAVI SEYED M ;Ref: MJ ANZ ALAVI SEYED M"/>
    <n v="154.49"/>
    <x v="1"/>
    <x v="24"/>
    <x v="1"/>
  </r>
  <r>
    <s v="KiwiBank"/>
    <s v="Saving"/>
    <s v="38-9016-xxxx-00"/>
    <d v="2023-10-25T00:00:00"/>
    <s v="Direct Credit MJ ASB MR S M ALAVI ;Ref: MJ ASB MR S M ALAVI"/>
    <n v="1534.95"/>
    <x v="1"/>
    <x v="24"/>
    <x v="1"/>
  </r>
  <r>
    <s v="KiwiBank"/>
    <s v="Saving"/>
    <s v="38-9016-xxxx-00"/>
    <d v="2023-10-25T00:00:00"/>
    <s v="TRANSFER TO S TAEBI - 01 ;"/>
    <n v="-1708.78"/>
    <x v="1"/>
    <x v="24"/>
    <x v="1"/>
  </r>
  <r>
    <s v="KiwiBank"/>
    <s v="Saving"/>
    <s v="38-9016-xxxx-00"/>
    <d v="2023-10-25T00:00:00"/>
    <s v="Bill Payment NAZERI Y ;"/>
    <n v="25.45"/>
    <x v="3"/>
    <x v="8"/>
    <x v="8"/>
  </r>
  <r>
    <s v="KiwiBank"/>
    <s v="Saving"/>
    <s v="38-9016-xxxx-00"/>
    <d v="2023-10-25T00:00:00"/>
    <s v="AP#18696077 TO HSBC ;HSBC 5B-Cleary"/>
    <n v="-1836.79"/>
    <x v="1"/>
    <x v="24"/>
    <x v="1"/>
  </r>
  <r>
    <s v="KiwiBank"/>
    <s v="Saving"/>
    <s v="38-9016-xxxx-00"/>
    <d v="2023-10-27T00:00:00"/>
    <s v="TRF 4833481054851032 ;"/>
    <n v="-4.5"/>
    <x v="1"/>
    <x v="24"/>
    <x v="1"/>
  </r>
  <r>
    <s v="KiwiBank"/>
    <s v="Saving"/>
    <s v="38-9016-xxxx-00"/>
    <d v="2023-10-27T00:00:00"/>
    <s v="TRF 4833481054851032 ;"/>
    <n v="-38.94"/>
    <x v="1"/>
    <x v="24"/>
    <x v="1"/>
  </r>
  <r>
    <s v="KiwiBank"/>
    <s v="Saving"/>
    <s v="38-9016-xxxx-00"/>
    <d v="2023-10-27T00:00:00"/>
    <s v="Direct Debit -SOUTHERN CROSS MEDICAL CARE SOCIETY ;Ref: 23284297 000 031511058"/>
    <n v="-17.66"/>
    <x v="8"/>
    <x v="25"/>
    <x v="39"/>
  </r>
  <r>
    <s v="KiwiBank"/>
    <s v="Saving"/>
    <s v="38-9016-xxxx-00"/>
    <d v="2023-10-29T00:00:00"/>
    <s v="TRF 4833481054851032 ;"/>
    <n v="-141.56"/>
    <x v="1"/>
    <x v="24"/>
    <x v="1"/>
  </r>
  <r>
    <s v="KiwiBank"/>
    <s v="Saving"/>
    <s v="38-9016-xxxx-00"/>
    <d v="2023-11-01T00:00:00"/>
    <s v="TRF 4833481054851032 ;"/>
    <n v="-0.33"/>
    <x v="1"/>
    <x v="24"/>
    <x v="1"/>
  </r>
  <r>
    <s v="KiwiBank"/>
    <s v="Saving"/>
    <s v="38-9016-xxxx-00"/>
    <d v="2023-11-01T00:00:00"/>
    <s v="TRANSFER FROM S TAEBI - 01 ;"/>
    <n v="59.99"/>
    <x v="1"/>
    <x v="24"/>
    <x v="1"/>
  </r>
  <r>
    <s v="KiwiBank"/>
    <s v="Saving"/>
    <s v="38-9016-xxxx-00"/>
    <d v="2023-11-01T00:00:00"/>
    <s v="TRANSFER FROM S TAEBI - 01 ;"/>
    <n v="2673.15"/>
    <x v="1"/>
    <x v="24"/>
    <x v="1"/>
  </r>
  <r>
    <s v="KiwiBank"/>
    <s v="Saving"/>
    <s v="38-9016-xxxx-00"/>
    <d v="2023-11-01T00:00:00"/>
    <s v="Bill Payment MJ ANZ ALAVI SEYED M ;Ref: MJ ANZ ALAVI SEYED M"/>
    <n v="451.46"/>
    <x v="1"/>
    <x v="24"/>
    <x v="1"/>
  </r>
  <r>
    <s v="KiwiBank"/>
    <s v="Saving"/>
    <s v="38-9016-xxxx-00"/>
    <d v="2023-11-02T00:00:00"/>
    <s v="PAY yasi ;ornament ornament"/>
    <n v="-77.95"/>
    <x v="3"/>
    <x v="8"/>
    <x v="8"/>
  </r>
  <r>
    <s v="KiwiBank"/>
    <s v="Saving"/>
    <s v="38-9016-xxxx-00"/>
    <d v="2023-11-03T00:00:00"/>
    <s v="TRANSFER FROM S TAEBI - 01 ;"/>
    <n v="355.22"/>
    <x v="1"/>
    <x v="24"/>
    <x v="1"/>
  </r>
  <r>
    <s v="KiwiBank"/>
    <s v="Saving"/>
    <s v="38-9016-xxxx-00"/>
    <d v="2023-11-03T00:00:00"/>
    <s v="TRF 4833481054851032 ;"/>
    <n v="-30.77"/>
    <x v="1"/>
    <x v="24"/>
    <x v="1"/>
  </r>
  <r>
    <s v="KiwiBank"/>
    <s v="Saving"/>
    <s v="38-9016-xxxx-00"/>
    <d v="2023-11-03T00:00:00"/>
    <s v="TRF 4833481054851032 ;"/>
    <n v="-70.14"/>
    <x v="1"/>
    <x v="24"/>
    <x v="1"/>
  </r>
  <r>
    <s v="KiwiBank"/>
    <s v="Saving"/>
    <s v="38-9016-xxxx-00"/>
    <d v="2023-11-03T00:00:00"/>
    <s v="AP#18495353 TO S TAEBI  S M ALAVI ;Transfer to S TAEBI  S M ALAVI - 06"/>
    <n v="-142.16"/>
    <x v="1"/>
    <x v="24"/>
    <x v="1"/>
  </r>
  <r>
    <s v="KiwiBank"/>
    <s v="Saving"/>
    <s v="38-9016-xxxx-00"/>
    <d v="2023-11-03T00:00:00"/>
    <s v="AP#18495354 TO S TAEBI  S M ALAVI ;Transfer to S TAEBI  S M ALAVI - 07"/>
    <n v="-1439.6"/>
    <x v="1"/>
    <x v="24"/>
    <x v="1"/>
  </r>
  <r>
    <s v="KiwiBank"/>
    <s v="Saving"/>
    <s v="38-9016-xxxx-00"/>
    <d v="2023-11-03T00:00:00"/>
    <s v="AP#20595693 TO S TAEBI  S M ALAVI ;Transfer to S TAEBI  S M ALAVI - 08"/>
    <n v="-140.46"/>
    <x v="1"/>
    <x v="24"/>
    <x v="1"/>
  </r>
  <r>
    <s v="KiwiBank"/>
    <s v="Saving"/>
    <s v="38-9016-xxxx-00"/>
    <d v="2023-11-04T00:00:00"/>
    <s v="TRF 4833481054851032 ;"/>
    <n v="-54.71"/>
    <x v="1"/>
    <x v="24"/>
    <x v="1"/>
  </r>
  <r>
    <s v="KiwiBank"/>
    <s v="Saving"/>
    <s v="38-9016-xxxx-00"/>
    <d v="2023-11-05T00:00:00"/>
    <s v="TRF 4833481054851032 ;"/>
    <n v="-17.41"/>
    <x v="1"/>
    <x v="24"/>
    <x v="1"/>
  </r>
  <r>
    <s v="KiwiBank"/>
    <s v="Saving"/>
    <s v="38-9016-xxxx-00"/>
    <d v="2023-11-06T00:00:00"/>
    <s v="Direct Credit EFT000146932 MARRAM MARRAM COM OPER ;Ref: EFT000146932 MARRAM MARRAM COM OPER"/>
    <n v="13.31"/>
    <x v="3"/>
    <x v="6"/>
    <x v="6"/>
  </r>
  <r>
    <s v="KiwiBank"/>
    <s v="Saving"/>
    <s v="38-9016-xxxx-00"/>
    <d v="2023-11-06T00:00:00"/>
    <s v="TRF 4833481054851032 ;"/>
    <n v="-28.67"/>
    <x v="1"/>
    <x v="24"/>
    <x v="1"/>
  </r>
  <r>
    <s v="KiwiBank"/>
    <s v="Saving"/>
    <s v="38-9016-xxxx-00"/>
    <d v="2023-11-07T00:00:00"/>
    <s v="TRANSFER FROM S TAEBI - 01 ;"/>
    <n v="449.52"/>
    <x v="1"/>
    <x v="24"/>
    <x v="1"/>
  </r>
  <r>
    <s v="KiwiBank"/>
    <s v="Saving"/>
    <s v="38-9016-xxxx-00"/>
    <d v="2023-11-07T00:00:00"/>
    <s v="TRF 4833481054851032 ;"/>
    <n v="-14.82"/>
    <x v="1"/>
    <x v="24"/>
    <x v="1"/>
  </r>
  <r>
    <s v="KiwiBank"/>
    <s v="Saving"/>
    <s v="38-9016-xxxx-00"/>
    <d v="2023-11-07T00:00:00"/>
    <s v="TRANSFER FROM S TAEBI - 01 ;"/>
    <n v="839.07"/>
    <x v="1"/>
    <x v="24"/>
    <x v="1"/>
  </r>
  <r>
    <s v="KiwiBank"/>
    <s v="Saving"/>
    <s v="38-9016-xxxx-00"/>
    <d v="2023-11-08T00:00:00"/>
    <s v="Salary KIWIBANK FORTNIGHT ;"/>
    <n v="2501"/>
    <x v="11"/>
    <x v="22"/>
    <x v="38"/>
  </r>
  <r>
    <s v="KiwiBank"/>
    <s v="Saving"/>
    <s v="38-9016-xxxx-00"/>
    <d v="2023-11-08T00:00:00"/>
    <s v="TRANSFER TO S TAEBI - 01 ;"/>
    <n v="-1444.37"/>
    <x v="1"/>
    <x v="24"/>
    <x v="1"/>
  </r>
  <r>
    <s v="KiwiBank"/>
    <s v="Saving"/>
    <s v="38-9016-xxxx-00"/>
    <d v="2023-11-08T00:00:00"/>
    <s v="TRF 4833481054851032 ;"/>
    <n v="-0.43"/>
    <x v="1"/>
    <x v="24"/>
    <x v="1"/>
  </r>
  <r>
    <s v="KiwiBank"/>
    <s v="Saving"/>
    <s v="38-9016-xxxx-00"/>
    <d v="2023-11-08T00:00:00"/>
    <s v="Bill Payment MJ ANZ ALAVI SEYED M ;Ref: MJ ANZ ALAVI SEYED M"/>
    <n v="1443.95"/>
    <x v="1"/>
    <x v="24"/>
    <x v="1"/>
  </r>
  <r>
    <s v="KiwiBank"/>
    <s v="Saving"/>
    <s v="38-9016-xxxx-00"/>
    <d v="2023-11-08T00:00:00"/>
    <s v="Direct Credit MJ ASB MR S M ALAVI ;Ref: MJ ASB MR S M ALAVI"/>
    <n v="213.82"/>
    <x v="1"/>
    <x v="24"/>
    <x v="1"/>
  </r>
  <r>
    <s v="KiwiBank"/>
    <s v="Saving"/>
    <s v="38-9016-xxxx-00"/>
    <d v="2023-11-08T00:00:00"/>
    <s v="TRANSFER TO S TAEBI - 01 ;"/>
    <n v="-3097.89"/>
    <x v="1"/>
    <x v="24"/>
    <x v="1"/>
  </r>
  <r>
    <s v="KiwiBank"/>
    <s v="Saving"/>
    <s v="38-9016-xxxx-00"/>
    <d v="2023-11-08T00:00:00"/>
    <s v="Direct Credit MJ ASB MR S M ALAVI ;Ref: MJ ASB MR S M ALAVI"/>
    <n v="36.15"/>
    <x v="1"/>
    <x v="24"/>
    <x v="1"/>
  </r>
  <r>
    <s v="KiwiBank"/>
    <s v="Saving"/>
    <s v="38-9016-xxxx-00"/>
    <d v="2023-11-08T00:00:00"/>
    <s v="AP#18696077 TO HSBC ;HSBC 5B-Cleary"/>
    <n v="-1010.39"/>
    <x v="1"/>
    <x v="24"/>
    <x v="1"/>
  </r>
  <r>
    <s v="KiwiBank"/>
    <s v="Saving"/>
    <s v="38-9016-xxxx-00"/>
    <d v="2023-11-09T00:00:00"/>
    <s v="TRF 4833481054851032 ;"/>
    <n v="-8.75"/>
    <x v="1"/>
    <x v="24"/>
    <x v="1"/>
  </r>
  <r>
    <s v="KiwiBank"/>
    <s v="Saving"/>
    <s v="38-9016-xxxx-00"/>
    <d v="2023-11-09T00:00:00"/>
    <s v="TRANSFER FROM S TAEBI - 01 ;"/>
    <n v="351.78"/>
    <x v="1"/>
    <x v="24"/>
    <x v="1"/>
  </r>
  <r>
    <s v="KiwiBank"/>
    <s v="Saving"/>
    <s v="38-9016-xxxx-00"/>
    <d v="2023-11-09T00:00:00"/>
    <s v="TRF 4833481054851032 ;"/>
    <n v="-22.43"/>
    <x v="1"/>
    <x v="24"/>
    <x v="1"/>
  </r>
  <r>
    <s v="KiwiBank"/>
    <s v="Saving"/>
    <s v="38-9016-xxxx-00"/>
    <d v="2023-11-09T00:00:00"/>
    <s v="TRF 4833481054851032 ;"/>
    <n v="-8.18"/>
    <x v="1"/>
    <x v="24"/>
    <x v="1"/>
  </r>
  <r>
    <s v="KiwiBank"/>
    <s v="Saving"/>
    <s v="38-9016-xxxx-00"/>
    <d v="2023-11-09T00:00:00"/>
    <s v="TRF 4833481054851032 ;"/>
    <n v="-261.32"/>
    <x v="1"/>
    <x v="24"/>
    <x v="1"/>
  </r>
  <r>
    <s v="KiwiBank"/>
    <s v="Saving"/>
    <s v="38-9016-xxxx-00"/>
    <d v="2023-11-09T00:00:00"/>
    <s v="FROM S M ALAVI  S TAEBI ;"/>
    <n v="57.96"/>
    <x v="1"/>
    <x v="24"/>
    <x v="1"/>
  </r>
  <r>
    <s v="KiwiBank"/>
    <s v="Saving"/>
    <s v="38-9016-xxxx-00"/>
    <d v="2023-11-09T00:00:00"/>
    <s v="FROM S M ALAVI  S TAEBI ;"/>
    <n v="476.16"/>
    <x v="1"/>
    <x v="24"/>
    <x v="1"/>
  </r>
  <r>
    <s v="KiwiBank"/>
    <s v="Saving"/>
    <s v="38-9016-xxxx-00"/>
    <d v="2023-11-09T00:00:00"/>
    <s v="TRANSFER TO S M ALAVI  S TAEBI - 00 ;Mortgage 5B Cleary"/>
    <n v="-254.06"/>
    <x v="1"/>
    <x v="24"/>
    <x v="1"/>
  </r>
  <r>
    <s v="KiwiBank"/>
    <s v="Saving"/>
    <s v="38-9016-xxxx-00"/>
    <d v="2023-11-09T00:00:00"/>
    <s v="TRANSFER FROM S TAEBI - 01 ;"/>
    <n v="42.25"/>
    <x v="1"/>
    <x v="24"/>
    <x v="1"/>
  </r>
  <r>
    <s v="KiwiBank"/>
    <s v="Saving"/>
    <s v="38-9016-xxxx-00"/>
    <d v="2023-11-09T00:00:00"/>
    <s v="TRANSFER TO S TAEBI - 01 ;"/>
    <n v="-567.73"/>
    <x v="1"/>
    <x v="24"/>
    <x v="1"/>
  </r>
  <r>
    <s v="KiwiBank"/>
    <s v="Saving"/>
    <s v="38-9016-xxxx-00"/>
    <d v="2023-11-10T00:00:00"/>
    <s v="TRF 4833481054851032 ;"/>
    <n v="-1.62"/>
    <x v="1"/>
    <x v="24"/>
    <x v="1"/>
  </r>
  <r>
    <s v="KiwiBank"/>
    <s v="Saving"/>
    <s v="38-9016-xxxx-00"/>
    <d v="2023-11-10T00:00:00"/>
    <s v="Direct Debit -SOUTHERN CROSS MEDICAL CARE SOCIETY ;Ref: 23284297 000 031642746"/>
    <n v="-0.28000000000000003"/>
    <x v="8"/>
    <x v="25"/>
    <x v="39"/>
  </r>
  <r>
    <s v="KiwiBank"/>
    <s v="Saving"/>
    <s v="38-9016-xxxx-00"/>
    <d v="2023-11-11T00:00:00"/>
    <s v="TRF 4833481054851032 ;"/>
    <n v="-0.14000000000000001"/>
    <x v="1"/>
    <x v="24"/>
    <x v="1"/>
  </r>
  <r>
    <s v="KiwiBank"/>
    <s v="Saving"/>
    <s v="38-9016-xxxx-00"/>
    <d v="2023-11-11T00:00:00"/>
    <s v="TRF 4833481054851032 ;"/>
    <n v="-2.0499999999999998"/>
    <x v="1"/>
    <x v="24"/>
    <x v="1"/>
  </r>
  <r>
    <s v="KiwiBank"/>
    <s v="Saving"/>
    <s v="38-9016-xxxx-00"/>
    <d v="2023-11-12T00:00:00"/>
    <s v="TRANSFER FROM S TAEBI - 01 ;"/>
    <n v="456.38"/>
    <x v="1"/>
    <x v="24"/>
    <x v="1"/>
  </r>
  <r>
    <s v="KiwiBank"/>
    <s v="Saving"/>
    <s v="38-9016-xxxx-00"/>
    <d v="2023-11-12T00:00:00"/>
    <s v="TRF 4833481054851032 ;"/>
    <n v="-43.51"/>
    <x v="1"/>
    <x v="24"/>
    <x v="1"/>
  </r>
  <r>
    <s v="KiwiBank"/>
    <s v="Saving"/>
    <s v="38-9016-xxxx-00"/>
    <d v="2023-11-13T00:00:00"/>
    <s v="TRF 4833481054851032 ;"/>
    <n v="-7.03"/>
    <x v="1"/>
    <x v="24"/>
    <x v="1"/>
  </r>
  <r>
    <s v="KiwiBank"/>
    <s v="Saving"/>
    <s v="38-9016-xxxx-00"/>
    <d v="2023-11-13T00:00:00"/>
    <s v="TRF 4833481054851032 ;"/>
    <n v="-29.56"/>
    <x v="1"/>
    <x v="24"/>
    <x v="1"/>
  </r>
  <r>
    <s v="KiwiBank"/>
    <s v="Saving"/>
    <s v="38-9016-xxxx-00"/>
    <d v="2023-11-15T00:00:00"/>
    <s v="TRANSFER FROM S TAEBI - 01 ;"/>
    <n v="4373.7299999999996"/>
    <x v="1"/>
    <x v="24"/>
    <x v="1"/>
  </r>
  <r>
    <s v="KiwiBank"/>
    <s v="Saving"/>
    <s v="38-9016-xxxx-00"/>
    <d v="2023-11-15T00:00:00"/>
    <s v="FROM S M ALAVI  S TAEBI ;"/>
    <n v="624.69000000000005"/>
    <x v="1"/>
    <x v="24"/>
    <x v="1"/>
  </r>
  <r>
    <s v="KiwiBank"/>
    <s v="Saving"/>
    <s v="38-9016-xxxx-00"/>
    <d v="2023-11-15T00:00:00"/>
    <s v="TRANSFER FROM S TAEBI - 01 ;"/>
    <n v="32.229999999999997"/>
    <x v="1"/>
    <x v="24"/>
    <x v="1"/>
  </r>
  <r>
    <s v="KiwiBank"/>
    <s v="Saving"/>
    <s v="38-9016-xxxx-00"/>
    <d v="2023-11-15T00:00:00"/>
    <s v="TRF 4833481054851032 ;"/>
    <n v="-34.26"/>
    <x v="1"/>
    <x v="24"/>
    <x v="1"/>
  </r>
  <r>
    <s v="KiwiBank"/>
    <s v="Saving"/>
    <s v="38-9016-xxxx-00"/>
    <d v="2023-11-15T00:00:00"/>
    <s v="Bill Payment MJ ANZ ALAVI SEYED M ;Ref: MJ ANZ ALAVI SEYED M"/>
    <n v="1047.57"/>
    <x v="1"/>
    <x v="24"/>
    <x v="1"/>
  </r>
  <r>
    <s v="KiwiBank"/>
    <s v="Saving"/>
    <s v="38-9016-xxxx-00"/>
    <d v="2023-11-15T00:00:00"/>
    <s v="AP#22653868 TO S M ALAVI  S TAEBI ;Pay S M ALAVI  S TAEBI"/>
    <n v="-202.02"/>
    <x v="1"/>
    <x v="24"/>
    <x v="1"/>
  </r>
  <r>
    <s v="KiwiBank"/>
    <s v="Saving"/>
    <s v="38-9016-xxxx-00"/>
    <d v="2023-11-16T00:00:00"/>
    <s v="TRF 4833481054851032 ;"/>
    <n v="-4.46"/>
    <x v="1"/>
    <x v="24"/>
    <x v="1"/>
  </r>
  <r>
    <s v="KiwiBank"/>
    <s v="Saving"/>
    <s v="38-9016-xxxx-00"/>
    <d v="2023-11-16T00:00:00"/>
    <s v="TRANSFER TO S TAEBI - 01 ;"/>
    <n v="-477.57"/>
    <x v="1"/>
    <x v="24"/>
    <x v="1"/>
  </r>
  <r>
    <s v="KiwiBank"/>
    <s v="Saving"/>
    <s v="38-9016-xxxx-00"/>
    <d v="2023-11-16T00:00:00"/>
    <s v="TRF 4833481054851032 ;"/>
    <n v="-15.21"/>
    <x v="1"/>
    <x v="24"/>
    <x v="1"/>
  </r>
  <r>
    <s v="KiwiBank"/>
    <s v="Saving"/>
    <s v="38-9016-xxxx-00"/>
    <d v="2023-11-17T00:00:00"/>
    <s v="AP#18495353 TO S TAEBI  S M ALAVI ;Transfer to S TAEBI  S M ALAVI - 06"/>
    <n v="-673.68"/>
    <x v="1"/>
    <x v="24"/>
    <x v="1"/>
  </r>
  <r>
    <s v="KiwiBank"/>
    <s v="Saving"/>
    <s v="38-9016-xxxx-00"/>
    <d v="2023-11-17T00:00:00"/>
    <s v="AP#18495354 TO S TAEBI  S M ALAVI ;Transfer to S TAEBI  S M ALAVI - 07"/>
    <n v="-84.22"/>
    <x v="1"/>
    <x v="24"/>
    <x v="1"/>
  </r>
  <r>
    <s v="KiwiBank"/>
    <s v="Saving"/>
    <s v="38-9016-xxxx-00"/>
    <d v="2023-11-17T00:00:00"/>
    <s v="AP#20595693 TO S TAEBI  S M ALAVI ;Transfer to S TAEBI  S M ALAVI - 08"/>
    <n v="-277.57"/>
    <x v="1"/>
    <x v="24"/>
    <x v="1"/>
  </r>
  <r>
    <s v="KiwiBank"/>
    <s v="Saving"/>
    <s v="38-9016-xxxx-00"/>
    <d v="2023-11-18T00:00:00"/>
    <s v="TRF 4833481054851032 ;"/>
    <n v="-81.040000000000006"/>
    <x v="1"/>
    <x v="24"/>
    <x v="1"/>
  </r>
  <r>
    <s v="KiwiBank"/>
    <s v="Saving"/>
    <s v="38-9016-xxxx-00"/>
    <d v="2023-11-18T00:00:00"/>
    <s v="Bill Payment MJ ANZ ALAVI SEYED M ;Ref: MJ ANZ ALAVI SEYED M"/>
    <n v="73.44"/>
    <x v="1"/>
    <x v="24"/>
    <x v="1"/>
  </r>
  <r>
    <s v="KiwiBank"/>
    <s v="Saving"/>
    <s v="38-9016-xxxx-00"/>
    <d v="2023-11-18T00:00:00"/>
    <s v="TRF 4833481054851032 ;"/>
    <n v="-45.84"/>
    <x v="1"/>
    <x v="24"/>
    <x v="1"/>
  </r>
  <r>
    <s v="KiwiBank"/>
    <s v="Saving"/>
    <s v="38-9016-xxxx-00"/>
    <d v="2023-11-19T00:00:00"/>
    <s v="TRANSFER FROM S TAEBI - 01 ;"/>
    <n v="574.13"/>
    <x v="1"/>
    <x v="24"/>
    <x v="1"/>
  </r>
  <r>
    <s v="KiwiBank"/>
    <s v="Saving"/>
    <s v="38-9016-xxxx-00"/>
    <d v="2023-11-19T00:00:00"/>
    <s v="TRF 4833481054851032 ;"/>
    <n v="-472.13"/>
    <x v="1"/>
    <x v="24"/>
    <x v="1"/>
  </r>
  <r>
    <s v="KiwiBank"/>
    <s v="Saving"/>
    <s v="38-9016-xxxx-00"/>
    <d v="2023-11-19T00:00:00"/>
    <s v="TRANSFER FROM S TAEBI - 01 ;"/>
    <n v="381.63"/>
    <x v="1"/>
    <x v="24"/>
    <x v="1"/>
  </r>
  <r>
    <s v="KiwiBank"/>
    <s v="Saving"/>
    <s v="38-9016-xxxx-00"/>
    <d v="2023-11-19T00:00:00"/>
    <s v="TRF 4833481054851032 ;"/>
    <n v="-589.04"/>
    <x v="1"/>
    <x v="24"/>
    <x v="1"/>
  </r>
  <r>
    <s v="KiwiBank"/>
    <s v="Saving"/>
    <s v="38-9016-xxxx-00"/>
    <d v="2023-11-19T00:00:00"/>
    <s v="TRANSFER FROM S TAEBI - 01 ;"/>
    <n v="3404.94"/>
    <x v="1"/>
    <x v="24"/>
    <x v="1"/>
  </r>
  <r>
    <s v="KiwiBank"/>
    <s v="Saving"/>
    <s v="38-9016-xxxx-00"/>
    <d v="2023-11-19T00:00:00"/>
    <s v="TRF 4833481054851032 ;"/>
    <n v="-1081.56"/>
    <x v="1"/>
    <x v="24"/>
    <x v="1"/>
  </r>
  <r>
    <s v="KiwiBank"/>
    <s v="Saving"/>
    <s v="38-9016-xxxx-00"/>
    <d v="2023-11-19T00:00:00"/>
    <s v="Direct Credit MJ ASB MR S M ALAVI ;Ref: MJ ASB MR S M ALAVI"/>
    <n v="153.69999999999999"/>
    <x v="1"/>
    <x v="24"/>
    <x v="1"/>
  </r>
  <r>
    <s v="KiwiBank"/>
    <s v="Saving"/>
    <s v="38-9016-xxxx-00"/>
    <d v="2023-11-19T00:00:00"/>
    <s v="TRF 4833481054851032 ;"/>
    <n v="-241.69"/>
    <x v="1"/>
    <x v="24"/>
    <x v="1"/>
  </r>
  <r>
    <s v="KiwiBank"/>
    <s v="Saving"/>
    <s v="38-9016-xxxx-00"/>
    <d v="2023-11-19T00:00:00"/>
    <s v="TRANSFER FROM S TAEBI - 01 ;"/>
    <n v="520.73"/>
    <x v="1"/>
    <x v="24"/>
    <x v="1"/>
  </r>
  <r>
    <s v="KiwiBank"/>
    <s v="Saving"/>
    <s v="38-9016-xxxx-00"/>
    <d v="2023-11-19T00:00:00"/>
    <s v="PAY mina ;"/>
    <n v="-57.53"/>
    <x v="4"/>
    <x v="12"/>
    <x v="12"/>
  </r>
  <r>
    <s v="KiwiBank"/>
    <s v="Saving"/>
    <s v="38-9016-xxxx-00"/>
    <d v="2023-11-19T00:00:00"/>
    <s v="TRF 4833481054851032 ;"/>
    <n v="-16.16"/>
    <x v="1"/>
    <x v="24"/>
    <x v="1"/>
  </r>
  <r>
    <s v="KiwiBank"/>
    <s v="Saving"/>
    <s v="38-9016-xxxx-00"/>
    <d v="2023-11-20T00:00:00"/>
    <s v="TRF 4833481054851032 ;"/>
    <n v="-144.41"/>
    <x v="1"/>
    <x v="24"/>
    <x v="1"/>
  </r>
  <r>
    <s v="KiwiBank"/>
    <s v="Saving"/>
    <s v="38-9016-xxxx-00"/>
    <d v="2023-11-20T00:00:00"/>
    <s v="Direct Credit MJ ASB MR S M ALAVI ;Ref: MJ ASB MR S M ALAVI"/>
    <n v="61.91"/>
    <x v="1"/>
    <x v="24"/>
    <x v="1"/>
  </r>
  <r>
    <s v="KiwiBank"/>
    <s v="Saving"/>
    <s v="38-9016-xxxx-00"/>
    <d v="2023-11-20T00:00:00"/>
    <s v="TRF 4833481054851032 ;"/>
    <n v="-87.07"/>
    <x v="1"/>
    <x v="24"/>
    <x v="1"/>
  </r>
  <r>
    <s v="KiwiBank"/>
    <s v="Saving"/>
    <s v="38-9016-xxxx-00"/>
    <d v="2023-11-20T00:00:00"/>
    <s v="Direct Credit MJ ASB MR S M ALAVI ;Ref: MJ ASB MR S M ALAVI"/>
    <n v="248.3"/>
    <x v="1"/>
    <x v="24"/>
    <x v="1"/>
  </r>
  <r>
    <s v="KiwiBank"/>
    <s v="Saving"/>
    <s v="38-9016-xxxx-00"/>
    <d v="2023-11-21T00:00:00"/>
    <s v="TRF 4833481054851032 ;"/>
    <n v="-144.91999999999999"/>
    <x v="1"/>
    <x v="24"/>
    <x v="1"/>
  </r>
  <r>
    <s v="KiwiBank"/>
    <s v="Saving"/>
    <s v="38-9016-xxxx-00"/>
    <d v="2023-11-22T00:00:00"/>
    <s v="Salary KIWIBANK FORTNIGHT ;"/>
    <n v="2521.87"/>
    <x v="11"/>
    <x v="22"/>
    <x v="38"/>
  </r>
  <r>
    <s v="KiwiBank"/>
    <s v="Saving"/>
    <s v="38-9016-xxxx-00"/>
    <d v="2023-11-22T00:00:00"/>
    <s v="TRF 4833481054851032 ;"/>
    <n v="-96.85"/>
    <x v="1"/>
    <x v="24"/>
    <x v="1"/>
  </r>
  <r>
    <s v="KiwiBank"/>
    <s v="Saving"/>
    <s v="38-9016-xxxx-00"/>
    <d v="2023-11-22T00:00:00"/>
    <s v="Bill Payment MJ ANZ ALAVI SEYED M ;Ref: MJ ANZ ALAVI SEYED M"/>
    <n v="544.01"/>
    <x v="1"/>
    <x v="24"/>
    <x v="1"/>
  </r>
  <r>
    <s v="KiwiBank"/>
    <s v="Saving"/>
    <s v="38-9016-xxxx-00"/>
    <d v="2023-11-22T00:00:00"/>
    <s v="Direct Credit MJ ASB MR S M ALAVI ;Ref: MJ ASB MR S M ALAVI"/>
    <n v="105.34"/>
    <x v="1"/>
    <x v="24"/>
    <x v="1"/>
  </r>
  <r>
    <s v="KiwiBank"/>
    <s v="Saving"/>
    <s v="38-9016-xxxx-00"/>
    <d v="2023-11-22T00:00:00"/>
    <s v="TRANSFER TO S TAEBI - 01 ;"/>
    <n v="-3731.79"/>
    <x v="1"/>
    <x v="24"/>
    <x v="1"/>
  </r>
  <r>
    <s v="KiwiBank"/>
    <s v="Saving"/>
    <s v="38-9016-xxxx-00"/>
    <d v="2023-11-22T00:00:00"/>
    <s v="AP#22653868 TO S M ALAVI  S TAEBI ;Pay S M ALAVI  S TAEBI"/>
    <n v="-415.49"/>
    <x v="1"/>
    <x v="24"/>
    <x v="1"/>
  </r>
  <r>
    <s v="KiwiBank"/>
    <s v="Saving"/>
    <s v="38-9016-xxxx-00"/>
    <d v="2023-11-23T00:00:00"/>
    <s v="TRF 4833481054851032 ;"/>
    <n v="-48.16"/>
    <x v="1"/>
    <x v="24"/>
    <x v="1"/>
  </r>
  <r>
    <s v="KiwiBank"/>
    <s v="Saving"/>
    <s v="38-9016-xxxx-00"/>
    <d v="2023-11-23T00:00:00"/>
    <s v="TRANSFER FROM S TAEBI - 01 ;"/>
    <n v="64.349999999999994"/>
    <x v="1"/>
    <x v="24"/>
    <x v="1"/>
  </r>
  <r>
    <s v="KiwiBank"/>
    <s v="Saving"/>
    <s v="38-9016-xxxx-00"/>
    <d v="2023-11-24T00:00:00"/>
    <s v="TRF 4833481054851032 ;"/>
    <n v="-700.23"/>
    <x v="1"/>
    <x v="24"/>
    <x v="1"/>
  </r>
  <r>
    <s v="KiwiBank"/>
    <s v="Saving"/>
    <s v="38-9016-xxxx-00"/>
    <d v="2023-11-24T00:00:00"/>
    <s v="Direct Debit -SOUTHERN CROSS MEDICAL CARE SOCIETY ;Ref: 23284297 000 031771385"/>
    <n v="-9.68"/>
    <x v="8"/>
    <x v="25"/>
    <x v="39"/>
  </r>
  <r>
    <s v="KiwiBank"/>
    <s v="Saving"/>
    <s v="38-9016-xxxx-00"/>
    <d v="2023-11-25T00:00:00"/>
    <s v="TRANSFER FROM S TAEBI - 01 ;"/>
    <n v="251.85"/>
    <x v="1"/>
    <x v="24"/>
    <x v="1"/>
  </r>
  <r>
    <s v="KiwiBank"/>
    <s v="Saving"/>
    <s v="38-9016-xxxx-00"/>
    <d v="2023-11-25T00:00:00"/>
    <s v="TRF 4833481054851032 ;"/>
    <n v="-293.31"/>
    <x v="1"/>
    <x v="24"/>
    <x v="1"/>
  </r>
  <r>
    <s v="KiwiBank"/>
    <s v="Saving"/>
    <s v="38-9016-xxxx-00"/>
    <d v="2023-11-25T00:00:00"/>
    <s v="TRANSFER FROM S TAEBI - 01 ;"/>
    <n v="716.3"/>
    <x v="1"/>
    <x v="24"/>
    <x v="1"/>
  </r>
  <r>
    <s v="KiwiBank"/>
    <s v="Saving"/>
    <s v="38-9016-xxxx-00"/>
    <d v="2023-11-25T00:00:00"/>
    <s v="TRF 4833481054851032 ;"/>
    <n v="-203.46"/>
    <x v="1"/>
    <x v="24"/>
    <x v="1"/>
  </r>
  <r>
    <s v="KiwiBank"/>
    <s v="Saving"/>
    <s v="38-9016-xxxx-00"/>
    <d v="2023-11-26T00:00:00"/>
    <s v="TRF 4833481054851032 ;"/>
    <n v="-5.47"/>
    <x v="1"/>
    <x v="24"/>
    <x v="1"/>
  </r>
  <r>
    <s v="KiwiBank"/>
    <s v="Saving"/>
    <s v="38-9016-xxxx-00"/>
    <d v="2023-11-26T00:00:00"/>
    <s v="TRF 4833481054851032 ;"/>
    <n v="-98.13"/>
    <x v="1"/>
    <x v="24"/>
    <x v="1"/>
  </r>
  <r>
    <s v="KiwiBank"/>
    <s v="Saving"/>
    <s v="38-9016-xxxx-00"/>
    <d v="2023-11-28T00:00:00"/>
    <s v="Direct Credit MJ ASB MR S M ALAVI ;Ref: MJ ASB MR S M ALAVI"/>
    <n v="103.59"/>
    <x v="1"/>
    <x v="24"/>
    <x v="1"/>
  </r>
  <r>
    <s v="KiwiBank"/>
    <s v="Saving"/>
    <s v="38-9016-xxxx-00"/>
    <d v="2023-11-28T00:00:00"/>
    <s v="TRF 4833481054851032 ;"/>
    <n v="-1.1000000000000001"/>
    <x v="1"/>
    <x v="24"/>
    <x v="1"/>
  </r>
  <r>
    <s v="KiwiBank"/>
    <s v="Saving"/>
    <s v="38-9016-xxxx-00"/>
    <d v="2023-11-28T00:00:00"/>
    <s v="Direct Credit MJ ASB MR S M ALAVI ;Ref: MJ ASB MR S M ALAVI"/>
    <n v="223"/>
    <x v="1"/>
    <x v="24"/>
    <x v="1"/>
  </r>
  <r>
    <s v="KiwiBank"/>
    <s v="Saving"/>
    <s v="38-9016-xxxx-00"/>
    <d v="2023-11-28T00:00:00"/>
    <s v="TRF 4833481054851032 ;"/>
    <n v="-189.49"/>
    <x v="1"/>
    <x v="24"/>
    <x v="1"/>
  </r>
  <r>
    <s v="KiwiBank"/>
    <s v="Saving"/>
    <s v="38-9016-xxxx-00"/>
    <d v="2023-11-28T00:00:00"/>
    <s v="TRF 4833481054851032 ;"/>
    <n v="-19.43"/>
    <x v="1"/>
    <x v="24"/>
    <x v="1"/>
  </r>
  <r>
    <s v="KiwiBank"/>
    <s v="Saving"/>
    <s v="38-9016-xxxx-00"/>
    <d v="2023-11-29T00:00:00"/>
    <s v="Bill Payment MJ ANZ ALAVI SEYED M ;Ref: MJ ANZ ALAVI SEYED M"/>
    <n v="803.51"/>
    <x v="1"/>
    <x v="24"/>
    <x v="1"/>
  </r>
  <r>
    <s v="KiwiBank"/>
    <s v="Saving"/>
    <s v="38-9016-xxxx-00"/>
    <d v="2023-11-29T00:00:00"/>
    <s v="TRF 4833481054851032 ;"/>
    <n v="-71.260000000000005"/>
    <x v="1"/>
    <x v="24"/>
    <x v="1"/>
  </r>
  <r>
    <s v="KiwiBank"/>
    <s v="Saving"/>
    <s v="38-9016-xxxx-00"/>
    <d v="2023-11-29T00:00:00"/>
    <s v="AP#22653868 TO S M ALAVI  S TAEBI ;Pay S M ALAVI  S TAEBI"/>
    <n v="-41.97"/>
    <x v="1"/>
    <x v="24"/>
    <x v="1"/>
  </r>
  <r>
    <s v="KiwiBank"/>
    <s v="Saving"/>
    <s v="38-9016-xxxx-00"/>
    <d v="2023-11-30T00:00:00"/>
    <s v="TRANSFER FROM S TAEBI - 01 ;"/>
    <n v="926.43"/>
    <x v="1"/>
    <x v="24"/>
    <x v="1"/>
  </r>
  <r>
    <s v="KiwiBank"/>
    <s v="Saving"/>
    <s v="38-9016-xxxx-00"/>
    <d v="2023-12-01T00:00:00"/>
    <s v="TRANSFER FROM S TAEBI - 01 ;"/>
    <n v="77"/>
    <x v="1"/>
    <x v="24"/>
    <x v="1"/>
  </r>
  <r>
    <s v="KiwiBank"/>
    <s v="Saving"/>
    <s v="38-9016-xxxx-00"/>
    <d v="2023-12-01T00:00:00"/>
    <s v="AP#18495353 TO S TAEBI  S M ALAVI ;Transfer to S TAEBI  S M ALAVI - 06"/>
    <n v="-866.74"/>
    <x v="1"/>
    <x v="24"/>
    <x v="1"/>
  </r>
  <r>
    <s v="KiwiBank"/>
    <s v="Saving"/>
    <s v="38-9016-xxxx-00"/>
    <d v="2023-12-01T00:00:00"/>
    <s v="AP#18495354 TO S TAEBI  S M ALAVI ;Transfer to S TAEBI  S M ALAVI - 07"/>
    <n v="-1561.64"/>
    <x v="1"/>
    <x v="24"/>
    <x v="1"/>
  </r>
  <r>
    <s v="KiwiBank"/>
    <s v="Saving"/>
    <s v="38-9016-xxxx-00"/>
    <d v="2023-12-01T00:00:00"/>
    <s v="AP#20595693 TO S TAEBI  S M ALAVI ;Transfer to S TAEBI  S M ALAVI - 08"/>
    <n v="-103.54"/>
    <x v="1"/>
    <x v="24"/>
    <x v="1"/>
  </r>
  <r>
    <s v="KiwiBank"/>
    <s v="Saving"/>
    <s v="38-9016-xxxx-00"/>
    <d v="2023-12-02T00:00:00"/>
    <s v="TRF 4833481054851032 ;"/>
    <n v="-10.52"/>
    <x v="1"/>
    <x v="24"/>
    <x v="1"/>
  </r>
  <r>
    <s v="KiwiBank"/>
    <s v="Saving"/>
    <s v="38-9016-xxxx-00"/>
    <d v="2023-12-03T00:00:00"/>
    <s v="TRF 4833481054851032 ;"/>
    <n v="-57.76"/>
    <x v="1"/>
    <x v="24"/>
    <x v="1"/>
  </r>
  <r>
    <s v="KiwiBank"/>
    <s v="Saving"/>
    <s v="38-9016-xxxx-00"/>
    <d v="2023-12-05T00:00:00"/>
    <s v="TRANSFER FROM S TAEBI - 01 ;"/>
    <n v="88.28"/>
    <x v="1"/>
    <x v="24"/>
    <x v="1"/>
  </r>
  <r>
    <s v="KiwiBank"/>
    <s v="Saving"/>
    <s v="38-9016-xxxx-00"/>
    <d v="2023-12-05T00:00:00"/>
    <s v="PAY MJ ASB ;"/>
    <n v="-33.75"/>
    <x v="1"/>
    <x v="24"/>
    <x v="1"/>
  </r>
  <r>
    <s v="KiwiBank"/>
    <s v="Saving"/>
    <s v="38-9016-xxxx-00"/>
    <d v="2023-12-05T00:00:00"/>
    <s v="TRF 4833481054851032 ;"/>
    <n v="-195.78"/>
    <x v="1"/>
    <x v="24"/>
    <x v="1"/>
  </r>
  <r>
    <s v="KiwiBank"/>
    <s v="Saving"/>
    <s v="38-9016-xxxx-00"/>
    <d v="2023-12-06T00:00:00"/>
    <s v="Salary KIWIBANK FORTNIGHT ;"/>
    <n v="5341.37"/>
    <x v="11"/>
    <x v="22"/>
    <x v="38"/>
  </r>
  <r>
    <s v="KiwiBank"/>
    <s v="Saving"/>
    <s v="38-9016-xxxx-00"/>
    <d v="2023-12-06T00:00:00"/>
    <s v="Direct Credit MJ ASB MR S M ALAVI ;Ref: MJ ASB MR S M ALAVI"/>
    <n v="1805.37"/>
    <x v="1"/>
    <x v="24"/>
    <x v="1"/>
  </r>
  <r>
    <s v="KiwiBank"/>
    <s v="Saving"/>
    <s v="38-9016-xxxx-00"/>
    <d v="2023-12-06T00:00:00"/>
    <s v="TRF 4833481054851032 ;"/>
    <n v="-37.03"/>
    <x v="1"/>
    <x v="24"/>
    <x v="1"/>
  </r>
  <r>
    <s v="KiwiBank"/>
    <s v="Saving"/>
    <s v="38-9016-xxxx-00"/>
    <d v="2023-12-06T00:00:00"/>
    <s v="TRF 4833481054851032 ;"/>
    <n v="-13.5"/>
    <x v="1"/>
    <x v="24"/>
    <x v="1"/>
  </r>
  <r>
    <s v="KiwiBank"/>
    <s v="Saving"/>
    <s v="38-9016-xxxx-00"/>
    <d v="2023-12-06T00:00:00"/>
    <s v="Bill Payment MJ ANZ ALAVI SEYED M ;Ref: MJ ANZ ALAVI SEYED M"/>
    <n v="721.68"/>
    <x v="1"/>
    <x v="24"/>
    <x v="1"/>
  </r>
  <r>
    <s v="KiwiBank"/>
    <s v="Saving"/>
    <s v="38-9016-xxxx-00"/>
    <d v="2023-12-06T00:00:00"/>
    <s v="AP#22653868 TO S M ALAVI  S TAEBI ;Pay S M ALAVI  S TAEBI"/>
    <n v="-348.98"/>
    <x v="1"/>
    <x v="24"/>
    <x v="1"/>
  </r>
  <r>
    <s v="KiwiBank"/>
    <s v="Saving"/>
    <s v="38-9016-xxxx-00"/>
    <d v="2023-12-07T00:00:00"/>
    <s v="TRANSFER TO S TAEBI - 01 ;"/>
    <n v="-127.94"/>
    <x v="1"/>
    <x v="24"/>
    <x v="1"/>
  </r>
  <r>
    <s v="KiwiBank"/>
    <s v="Saving"/>
    <s v="38-9016-xxxx-00"/>
    <d v="2023-12-07T00:00:00"/>
    <s v="TRANSFER FROM S TAEBI - 01 ;"/>
    <n v="248.72"/>
    <x v="1"/>
    <x v="24"/>
    <x v="1"/>
  </r>
  <r>
    <s v="KiwiBank"/>
    <s v="Saving"/>
    <s v="38-9016-xxxx-00"/>
    <d v="2023-12-07T00:00:00"/>
    <s v="TRF 4833481054851032 ;"/>
    <n v="-620.52"/>
    <x v="1"/>
    <x v="24"/>
    <x v="1"/>
  </r>
  <r>
    <s v="KiwiBank"/>
    <s v="Saving"/>
    <s v="38-9016-xxxx-00"/>
    <d v="2023-12-08T00:00:00"/>
    <s v="TRF 4833481054851032 ;"/>
    <n v="-33.619999999999997"/>
    <x v="1"/>
    <x v="24"/>
    <x v="1"/>
  </r>
  <r>
    <s v="KiwiBank"/>
    <s v="Saving"/>
    <s v="38-9016-xxxx-00"/>
    <d v="2023-12-08T00:00:00"/>
    <s v="TRF 4833481054851032 ;"/>
    <n v="-69.150000000000006"/>
    <x v="1"/>
    <x v="24"/>
    <x v="1"/>
  </r>
  <r>
    <s v="KiwiBank"/>
    <s v="Saving"/>
    <s v="38-9016-xxxx-00"/>
    <d v="2023-12-08T00:00:00"/>
    <s v="Direct Debit -SOUTHERN CROSS MEDICAL CARE SOCIETY ;Ref: 23284297 000 031904046"/>
    <n v="-18.170000000000002"/>
    <x v="8"/>
    <x v="25"/>
    <x v="39"/>
  </r>
  <r>
    <s v="KiwiBank"/>
    <s v="Saving"/>
    <s v="38-9016-xxxx-00"/>
    <d v="2023-12-09T00:00:00"/>
    <s v="TRANSFER FROM S TAEBI - 01 ;"/>
    <n v="735.31"/>
    <x v="1"/>
    <x v="24"/>
    <x v="1"/>
  </r>
  <r>
    <s v="KiwiBank"/>
    <s v="Saving"/>
    <s v="38-9016-xxxx-00"/>
    <d v="2023-12-09T00:00:00"/>
    <s v="TRF 4833481054851032 ;"/>
    <n v="-6.56"/>
    <x v="1"/>
    <x v="24"/>
    <x v="1"/>
  </r>
  <r>
    <s v="KiwiBank"/>
    <s v="Saving"/>
    <s v="38-9016-xxxx-00"/>
    <d v="2023-12-09T00:00:00"/>
    <s v="TRF 4833481054851032 ;"/>
    <n v="-12.05"/>
    <x v="1"/>
    <x v="24"/>
    <x v="1"/>
  </r>
  <r>
    <s v="KiwiBank"/>
    <s v="Saving"/>
    <s v="38-9016-xxxx-00"/>
    <d v="2023-12-09T00:00:00"/>
    <s v="TRF 4833481054851032 ;"/>
    <n v="-204.03"/>
    <x v="1"/>
    <x v="24"/>
    <x v="1"/>
  </r>
  <r>
    <s v="KiwiBank"/>
    <s v="Saving"/>
    <s v="38-9016-xxxx-00"/>
    <d v="2023-12-09T00:00:00"/>
    <s v="TRF 4833481054851032 ;"/>
    <n v="-94.29"/>
    <x v="1"/>
    <x v="24"/>
    <x v="1"/>
  </r>
  <r>
    <s v="KiwiBank"/>
    <s v="Saving"/>
    <s v="38-9016-xxxx-00"/>
    <d v="2023-12-10T00:00:00"/>
    <s v="TRF 4833481054851032 ;"/>
    <n v="-18.5"/>
    <x v="1"/>
    <x v="24"/>
    <x v="1"/>
  </r>
  <r>
    <s v="KiwiBank"/>
    <s v="Saving"/>
    <s v="38-9016-xxxx-00"/>
    <d v="2023-12-10T00:00:00"/>
    <s v="TRF 4833481054851032 ;"/>
    <n v="-58.27"/>
    <x v="1"/>
    <x v="24"/>
    <x v="1"/>
  </r>
  <r>
    <s v="KiwiBank"/>
    <s v="Saving"/>
    <s v="38-9016-xxxx-00"/>
    <d v="2023-12-10T00:00:00"/>
    <s v="TRF 4833481054851032 ;"/>
    <n v="-102.26"/>
    <x v="1"/>
    <x v="24"/>
    <x v="1"/>
  </r>
  <r>
    <s v="KiwiBank"/>
    <s v="Saving"/>
    <s v="38-9016-xxxx-00"/>
    <d v="2023-12-10T00:00:00"/>
    <s v="TRANSFER TO S TAEBI - 01 ;"/>
    <n v="-3373.05"/>
    <x v="1"/>
    <x v="24"/>
    <x v="1"/>
  </r>
  <r>
    <s v="KiwiBank"/>
    <s v="Saving"/>
    <s v="38-9016-xxxx-00"/>
    <d v="2023-12-10T00:00:00"/>
    <s v="PAY MJ ASB ;"/>
    <n v="-90.4"/>
    <x v="1"/>
    <x v="24"/>
    <x v="1"/>
  </r>
  <r>
    <s v="KiwiBank"/>
    <s v="Saving"/>
    <s v="38-9016-xxxx-00"/>
    <d v="2023-12-12T00:00:00"/>
    <s v="TRANSFER FROM S TAEBI - 01 ;"/>
    <n v="388.73"/>
    <x v="1"/>
    <x v="24"/>
    <x v="1"/>
  </r>
  <r>
    <s v="KiwiBank"/>
    <s v="Saving"/>
    <s v="38-9016-xxxx-00"/>
    <d v="2023-12-12T00:00:00"/>
    <s v="TRF 4833481054851032 ;"/>
    <n v="-301.69"/>
    <x v="1"/>
    <x v="24"/>
    <x v="1"/>
  </r>
  <r>
    <s v="KiwiBank"/>
    <s v="Saving"/>
    <s v="38-9016-xxxx-00"/>
    <d v="2023-12-13T00:00:00"/>
    <s v="TRANSFER FROM S TAEBI - 01 ;"/>
    <n v="1373.44"/>
    <x v="1"/>
    <x v="24"/>
    <x v="1"/>
  </r>
  <r>
    <s v="KiwiBank"/>
    <s v="Saving"/>
    <s v="38-9016-xxxx-00"/>
    <d v="2023-12-13T00:00:00"/>
    <s v="TRF 4833481054851032 ;"/>
    <n v="-11.81"/>
    <x v="1"/>
    <x v="24"/>
    <x v="1"/>
  </r>
  <r>
    <s v="KiwiBank"/>
    <s v="Saving"/>
    <s v="38-9016-xxxx-00"/>
    <d v="2023-12-13T00:00:00"/>
    <s v="Bill Payment MJ ANZ ALAVI SEYED M ;Ref: MJ ANZ ALAVI SEYED M"/>
    <n v="599.70000000000005"/>
    <x v="1"/>
    <x v="24"/>
    <x v="1"/>
  </r>
  <r>
    <s v="KiwiBank"/>
    <s v="Saving"/>
    <s v="38-9016-xxxx-00"/>
    <d v="2023-12-13T00:00:00"/>
    <s v="TRF 4833481054851032 ;"/>
    <n v="-178.03"/>
    <x v="1"/>
    <x v="24"/>
    <x v="1"/>
  </r>
  <r>
    <s v="KiwiBank"/>
    <s v="Saving"/>
    <s v="38-9016-xxxx-00"/>
    <d v="2023-12-13T00:00:00"/>
    <s v="AP#22653868 TO S M ALAVI  S TAEBI ;Pay S M ALAVI  S TAEBI"/>
    <n v="-571.66999999999996"/>
    <x v="1"/>
    <x v="24"/>
    <x v="1"/>
  </r>
  <r>
    <s v="KiwiBank"/>
    <s v="Saving"/>
    <s v="38-9016-xxxx-00"/>
    <d v="2023-12-14T00:00:00"/>
    <s v="TRF 4833481054851032 ;"/>
    <n v="-58.75"/>
    <x v="1"/>
    <x v="24"/>
    <x v="1"/>
  </r>
  <r>
    <s v="KiwiBank"/>
    <s v="Saving"/>
    <s v="38-9016-xxxx-00"/>
    <d v="2023-12-15T00:00:00"/>
    <s v="TRF 4833481054851032 ;"/>
    <n v="-12.46"/>
    <x v="1"/>
    <x v="24"/>
    <x v="1"/>
  </r>
  <r>
    <s v="KiwiBank"/>
    <s v="Saving"/>
    <s v="38-9016-xxxx-00"/>
    <d v="2023-12-15T00:00:00"/>
    <s v="TRF 4833481054851032 ;"/>
    <n v="-10.14"/>
    <x v="1"/>
    <x v="24"/>
    <x v="1"/>
  </r>
  <r>
    <s v="KiwiBank"/>
    <s v="Saving"/>
    <s v="38-9016-xxxx-00"/>
    <d v="2023-12-15T00:00:00"/>
    <s v="Bill Payment MJ ANZ ALAVI SEYED M ;Ref: MJ ANZ ALAVI SEYED M"/>
    <n v="217.76"/>
    <x v="1"/>
    <x v="24"/>
    <x v="1"/>
  </r>
  <r>
    <s v="KiwiBank"/>
    <s v="Saving"/>
    <s v="38-9016-xxxx-00"/>
    <d v="2023-12-15T00:00:00"/>
    <s v="TRANSFER TO S TAEBI - 01 ;"/>
    <n v="-1759.37"/>
    <x v="1"/>
    <x v="24"/>
    <x v="1"/>
  </r>
  <r>
    <s v="KiwiBank"/>
    <s v="Saving"/>
    <s v="38-9016-xxxx-00"/>
    <d v="2023-12-15T00:00:00"/>
    <s v="PAY farah-hairstylist ;rang"/>
    <n v="-17.75"/>
    <x v="9"/>
    <x v="29"/>
    <x v="44"/>
  </r>
  <r>
    <s v="KiwiBank"/>
    <s v="Saving"/>
    <s v="38-9016-xxxx-00"/>
    <d v="2023-12-15T00:00:00"/>
    <s v="AP#18495353 TO S TAEBI  S M ALAVI ;Transfer to S TAEBI  S M ALAVI - 06"/>
    <n v="-149.81"/>
    <x v="1"/>
    <x v="24"/>
    <x v="1"/>
  </r>
  <r>
    <s v="KiwiBank"/>
    <s v="Saving"/>
    <s v="38-9016-xxxx-00"/>
    <d v="2023-12-15T00:00:00"/>
    <s v="AP#18495354 TO S TAEBI  S M ALAVI ;Transfer to S TAEBI  S M ALAVI - 07"/>
    <n v="-888.22"/>
    <x v="1"/>
    <x v="24"/>
    <x v="1"/>
  </r>
  <r>
    <s v="KiwiBank"/>
    <s v="Saving"/>
    <s v="38-9016-xxxx-00"/>
    <d v="2023-12-15T00:00:00"/>
    <s v="AP#20595693 TO S TAEBI  S M ALAVI ;Transfer to S TAEBI  S M ALAVI - 08"/>
    <n v="-262.42"/>
    <x v="1"/>
    <x v="24"/>
    <x v="1"/>
  </r>
  <r>
    <s v="KiwiBank"/>
    <s v="Saving"/>
    <s v="38-9016-xxxx-00"/>
    <d v="2023-12-16T00:00:00"/>
    <s v="TRANSFER TO S TAEBI - 01 ;"/>
    <n v="-13.37"/>
    <x v="1"/>
    <x v="24"/>
    <x v="1"/>
  </r>
  <r>
    <s v="KiwiBank"/>
    <s v="Saving"/>
    <s v="38-9016-xxxx-00"/>
    <d v="2023-12-16T00:00:00"/>
    <s v="TRF 4833481054851032 ;"/>
    <n v="-1.57"/>
    <x v="1"/>
    <x v="24"/>
    <x v="1"/>
  </r>
  <r>
    <s v="KiwiBank"/>
    <s v="Saving"/>
    <s v="38-9016-xxxx-00"/>
    <d v="2023-12-16T00:00:00"/>
    <s v="TRF 4833481054851032 ;"/>
    <n v="-59.43"/>
    <x v="1"/>
    <x v="24"/>
    <x v="1"/>
  </r>
  <r>
    <s v="KiwiBank"/>
    <s v="Saving"/>
    <s v="38-9016-xxxx-00"/>
    <d v="2023-12-16T00:00:00"/>
    <s v="TRF 4833481054851032 ;"/>
    <n v="-4.3600000000000003"/>
    <x v="1"/>
    <x v="24"/>
    <x v="1"/>
  </r>
  <r>
    <s v="KiwiBank"/>
    <s v="Saving"/>
    <s v="38-9016-xxxx-00"/>
    <d v="2023-12-16T00:00:00"/>
    <s v="TRF 4833481054851032 ;"/>
    <n v="-0.3"/>
    <x v="1"/>
    <x v="24"/>
    <x v="1"/>
  </r>
  <r>
    <s v="KiwiBank"/>
    <s v="Saving"/>
    <s v="38-9016-xxxx-00"/>
    <d v="2023-12-18T00:00:00"/>
    <s v="TRF 4833481054851032 ;"/>
    <n v="-9.4600000000000009"/>
    <x v="1"/>
    <x v="24"/>
    <x v="1"/>
  </r>
  <r>
    <s v="KiwiBank"/>
    <s v="Saving"/>
    <s v="38-9016-xxxx-00"/>
    <d v="2023-12-19T00:00:00"/>
    <s v="TRF 4833481054851032 ;"/>
    <n v="-17.43"/>
    <x v="1"/>
    <x v="24"/>
    <x v="1"/>
  </r>
  <r>
    <s v="KiwiBank"/>
    <s v="Saving"/>
    <s v="38-9016-xxxx-00"/>
    <d v="2023-12-20T00:00:00"/>
    <s v="Direct Credit MJ ASB MR S M ALAVI ;Ref: MJ ASB MR S M ALAVI"/>
    <n v="37.67"/>
    <x v="1"/>
    <x v="24"/>
    <x v="1"/>
  </r>
  <r>
    <s v="KiwiBank"/>
    <s v="Saving"/>
    <s v="38-9016-xxxx-00"/>
    <d v="2023-12-20T00:00:00"/>
    <s v="Salary KIWIBANK FORTNIGHT ;"/>
    <n v="2185.4"/>
    <x v="11"/>
    <x v="22"/>
    <x v="38"/>
  </r>
  <r>
    <s v="KiwiBank"/>
    <s v="Saving"/>
    <s v="38-9016-xxxx-00"/>
    <d v="2023-12-20T00:00:00"/>
    <s v="TRANSFER TO S TAEBI - 01 ;"/>
    <n v="-615.07000000000005"/>
    <x v="1"/>
    <x v="24"/>
    <x v="1"/>
  </r>
  <r>
    <s v="KiwiBank"/>
    <s v="Saving"/>
    <s v="38-9016-xxxx-00"/>
    <d v="2023-12-20T00:00:00"/>
    <s v="Bill Payment MJ ANZ ALAVI SEYED M ;Ref: MJ ANZ ALAVI SEYED M"/>
    <n v="912.94"/>
    <x v="1"/>
    <x v="24"/>
    <x v="1"/>
  </r>
  <r>
    <s v="KiwiBank"/>
    <s v="Saving"/>
    <s v="38-9016-xxxx-00"/>
    <d v="2023-12-20T00:00:00"/>
    <s v="Direct Credit MJ ASB MR S M ALAVI ;Ref: MJ ASB MR S M ALAVI"/>
    <n v="1497.21"/>
    <x v="1"/>
    <x v="24"/>
    <x v="1"/>
  </r>
  <r>
    <s v="KiwiBank"/>
    <s v="Saving"/>
    <s v="38-9016-xxxx-00"/>
    <d v="2023-12-20T00:00:00"/>
    <s v="TRF 4833481054851032 ;"/>
    <n v="-200.93"/>
    <x v="1"/>
    <x v="24"/>
    <x v="1"/>
  </r>
  <r>
    <s v="KiwiBank"/>
    <s v="Saving"/>
    <s v="38-9016-xxxx-00"/>
    <d v="2023-12-20T00:00:00"/>
    <s v="TRANSFER TO S TAEBI - 01 ;"/>
    <n v="-418.97"/>
    <x v="1"/>
    <x v="24"/>
    <x v="1"/>
  </r>
  <r>
    <s v="KiwiBank"/>
    <s v="Saving"/>
    <s v="38-9016-xxxx-00"/>
    <d v="2023-12-20T00:00:00"/>
    <s v="AP#22653868 TO S M ALAVI  S TAEBI ;Pay S M ALAVI  S TAEBI"/>
    <n v="-1171.55"/>
    <x v="1"/>
    <x v="24"/>
    <x v="1"/>
  </r>
  <r>
    <s v="KiwiBank"/>
    <s v="Saving"/>
    <s v="38-9016-xxxx-00"/>
    <d v="2023-12-20T00:00:00"/>
    <s v="TRF 4833481054851032 ;"/>
    <n v="-35.619999999999997"/>
    <x v="1"/>
    <x v="24"/>
    <x v="1"/>
  </r>
  <r>
    <s v="KiwiBank"/>
    <s v="Saving"/>
    <s v="38-9016-xxxx-00"/>
    <d v="2023-12-22T00:00:00"/>
    <s v="TRF 4833481054851032 ;"/>
    <n v="-13.13"/>
    <x v="1"/>
    <x v="24"/>
    <x v="1"/>
  </r>
  <r>
    <s v="KiwiBank"/>
    <s v="Saving"/>
    <s v="38-9016-xxxx-00"/>
    <d v="2023-12-23T00:00:00"/>
    <s v="TRANSFER FROM S TAEBI - 01 ;"/>
    <n v="35.880000000000003"/>
    <x v="1"/>
    <x v="24"/>
    <x v="1"/>
  </r>
  <r>
    <s v="KiwiBank"/>
    <s v="Saving"/>
    <s v="38-9016-xxxx-00"/>
    <d v="2023-12-23T00:00:00"/>
    <s v="TRF 4833481054851032 ;"/>
    <n v="-53.67"/>
    <x v="1"/>
    <x v="24"/>
    <x v="1"/>
  </r>
  <r>
    <s v="KiwiBank"/>
    <s v="Saving"/>
    <s v="38-9016-xxxx-00"/>
    <d v="2023-12-23T00:00:00"/>
    <s v="DD DISHONOUR ;"/>
    <n v="0"/>
    <x v="5"/>
    <x v="7"/>
    <x v="7"/>
  </r>
  <r>
    <s v="KiwiBank"/>
    <s v="Saving"/>
    <s v="38-9016-xxxx-00"/>
    <d v="2023-12-23T00:00:00"/>
    <s v="For $19.27 to Southern Cross Healt 22 DEC 23 ;"/>
    <n v="0"/>
    <x v="8"/>
    <x v="25"/>
    <x v="39"/>
  </r>
  <r>
    <s v="KiwiBank"/>
    <s v="Saving"/>
    <s v="38-9016-xxxx-00"/>
    <d v="2023-12-27T00:00:00"/>
    <s v="TRF 4833481054851032 ;"/>
    <n v="-1.34"/>
    <x v="1"/>
    <x v="24"/>
    <x v="1"/>
  </r>
  <r>
    <s v="KiwiBank"/>
    <s v="Saving"/>
    <s v="38-9016-xxxx-00"/>
    <d v="2023-12-27T00:00:00"/>
    <s v="TRANSFER FROM S TAEBI - 01 ;"/>
    <n v="5831.67"/>
    <x v="1"/>
    <x v="24"/>
    <x v="1"/>
  </r>
  <r>
    <s v="KiwiBank"/>
    <s v="Saving"/>
    <s v="38-9016-xxxx-00"/>
    <d v="2023-12-27T00:00:00"/>
    <s v="AP#22653868 TO S M ALAVI  S TAEBI ;Pay S M ALAVI  S TAEBI"/>
    <n v="-674.3"/>
    <x v="1"/>
    <x v="24"/>
    <x v="1"/>
  </r>
  <r>
    <s v="KiwiBank"/>
    <s v="Saving"/>
    <s v="38-9016-xxxx-00"/>
    <d v="2023-12-28T00:00:00"/>
    <s v="TRF 4833481054851032 ;"/>
    <n v="-0.27"/>
    <x v="1"/>
    <x v="24"/>
    <x v="1"/>
  </r>
  <r>
    <s v="KiwiBank"/>
    <s v="Saving"/>
    <s v="38-9016-xxxx-00"/>
    <d v="2023-12-29T00:00:00"/>
    <s v="AP#18495353 TO S TAEBI  S M ALAVI ;Transfer to S TAEBI  S M ALAVI - 06"/>
    <n v="-1776.9"/>
    <x v="1"/>
    <x v="24"/>
    <x v="1"/>
  </r>
  <r>
    <s v="KiwiBank"/>
    <s v="Saving"/>
    <s v="38-9016-xxxx-00"/>
    <d v="2023-12-29T00:00:00"/>
    <s v="AP#18495354 TO S TAEBI  S M ALAVI ;Transfer to S TAEBI  S M ALAVI - 07"/>
    <n v="-72.41"/>
    <x v="1"/>
    <x v="24"/>
    <x v="1"/>
  </r>
  <r>
    <s v="KiwiBank"/>
    <s v="Saving"/>
    <s v="38-9016-xxxx-00"/>
    <d v="2023-12-29T00:00:00"/>
    <s v="AP#20595693 TO S TAEBI  S M ALAVI ;Transfer to S TAEBI  S M ALAVI - 08"/>
    <n v="-140.91999999999999"/>
    <x v="1"/>
    <x v="24"/>
    <x v="1"/>
  </r>
  <r>
    <s v="KiwiBank"/>
    <s v="Saving"/>
    <s v="38-9016-xxxx-00"/>
    <d v="2023-12-30T00:00:00"/>
    <s v="Bill Payment MJ ANZ ALAVI SEYED M ;Ref: MJ ANZ ALAVI SEYED M"/>
    <n v="1445.2"/>
    <x v="1"/>
    <x v="24"/>
    <x v="1"/>
  </r>
  <r>
    <s v="KiwiBank"/>
    <s v="Saving"/>
    <s v="38-9016-xxxx-00"/>
    <d v="2023-12-30T00:00:00"/>
    <s v="TRANSFER TO S TAEBI - 01 ;"/>
    <n v="-1572.87"/>
    <x v="1"/>
    <x v="24"/>
    <x v="1"/>
  </r>
  <r>
    <s v="KiwiBank"/>
    <s v="Saving"/>
    <s v="38-9016-xxxx-00"/>
    <d v="2023-12-31T00:00:00"/>
    <s v="TRF 4833481054851032 ;"/>
    <n v="-76.64"/>
    <x v="1"/>
    <x v="24"/>
    <x v="1"/>
  </r>
  <r>
    <s v="KiwiBank"/>
    <s v="Saving"/>
    <s v="38-9016-xxxx-00"/>
    <d v="2023-12-31T00:00:00"/>
    <s v="Bill Payment MJ ANZ ALAVI SEYED M ;Ref: MJ ANZ ALAVI SEYED M"/>
    <n v="25.15"/>
    <x v="1"/>
    <x v="24"/>
    <x v="1"/>
  </r>
  <r>
    <s v="KiwiBank"/>
    <s v="Saving"/>
    <s v="38-9016-xxxx-00"/>
    <d v="2023-12-31T00:00:00"/>
    <s v="TRF 4833481054851032 ;"/>
    <n v="-0.81"/>
    <x v="1"/>
    <x v="24"/>
    <x v="1"/>
  </r>
  <r>
    <s v="KiwiBank"/>
    <s v="Saving"/>
    <s v="38-9016-xxxx-00"/>
    <d v="2024-01-01T00:00:00"/>
    <s v="TRANSFER FROM S TAEBI - 01 ;"/>
    <n v="84.74"/>
    <x v="1"/>
    <x v="24"/>
    <x v="1"/>
  </r>
  <r>
    <s v="KiwiBank"/>
    <s v="Saving"/>
    <s v="38-9016-xxxx-00"/>
    <d v="2024-01-01T00:00:00"/>
    <s v="TRF 4833481054851032 ;"/>
    <n v="-33.08"/>
    <x v="1"/>
    <x v="24"/>
    <x v="1"/>
  </r>
  <r>
    <s v="KiwiBank"/>
    <s v="Saving"/>
    <s v="38-9016-xxxx-00"/>
    <d v="2024-01-03T00:00:00"/>
    <s v="TRANSFER FROM S TAEBI - 01 ;"/>
    <n v="130.91"/>
    <x v="1"/>
    <x v="24"/>
    <x v="1"/>
  </r>
  <r>
    <s v="KiwiBank"/>
    <s v="Saving"/>
    <s v="38-9016-xxxx-00"/>
    <d v="2024-01-03T00:00:00"/>
    <s v="TRF 4833481054851032 ;"/>
    <n v="-25.91"/>
    <x v="1"/>
    <x v="24"/>
    <x v="1"/>
  </r>
  <r>
    <s v="KiwiBank"/>
    <s v="Saving"/>
    <s v="38-9016-xxxx-00"/>
    <d v="2024-01-03T00:00:00"/>
    <s v="Salary KIWIBANK FORTNIGHT ;"/>
    <n v="4571.37"/>
    <x v="11"/>
    <x v="22"/>
    <x v="38"/>
  </r>
  <r>
    <s v="KiwiBank"/>
    <s v="Saving"/>
    <s v="38-9016-xxxx-00"/>
    <d v="2024-01-03T00:00:00"/>
    <s v="AP#22653868 TO S M ALAVI  S TAEBI ;Pay S M ALAVI  S TAEBI"/>
    <n v="-520.58000000000004"/>
    <x v="1"/>
    <x v="24"/>
    <x v="1"/>
  </r>
  <r>
    <s v="KiwiBank"/>
    <s v="Saving"/>
    <s v="38-9016-xxxx-00"/>
    <d v="2024-01-03T00:00:00"/>
    <s v="TRANSFER TO S TAEBI - 01 ;"/>
    <n v="-3258.38"/>
    <x v="1"/>
    <x v="24"/>
    <x v="1"/>
  </r>
  <r>
    <s v="KiwiBank"/>
    <s v="Saving"/>
    <s v="38-9016-xxxx-00"/>
    <d v="2024-01-03T00:00:00"/>
    <s v="Bill Payment MJ ANZ ALAVI SEYED M ;Ref: MJ ANZ ALAVI SEYED M"/>
    <n v="193.24"/>
    <x v="1"/>
    <x v="24"/>
    <x v="1"/>
  </r>
  <r>
    <s v="KiwiBank"/>
    <s v="Saving"/>
    <s v="38-9016-xxxx-00"/>
    <d v="2024-01-03T00:00:00"/>
    <s v="TRANSFER TO S TAEBI - 01 ;"/>
    <n v="-847.85"/>
    <x v="1"/>
    <x v="24"/>
    <x v="1"/>
  </r>
  <r>
    <s v="KiwiBank"/>
    <s v="Saving"/>
    <s v="38-9016-xxxx-00"/>
    <d v="2024-01-04T00:00:00"/>
    <s v="TRF 4833481054851032 ;"/>
    <n v="-24.53"/>
    <x v="1"/>
    <x v="24"/>
    <x v="1"/>
  </r>
  <r>
    <s v="KiwiBank"/>
    <s v="Saving"/>
    <s v="38-9016-xxxx-00"/>
    <d v="2024-01-04T00:00:00"/>
    <s v="Direct Credit MJ ASB MR S M ALAVI ;Ref: MJ ASB MR S M ALAVI"/>
    <n v="338.81"/>
    <x v="1"/>
    <x v="24"/>
    <x v="1"/>
  </r>
  <r>
    <s v="KiwiBank"/>
    <s v="Saving"/>
    <s v="38-9016-xxxx-00"/>
    <d v="2024-01-05T00:00:00"/>
    <s v="TRANSFER TO S TAEBI - 01 ;"/>
    <n v="-1254.58"/>
    <x v="1"/>
    <x v="24"/>
    <x v="1"/>
  </r>
  <r>
    <s v="KiwiBank"/>
    <s v="Saving"/>
    <s v="38-9016-xxxx-00"/>
    <d v="2024-01-05T00:00:00"/>
    <s v="TRF 4833481054851032 ;"/>
    <n v="-13.06"/>
    <x v="1"/>
    <x v="24"/>
    <x v="1"/>
  </r>
  <r>
    <s v="KiwiBank"/>
    <s v="Saving"/>
    <s v="38-9016-xxxx-00"/>
    <d v="2024-01-05T00:00:00"/>
    <s v="TRF 4833481054851032 ;"/>
    <n v="-1.61"/>
    <x v="1"/>
    <x v="24"/>
    <x v="1"/>
  </r>
  <r>
    <s v="KiwiBank"/>
    <s v="Saving"/>
    <s v="38-9016-xxxx-00"/>
    <d v="2024-01-05T00:00:00"/>
    <s v="TRF 4833481054851032 ;"/>
    <n v="-7.0000000000000007E-2"/>
    <x v="1"/>
    <x v="24"/>
    <x v="1"/>
  </r>
  <r>
    <s v="KiwiBank"/>
    <s v="Saving"/>
    <s v="38-9016-xxxx-00"/>
    <d v="2024-01-05T00:00:00"/>
    <s v="Direct Debit -SOUTHERN CROSS MEDICAL CARE SOCIETY ;Ref: 23284297 000 032154513"/>
    <n v="-21.16"/>
    <x v="8"/>
    <x v="25"/>
    <x v="39"/>
  </r>
  <r>
    <s v="KiwiBank"/>
    <s v="Saving"/>
    <s v="38-9016-xxxx-00"/>
    <d v="2024-01-06T00:00:00"/>
    <s v="TRF 4833481054851032 ;"/>
    <n v="-161.19999999999999"/>
    <x v="1"/>
    <x v="24"/>
    <x v="1"/>
  </r>
  <r>
    <s v="KiwiBank"/>
    <s v="Saving"/>
    <s v="38-9016-xxxx-00"/>
    <d v="2024-01-06T00:00:00"/>
    <s v="Direct Credit MJ ASB MR S M ALAVI ;Ref: MJ ASB MR S M ALAVI"/>
    <n v="42465.36"/>
    <x v="1"/>
    <x v="24"/>
    <x v="1"/>
  </r>
  <r>
    <s v="KiwiBank"/>
    <s v="Saving"/>
    <s v="38-9016-xxxx-00"/>
    <d v="2024-01-06T00:00:00"/>
    <s v="TRANSFER TO S TAEBI - 01 ;"/>
    <n v="-105287.88"/>
    <x v="1"/>
    <x v="24"/>
    <x v="1"/>
  </r>
  <r>
    <s v="KiwiBank"/>
    <s v="Saving"/>
    <s v="38-9016-xxxx-00"/>
    <d v="2024-01-06T00:00:00"/>
    <s v="TRF 4833481054851032 ;"/>
    <n v="-2.98"/>
    <x v="1"/>
    <x v="24"/>
    <x v="1"/>
  </r>
  <r>
    <s v="KiwiBank"/>
    <s v="Saving"/>
    <s v="38-9016-xxxx-00"/>
    <d v="2024-01-07T00:00:00"/>
    <s v="TRANSFER FROM S TAEBI - 01 ;"/>
    <n v="148.33000000000001"/>
    <x v="1"/>
    <x v="24"/>
    <x v="1"/>
  </r>
  <r>
    <s v="KiwiBank"/>
    <s v="Saving"/>
    <s v="38-9016-xxxx-00"/>
    <d v="2024-01-07T00:00:00"/>
    <s v="TRF 4833481054851032 ;"/>
    <n v="-440.17"/>
    <x v="1"/>
    <x v="24"/>
    <x v="1"/>
  </r>
  <r>
    <s v="KiwiBank"/>
    <s v="Saving"/>
    <s v="38-9016-xxxx-00"/>
    <d v="2024-01-07T00:00:00"/>
    <s v="TRF 4833481054851032 ;"/>
    <n v="-251.88"/>
    <x v="1"/>
    <x v="24"/>
    <x v="1"/>
  </r>
  <r>
    <s v="KiwiBank"/>
    <s v="Saving"/>
    <s v="38-9016-xxxx-00"/>
    <d v="2024-01-07T00:00:00"/>
    <s v="TRANSFER FROM S TAEBI - 01 ;"/>
    <n v="218.07"/>
    <x v="1"/>
    <x v="24"/>
    <x v="1"/>
  </r>
  <r>
    <s v="KiwiBank"/>
    <s v="Saving"/>
    <s v="38-9016-xxxx-00"/>
    <d v="2024-01-07T00:00:00"/>
    <s v="TRF 4833481054851032 ;"/>
    <n v="-29.5"/>
    <x v="1"/>
    <x v="24"/>
    <x v="1"/>
  </r>
  <r>
    <s v="KiwiBank"/>
    <s v="Saving"/>
    <s v="38-9016-xxxx-00"/>
    <d v="2024-01-08T00:00:00"/>
    <s v="TRF 4833481054851032 ;"/>
    <n v="-97.67"/>
    <x v="1"/>
    <x v="24"/>
    <x v="1"/>
  </r>
  <r>
    <s v="KiwiBank"/>
    <s v="Saving"/>
    <s v="38-9016-xxxx-00"/>
    <d v="2024-01-08T00:00:00"/>
    <s v="TRF 4833481054851032 ;"/>
    <n v="-9.7200000000000006"/>
    <x v="1"/>
    <x v="24"/>
    <x v="1"/>
  </r>
  <r>
    <s v="KiwiBank"/>
    <s v="Saving"/>
    <s v="38-9016-xxxx-00"/>
    <d v="2024-01-08T00:00:00"/>
    <s v="TRF 4833481054851032 ;"/>
    <n v="-5.69"/>
    <x v="1"/>
    <x v="24"/>
    <x v="1"/>
  </r>
  <r>
    <s v="KiwiBank"/>
    <s v="Saving"/>
    <s v="38-9016-xxxx-00"/>
    <d v="2024-01-09T00:00:00"/>
    <s v="TRF 4833481054851032 ;"/>
    <n v="-207.92"/>
    <x v="1"/>
    <x v="24"/>
    <x v="1"/>
  </r>
  <r>
    <s v="KiwiBank"/>
    <s v="Saving"/>
    <s v="38-9016-xxxx-00"/>
    <d v="2024-01-09T00:00:00"/>
    <s v="TRANSFER FROM S TAEBI - 01 ;"/>
    <n v="218.38"/>
    <x v="1"/>
    <x v="24"/>
    <x v="1"/>
  </r>
  <r>
    <s v="KiwiBank"/>
    <s v="Saving"/>
    <s v="38-9016-xxxx-00"/>
    <d v="2024-01-09T00:00:00"/>
    <s v="PAY MJ ASB ;"/>
    <n v="-288"/>
    <x v="1"/>
    <x v="24"/>
    <x v="1"/>
  </r>
  <r>
    <s v="KiwiBank"/>
    <s v="Saving"/>
    <s v="38-9016-xxxx-00"/>
    <d v="2024-01-10T00:00:00"/>
    <s v="TRF 4833481054851032 ;"/>
    <n v="-1.17"/>
    <x v="1"/>
    <x v="24"/>
    <x v="1"/>
  </r>
  <r>
    <s v="KiwiBank"/>
    <s v="Saving"/>
    <s v="38-9016-xxxx-00"/>
    <d v="2024-01-10T00:00:00"/>
    <s v="TRF 4833481054851032 ;"/>
    <n v="-17.07"/>
    <x v="1"/>
    <x v="24"/>
    <x v="1"/>
  </r>
  <r>
    <s v="KiwiBank"/>
    <s v="Saving"/>
    <s v="38-9016-xxxx-00"/>
    <d v="2024-01-10T00:00:00"/>
    <s v="TRANSFER FROM S TAEBI - 01 ;"/>
    <n v="8050.06"/>
    <x v="1"/>
    <x v="24"/>
    <x v="1"/>
  </r>
  <r>
    <s v="KiwiBank"/>
    <s v="Saving"/>
    <s v="38-9016-xxxx-00"/>
    <d v="2024-01-10T00:00:00"/>
    <s v="TRF 4833481054851032 ;"/>
    <n v="-846.88"/>
    <x v="1"/>
    <x v="24"/>
    <x v="1"/>
  </r>
  <r>
    <s v="KiwiBank"/>
    <s v="Saving"/>
    <s v="38-9016-xxxx-00"/>
    <d v="2024-01-10T00:00:00"/>
    <s v="TRANSFER FROM S TAEBI - 01 ;"/>
    <n v="6835.86"/>
    <x v="1"/>
    <x v="24"/>
    <x v="1"/>
  </r>
  <r>
    <s v="KiwiBank"/>
    <s v="Saving"/>
    <s v="38-9016-xxxx-00"/>
    <d v="2024-01-10T00:00:00"/>
    <s v="AP#22653868 TO S M ALAVI  S TAEBI ;Pay S M ALAVI  S TAEBI"/>
    <n v="-1090.3900000000001"/>
    <x v="1"/>
    <x v="24"/>
    <x v="1"/>
  </r>
  <r>
    <s v="KiwiBank"/>
    <s v="Saving"/>
    <s v="38-9016-xxxx-00"/>
    <d v="2024-01-11T00:00:00"/>
    <s v="Bill Payment MJ ANZ ALAVI SEYED M ;Ref: MJ ANZ ALAVI SEYED M"/>
    <n v="397.16"/>
    <x v="1"/>
    <x v="24"/>
    <x v="1"/>
  </r>
  <r>
    <s v="KiwiBank"/>
    <s v="Saving"/>
    <s v="38-9016-xxxx-00"/>
    <d v="2024-01-11T00:00:00"/>
    <s v="TRF 4833481054851032 ;"/>
    <n v="-260.16000000000003"/>
    <x v="1"/>
    <x v="24"/>
    <x v="1"/>
  </r>
  <r>
    <s v="KiwiBank"/>
    <s v="Saving"/>
    <s v="38-9016-xxxx-00"/>
    <d v="2024-01-11T00:00:00"/>
    <s v="TRF 4833481054851032 ;"/>
    <n v="-178.31"/>
    <x v="1"/>
    <x v="24"/>
    <x v="1"/>
  </r>
  <r>
    <s v="KiwiBank"/>
    <s v="Saving"/>
    <s v="38-9016-xxxx-00"/>
    <d v="2024-01-12T00:00:00"/>
    <s v="AP#18495353 TO S TAEBI  S M ALAVI ;Transfer to S TAEBI  S M ALAVI - 06"/>
    <n v="-1713.25"/>
    <x v="1"/>
    <x v="24"/>
    <x v="1"/>
  </r>
  <r>
    <s v="KiwiBank"/>
    <s v="Saving"/>
    <s v="38-9016-xxxx-00"/>
    <d v="2024-01-12T00:00:00"/>
    <s v="AP#18495354 TO S TAEBI  S M ALAVI ;Transfer to S TAEBI  S M ALAVI - 07"/>
    <n v="-917.53"/>
    <x v="1"/>
    <x v="24"/>
    <x v="1"/>
  </r>
  <r>
    <s v="KiwiBank"/>
    <s v="Saving"/>
    <s v="38-9016-xxxx-00"/>
    <d v="2024-01-12T00:00:00"/>
    <s v="AP#20595693 TO S TAEBI  S M ALAVI ;Transfer to S TAEBI  S M ALAVI - 08"/>
    <n v="-535.66999999999996"/>
    <x v="1"/>
    <x v="24"/>
    <x v="1"/>
  </r>
  <r>
    <s v="KiwiBank"/>
    <s v="Saving"/>
    <s v="38-9016-xxxx-00"/>
    <d v="2024-01-13T00:00:00"/>
    <s v="TRANSFER TO S TAEBI - 01 ;"/>
    <n v="-437.86"/>
    <x v="1"/>
    <x v="24"/>
    <x v="1"/>
  </r>
  <r>
    <s v="KiwiBank"/>
    <s v="Saving"/>
    <s v="38-9016-xxxx-00"/>
    <d v="2024-01-14T00:00:00"/>
    <s v="TRANSFER FROM S TAEBI - 01 ;"/>
    <n v="3197.99"/>
    <x v="1"/>
    <x v="24"/>
    <x v="1"/>
  </r>
  <r>
    <s v="KiwiBank"/>
    <s v="Saving"/>
    <s v="38-9016-xxxx-00"/>
    <d v="2024-01-14T00:00:00"/>
    <s v="TRANSFER FROM S TAEBI - 01 ;"/>
    <n v="2953.14"/>
    <x v="1"/>
    <x v="24"/>
    <x v="1"/>
  </r>
  <r>
    <s v="KiwiBank"/>
    <s v="Saving"/>
    <s v="38-9016-xxxx-00"/>
    <d v="2024-01-14T00:00:00"/>
    <s v="PAY MJ ASB ;"/>
    <n v="-2109.8000000000002"/>
    <x v="1"/>
    <x v="24"/>
    <x v="1"/>
  </r>
  <r>
    <s v="KiwiBank"/>
    <s v="Saving"/>
    <s v="38-9016-xxxx-00"/>
    <d v="2024-01-14T00:00:00"/>
    <s v="TRANSFER FROM S TAEBI - 01 ;"/>
    <n v="22.31"/>
    <x v="1"/>
    <x v="24"/>
    <x v="1"/>
  </r>
  <r>
    <s v="KiwiBank"/>
    <s v="Saving"/>
    <s v="38-9016-xxxx-00"/>
    <d v="2024-01-15T00:00:00"/>
    <s v="Direct Debit -INLAND REVENUE DEPARTMENT ;Ref: 1788615552 I IT 113165197"/>
    <n v="-2228.4699999999998"/>
    <x v="12"/>
    <x v="27"/>
    <x v="41"/>
  </r>
  <r>
    <s v="KiwiBank"/>
    <s v="Saving"/>
    <s v="38-9016-xxxx-00"/>
    <d v="2024-01-16T00:00:00"/>
    <s v="TRF 4833481054851032 ;"/>
    <n v="-27"/>
    <x v="1"/>
    <x v="24"/>
    <x v="1"/>
  </r>
  <r>
    <s v="KiwiBank"/>
    <s v="Saving"/>
    <s v="38-9016-xxxx-00"/>
    <d v="2024-01-17T00:00:00"/>
    <s v="Direct Credit MJ ASB MR S M ALAVI ;Ref: MJ ASB MR S M ALAVI"/>
    <n v="1519.67"/>
    <x v="1"/>
    <x v="24"/>
    <x v="1"/>
  </r>
  <r>
    <s v="KiwiBank"/>
    <s v="Saving"/>
    <s v="38-9016-xxxx-00"/>
    <d v="2024-01-17T00:00:00"/>
    <s v="TRF 4833481054851032 ;"/>
    <n v="-83.89"/>
    <x v="1"/>
    <x v="24"/>
    <x v="1"/>
  </r>
  <r>
    <s v="KiwiBank"/>
    <s v="Saving"/>
    <s v="38-9016-xxxx-00"/>
    <d v="2024-01-17T00:00:00"/>
    <s v="Bill Payment MJ ANZ ALAVI SEYED M ;Ref: MJ ANZ ALAVI SEYED M"/>
    <n v="142.84"/>
    <x v="1"/>
    <x v="24"/>
    <x v="1"/>
  </r>
  <r>
    <s v="KiwiBank"/>
    <s v="Saving"/>
    <s v="38-9016-xxxx-00"/>
    <d v="2024-01-17T00:00:00"/>
    <s v="Salary KIWIBANK FORTNIGHT ;"/>
    <n v="3137.31"/>
    <x v="11"/>
    <x v="22"/>
    <x v="38"/>
  </r>
  <r>
    <s v="KiwiBank"/>
    <s v="Saving"/>
    <s v="38-9016-xxxx-00"/>
    <d v="2024-01-17T00:00:00"/>
    <s v="TRANSFER TO S TAEBI - 01 ;"/>
    <n v="-2292.94"/>
    <x v="1"/>
    <x v="24"/>
    <x v="1"/>
  </r>
  <r>
    <s v="KiwiBank"/>
    <s v="Saving"/>
    <s v="38-9016-xxxx-00"/>
    <d v="2024-01-17T00:00:00"/>
    <s v="TRF 4833481054851032 ;"/>
    <n v="-67.540000000000006"/>
    <x v="1"/>
    <x v="24"/>
    <x v="1"/>
  </r>
  <r>
    <s v="KiwiBank"/>
    <s v="Saving"/>
    <s v="38-9016-xxxx-00"/>
    <d v="2024-01-17T00:00:00"/>
    <s v="AP#22653868 TO S M ALAVI  S TAEBI ;Pay S M ALAVI  S TAEBI"/>
    <n v="-884.26"/>
    <x v="1"/>
    <x v="24"/>
    <x v="1"/>
  </r>
  <r>
    <s v="KiwiBank"/>
    <s v="Saving"/>
    <s v="38-9016-xxxx-00"/>
    <d v="2024-01-17T00:00:00"/>
    <s v="TRANSFER FROM S TAEBI - 01 ;"/>
    <n v="333.23"/>
    <x v="1"/>
    <x v="24"/>
    <x v="1"/>
  </r>
  <r>
    <s v="KiwiBank"/>
    <s v="Saving"/>
    <s v="38-9016-xxxx-00"/>
    <d v="2024-01-17T00:00:00"/>
    <s v="TRF 4833481054851032 ;"/>
    <n v="-247.63"/>
    <x v="1"/>
    <x v="24"/>
    <x v="1"/>
  </r>
  <r>
    <s v="KiwiBank"/>
    <s v="Saving"/>
    <s v="38-9016-xxxx-00"/>
    <d v="2024-01-19T00:00:00"/>
    <s v="TRF 4833481054851032 ;"/>
    <n v="-4.26"/>
    <x v="1"/>
    <x v="24"/>
    <x v="1"/>
  </r>
  <r>
    <s v="KiwiBank"/>
    <s v="Saving"/>
    <s v="38-9016-xxxx-00"/>
    <d v="2024-01-19T00:00:00"/>
    <s v="Direct Debit -SOUTHERN CROSS MEDICAL CARE SOCIETY ;Ref: 23284297 000 032283833"/>
    <n v="-27.94"/>
    <x v="8"/>
    <x v="25"/>
    <x v="39"/>
  </r>
  <r>
    <s v="KiwiBank"/>
    <s v="Saving"/>
    <s v="38-9016-xxxx-00"/>
    <d v="2024-01-20T00:00:00"/>
    <s v="TRANSFER FROM S TAEBI - 01 ;"/>
    <n v="302.89999999999998"/>
    <x v="1"/>
    <x v="24"/>
    <x v="1"/>
  </r>
  <r>
    <s v="KiwiBank"/>
    <s v="Saving"/>
    <s v="38-9016-xxxx-00"/>
    <d v="2024-01-20T00:00:00"/>
    <s v="TRF 4833481054851032 ;"/>
    <n v="-314.49"/>
    <x v="1"/>
    <x v="24"/>
    <x v="1"/>
  </r>
  <r>
    <s v="KiwiBank"/>
    <s v="Saving"/>
    <s v="38-9016-xxxx-00"/>
    <d v="2024-01-20T00:00:00"/>
    <s v="TRF 4833481054851032 ;"/>
    <n v="-1.73"/>
    <x v="1"/>
    <x v="24"/>
    <x v="1"/>
  </r>
  <r>
    <s v="KiwiBank"/>
    <s v="Saving"/>
    <s v="38-9016-xxxx-00"/>
    <d v="2024-01-20T00:00:00"/>
    <s v="TRF 4833481054851032 ;"/>
    <n v="-2.75"/>
    <x v="1"/>
    <x v="24"/>
    <x v="1"/>
  </r>
  <r>
    <s v="KiwiBank"/>
    <s v="Saving"/>
    <s v="38-9016-xxxx-00"/>
    <d v="2024-01-21T00:00:00"/>
    <s v="TRF 4833481054851032 ;"/>
    <n v="-70.17"/>
    <x v="1"/>
    <x v="24"/>
    <x v="1"/>
  </r>
  <r>
    <s v="KiwiBank"/>
    <s v="Saving"/>
    <s v="38-9016-xxxx-00"/>
    <d v="2024-01-22T00:00:00"/>
    <s v="TRF 4833481054851032 ;"/>
    <n v="-32.78"/>
    <x v="1"/>
    <x v="24"/>
    <x v="1"/>
  </r>
  <r>
    <s v="KiwiBank"/>
    <s v="Saving"/>
    <s v="38-9016-xxxx-00"/>
    <d v="2024-01-22T00:00:00"/>
    <s v="TRF 4833481054851032 ;"/>
    <n v="-9.23"/>
    <x v="1"/>
    <x v="24"/>
    <x v="1"/>
  </r>
  <r>
    <s v="KiwiBank"/>
    <s v="Saving"/>
    <s v="38-9016-xxxx-00"/>
    <d v="2024-01-22T00:00:00"/>
    <s v="Direct Credit MJ ASB MR S M ALAVI ;Ref: MJ ASB MR S M ALAVI"/>
    <n v="108.53"/>
    <x v="1"/>
    <x v="24"/>
    <x v="1"/>
  </r>
  <r>
    <s v="KiwiBank"/>
    <s v="Saving"/>
    <s v="38-9016-xxxx-00"/>
    <d v="2024-01-22T00:00:00"/>
    <s v="TRF 4833481054851032 ;"/>
    <n v="-275.76"/>
    <x v="1"/>
    <x v="24"/>
    <x v="1"/>
  </r>
  <r>
    <s v="KiwiBank"/>
    <s v="Saving"/>
    <s v="38-9016-xxxx-00"/>
    <d v="2024-01-23T00:00:00"/>
    <s v="TRF 4833481054851032 ;"/>
    <n v="-1.26"/>
    <x v="1"/>
    <x v="24"/>
    <x v="1"/>
  </r>
  <r>
    <s v="KiwiBank"/>
    <s v="Saving"/>
    <s v="38-9016-xxxx-00"/>
    <d v="2024-01-24T00:00:00"/>
    <s v="TRF 4833481054851032 ;"/>
    <n v="-71.3"/>
    <x v="1"/>
    <x v="24"/>
    <x v="1"/>
  </r>
  <r>
    <s v="KiwiBank"/>
    <s v="Saving"/>
    <s v="38-9016-xxxx-00"/>
    <d v="2024-01-24T00:00:00"/>
    <s v="TRF 4833481054851032 ;"/>
    <n v="-9.61"/>
    <x v="1"/>
    <x v="24"/>
    <x v="1"/>
  </r>
  <r>
    <s v="KiwiBank"/>
    <s v="Saving"/>
    <s v="38-9016-xxxx-00"/>
    <d v="2024-01-24T00:00:00"/>
    <s v="TRANSFER FROM S TAEBI - 01 ;"/>
    <n v="3477.86"/>
    <x v="1"/>
    <x v="24"/>
    <x v="1"/>
  </r>
  <r>
    <s v="KiwiBank"/>
    <s v="Saving"/>
    <s v="38-9016-xxxx-00"/>
    <d v="2024-01-24T00:00:00"/>
    <s v="Bill Payment MJ ANZ ALAVI SEYED M ;Ref: MJ ANZ ALAVI SEYED M"/>
    <n v="194.65"/>
    <x v="1"/>
    <x v="24"/>
    <x v="1"/>
  </r>
  <r>
    <s v="KiwiBank"/>
    <s v="Saving"/>
    <s v="38-9016-xxxx-00"/>
    <d v="2024-01-24T00:00:00"/>
    <s v="TRF 4833481054851032 ;"/>
    <n v="-200.83"/>
    <x v="1"/>
    <x v="24"/>
    <x v="1"/>
  </r>
  <r>
    <s v="KiwiBank"/>
    <s v="Saving"/>
    <s v="38-9016-xxxx-00"/>
    <d v="2024-01-24T00:00:00"/>
    <s v="AP#22653868 TO S M ALAVI  S TAEBI ;Pay S M ALAVI  S TAEBI"/>
    <n v="-1100.8900000000001"/>
    <x v="1"/>
    <x v="24"/>
    <x v="1"/>
  </r>
  <r>
    <s v="KiwiBank"/>
    <s v="Saving"/>
    <s v="38-9016-xxxx-00"/>
    <d v="2024-01-25T00:00:00"/>
    <s v="TRF 4833481054851032 ;"/>
    <n v="-3.67"/>
    <x v="1"/>
    <x v="24"/>
    <x v="1"/>
  </r>
  <r>
    <s v="KiwiBank"/>
    <s v="Saving"/>
    <s v="38-9016-xxxx-00"/>
    <d v="2024-01-25T00:00:00"/>
    <s v="TRF 4833481054851032 ;"/>
    <n v="-14.17"/>
    <x v="1"/>
    <x v="24"/>
    <x v="1"/>
  </r>
  <r>
    <s v="KiwiBank"/>
    <s v="Saving"/>
    <s v="38-9016-xxxx-00"/>
    <d v="2024-01-26T00:00:00"/>
    <s v="TRF 4833481054851032 ;"/>
    <n v="-0.74"/>
    <x v="1"/>
    <x v="24"/>
    <x v="1"/>
  </r>
  <r>
    <s v="KiwiBank"/>
    <s v="Saving"/>
    <s v="38-9016-xxxx-00"/>
    <d v="2024-01-26T00:00:00"/>
    <s v="TRF 4833481054851032 ;"/>
    <n v="-4.76"/>
    <x v="1"/>
    <x v="24"/>
    <x v="1"/>
  </r>
  <r>
    <s v="KiwiBank"/>
    <s v="Saving"/>
    <s v="38-9016-xxxx-00"/>
    <d v="2024-01-26T00:00:00"/>
    <s v="TRF 4833481054851032 ;"/>
    <n v="-74.2"/>
    <x v="1"/>
    <x v="24"/>
    <x v="1"/>
  </r>
  <r>
    <s v="KiwiBank"/>
    <s v="Saving"/>
    <s v="38-9016-xxxx-00"/>
    <d v="2024-01-26T00:00:00"/>
    <s v="TRANSFER FROM S TAEBI - 01 ;"/>
    <n v="494.56"/>
    <x v="1"/>
    <x v="24"/>
    <x v="1"/>
  </r>
  <r>
    <s v="KiwiBank"/>
    <s v="Saving"/>
    <s v="38-9016-xxxx-00"/>
    <d v="2024-01-26T00:00:00"/>
    <s v="TRF 4833481054851032 ;"/>
    <n v="-42.32"/>
    <x v="1"/>
    <x v="24"/>
    <x v="1"/>
  </r>
  <r>
    <s v="KiwiBank"/>
    <s v="Saving"/>
    <s v="38-9016-xxxx-00"/>
    <d v="2024-01-26T00:00:00"/>
    <s v="AP#18495353 TO S TAEBI  S M ALAVI ;Transfer to S TAEBI  S M ALAVI - 06"/>
    <n v="-1885.52"/>
    <x v="1"/>
    <x v="24"/>
    <x v="1"/>
  </r>
  <r>
    <s v="KiwiBank"/>
    <s v="Saving"/>
    <s v="38-9016-xxxx-00"/>
    <d v="2024-01-26T00:00:00"/>
    <s v="AP#18495354 TO S TAEBI  S M ALAVI ;Transfer to S TAEBI  S M ALAVI - 07"/>
    <n v="-251.69"/>
    <x v="1"/>
    <x v="24"/>
    <x v="1"/>
  </r>
  <r>
    <s v="KiwiBank"/>
    <s v="Saving"/>
    <s v="38-9016-xxxx-00"/>
    <d v="2024-01-26T00:00:00"/>
    <s v="AP#20595693 TO S TAEBI  S M ALAVI ;Transfer to S TAEBI  S M ALAVI - 08"/>
    <n v="-245.1"/>
    <x v="1"/>
    <x v="24"/>
    <x v="1"/>
  </r>
  <r>
    <s v="KiwiBank"/>
    <s v="Saving"/>
    <s v="38-9016-xxxx-00"/>
    <d v="2024-01-27T00:00:00"/>
    <s v="TRF 4833481054851032 ;"/>
    <n v="-0.32"/>
    <x v="1"/>
    <x v="24"/>
    <x v="1"/>
  </r>
  <r>
    <s v="KiwiBank"/>
    <s v="Saving"/>
    <s v="38-9016-xxxx-00"/>
    <d v="2024-01-27T00:00:00"/>
    <s v="TRF 4833481054851032 ;"/>
    <n v="-7.45"/>
    <x v="1"/>
    <x v="24"/>
    <x v="1"/>
  </r>
  <r>
    <s v="KiwiBank"/>
    <s v="Saving"/>
    <s v="38-9016-xxxx-00"/>
    <d v="2024-01-28T00:00:00"/>
    <s v="TRF 4833481054851032 ;"/>
    <n v="-68.56"/>
    <x v="1"/>
    <x v="24"/>
    <x v="1"/>
  </r>
  <r>
    <s v="KiwiBank"/>
    <s v="Saving"/>
    <s v="38-9016-xxxx-00"/>
    <d v="2024-01-28T00:00:00"/>
    <s v="TRANSFER FROM S TAEBI - 01 ;"/>
    <n v="402.9"/>
    <x v="1"/>
    <x v="24"/>
    <x v="1"/>
  </r>
  <r>
    <s v="KiwiBank"/>
    <s v="Saving"/>
    <s v="38-9016-xxxx-00"/>
    <d v="2024-01-28T00:00:00"/>
    <s v="TRF 4833481054851032 ;"/>
    <n v="-245.63"/>
    <x v="1"/>
    <x v="24"/>
    <x v="1"/>
  </r>
  <r>
    <s v="KiwiBank"/>
    <s v="Saving"/>
    <s v="38-9016-xxxx-00"/>
    <d v="2024-01-29T00:00:00"/>
    <s v="TRF 4833481054851032 ;"/>
    <n v="-39.07"/>
    <x v="1"/>
    <x v="24"/>
    <x v="1"/>
  </r>
  <r>
    <s v="KiwiBank"/>
    <s v="Saving"/>
    <s v="38-9016-xxxx-00"/>
    <d v="2024-01-29T00:00:00"/>
    <s v="TRANSFER FROM S TAEBI - 01 ;"/>
    <n v="374.61"/>
    <x v="1"/>
    <x v="24"/>
    <x v="1"/>
  </r>
  <r>
    <s v="KiwiBank"/>
    <s v="Saving"/>
    <s v="38-9016-xxxx-00"/>
    <d v="2024-01-29T00:00:00"/>
    <s v="TRF 4833481054851032 ;"/>
    <n v="-38.28"/>
    <x v="1"/>
    <x v="24"/>
    <x v="1"/>
  </r>
  <r>
    <s v="KiwiBank"/>
    <s v="Saving"/>
    <s v="38-9016-xxxx-00"/>
    <d v="2024-01-29T00:00:00"/>
    <s v="TRF 4833481054851032 ;"/>
    <n v="-10.87"/>
    <x v="1"/>
    <x v="24"/>
    <x v="1"/>
  </r>
  <r>
    <s v="KiwiBank"/>
    <s v="Saving"/>
    <s v="38-9016-xxxx-00"/>
    <d v="2024-01-30T00:00:00"/>
    <s v="TRF 4833481054851032 ;"/>
    <n v="-71.739999999999995"/>
    <x v="1"/>
    <x v="24"/>
    <x v="1"/>
  </r>
  <r>
    <s v="KiwiBank"/>
    <s v="Saving"/>
    <s v="38-9016-xxxx-00"/>
    <d v="2024-01-30T00:00:00"/>
    <s v="TRF 4833481054851032 ;"/>
    <n v="-80.06"/>
    <x v="1"/>
    <x v="24"/>
    <x v="1"/>
  </r>
  <r>
    <s v="KiwiBank"/>
    <s v="Saving"/>
    <s v="38-9016-xxxx-00"/>
    <d v="2024-01-31T00:00:00"/>
    <s v="TRF 4833481054851032 ;"/>
    <n v="-13.95"/>
    <x v="1"/>
    <x v="24"/>
    <x v="1"/>
  </r>
  <r>
    <s v="KiwiBank"/>
    <s v="Saving"/>
    <s v="38-9016-xxxx-00"/>
    <d v="2024-01-31T00:00:00"/>
    <s v="TRANSFER FROM S TAEBI - 01 ;"/>
    <n v="1297.4100000000001"/>
    <x v="1"/>
    <x v="24"/>
    <x v="1"/>
  </r>
  <r>
    <s v="KiwiBank"/>
    <s v="Saving"/>
    <s v="38-9016-xxxx-00"/>
    <d v="2024-01-31T00:00:00"/>
    <s v="Salary KIWIBANK FORTNIGHT ;"/>
    <n v="4446.18"/>
    <x v="11"/>
    <x v="22"/>
    <x v="38"/>
  </r>
  <r>
    <s v="KiwiBank"/>
    <s v="Saving"/>
    <s v="38-9016-xxxx-00"/>
    <d v="2024-01-31T00:00:00"/>
    <s v="TRF 4833481054851032 ;"/>
    <n v="-25.42"/>
    <x v="1"/>
    <x v="24"/>
    <x v="1"/>
  </r>
  <r>
    <s v="KiwiBank"/>
    <s v="Saving"/>
    <s v="38-9016-xxxx-00"/>
    <d v="2024-01-31T00:00:00"/>
    <s v="Direct Credit MJ ASB MR S M ALAVI ;Ref: MJ ASB MR S M ALAVI"/>
    <n v="1034.73"/>
    <x v="1"/>
    <x v="24"/>
    <x v="1"/>
  </r>
  <r>
    <s v="KiwiBank"/>
    <s v="Saving"/>
    <s v="38-9016-xxxx-00"/>
    <d v="2024-01-31T00:00:00"/>
    <s v="TRANSFER TO S TAEBI - 01 ;"/>
    <n v="-1670.02"/>
    <x v="1"/>
    <x v="24"/>
    <x v="1"/>
  </r>
  <r>
    <s v="KiwiBank"/>
    <s v="Saving"/>
    <s v="38-9016-xxxx-00"/>
    <d v="2024-01-31T00:00:00"/>
    <s v="Bill Payment MJ ANZ ALAVI SEYED M ;Ref: MJ ANZ ALAVI SEYED M"/>
    <n v="92.41"/>
    <x v="1"/>
    <x v="24"/>
    <x v="1"/>
  </r>
  <r>
    <s v="KiwiBank"/>
    <s v="Saving"/>
    <s v="38-9016-xxxx-00"/>
    <d v="2024-01-31T00:00:00"/>
    <s v="AP#22653868 TO S M ALAVI  S TAEBI ;Pay S M ALAVI  S TAEBI"/>
    <n v="-810.47"/>
    <x v="1"/>
    <x v="24"/>
    <x v="1"/>
  </r>
  <r>
    <s v="KiwiBank"/>
    <s v="Saving"/>
    <s v="38-9016-xxxx-00"/>
    <d v="2024-01-31T00:00:00"/>
    <s v="TRANSFER TO S TAEBI - 01 ;"/>
    <n v="-880.88"/>
    <x v="1"/>
    <x v="24"/>
    <x v="1"/>
  </r>
  <r>
    <s v="KiwiBank"/>
    <s v="Saving"/>
    <s v="38-9016-xxxx-00"/>
    <d v="2024-02-01T00:00:00"/>
    <s v="TRANSFER FROM S TAEBI - 01 ;"/>
    <n v="59.45"/>
    <x v="1"/>
    <x v="24"/>
    <x v="1"/>
  </r>
  <r>
    <s v="KiwiBank"/>
    <s v="Saving"/>
    <s v="38-9016-xxxx-00"/>
    <d v="2024-02-01T00:00:00"/>
    <s v="TRANSFER TO S TAEBI - 01 ;"/>
    <n v="-20.010000000000002"/>
    <x v="1"/>
    <x v="24"/>
    <x v="1"/>
  </r>
  <r>
    <s v="KiwiBank"/>
    <s v="Saving"/>
    <s v="38-9016-xxxx-00"/>
    <d v="2024-02-02T00:00:00"/>
    <s v="TRF 4833481054851032 ;"/>
    <n v="-104.12"/>
    <x v="1"/>
    <x v="24"/>
    <x v="1"/>
  </r>
  <r>
    <s v="KiwiBank"/>
    <s v="Saving"/>
    <s v="38-9016-xxxx-00"/>
    <d v="2024-02-02T00:00:00"/>
    <s v="Direct Debit -SOUTHERN CROSS MEDICAL CARE SOCIETY ;Ref: 23284297 000 032413466"/>
    <n v="-10.27"/>
    <x v="8"/>
    <x v="25"/>
    <x v="39"/>
  </r>
  <r>
    <s v="KiwiBank"/>
    <s v="Saving"/>
    <s v="38-9016-xxxx-00"/>
    <d v="2024-02-03T00:00:00"/>
    <s v="TRANSFER FROM S TAEBI - 01 ;"/>
    <n v="664.8"/>
    <x v="1"/>
    <x v="24"/>
    <x v="1"/>
  </r>
  <r>
    <s v="KiwiBank"/>
    <s v="Saving"/>
    <s v="38-9016-xxxx-00"/>
    <d v="2024-02-03T00:00:00"/>
    <s v="TRF 4833481054851032 ;"/>
    <n v="-305.02999999999997"/>
    <x v="1"/>
    <x v="24"/>
    <x v="1"/>
  </r>
  <r>
    <s v="KiwiBank"/>
    <s v="Saving"/>
    <s v="38-9016-xxxx-00"/>
    <d v="2024-02-03T00:00:00"/>
    <s v="TRF 4833481054851032 ;"/>
    <n v="-45.18"/>
    <x v="1"/>
    <x v="24"/>
    <x v="1"/>
  </r>
  <r>
    <s v="KiwiBank"/>
    <s v="Saving"/>
    <s v="38-9016-xxxx-00"/>
    <d v="2024-02-03T00:00:00"/>
    <s v="TRF 4833481054851032 ;"/>
    <n v="-37.1"/>
    <x v="1"/>
    <x v="24"/>
    <x v="1"/>
  </r>
  <r>
    <s v="KiwiBank"/>
    <s v="Saving"/>
    <s v="38-9016-xxxx-00"/>
    <d v="2024-02-04T00:00:00"/>
    <s v="TRF 4833481054851032 ;"/>
    <n v="-49.3"/>
    <x v="1"/>
    <x v="24"/>
    <x v="1"/>
  </r>
  <r>
    <s v="KiwiBank"/>
    <s v="Saving"/>
    <s v="38-9016-xxxx-00"/>
    <d v="2024-02-04T00:00:00"/>
    <s v="PAY teamTe ;"/>
    <n v="-4.2300000000000004"/>
    <x v="3"/>
    <x v="8"/>
    <x v="8"/>
  </r>
  <r>
    <s v="KiwiBank"/>
    <s v="Saving"/>
    <s v="38-9016-xxxx-00"/>
    <d v="2024-02-04T00:00:00"/>
    <s v="TRF 4833481054851032 ;"/>
    <n v="-7.42"/>
    <x v="1"/>
    <x v="24"/>
    <x v="1"/>
  </r>
  <r>
    <s v="KiwiBank"/>
    <s v="Saving"/>
    <s v="38-9016-xxxx-00"/>
    <d v="2024-02-04T00:00:00"/>
    <s v="TRF 4833481054851032 ;"/>
    <n v="-4.2"/>
    <x v="1"/>
    <x v="24"/>
    <x v="1"/>
  </r>
  <r>
    <s v="KiwiBank"/>
    <s v="Saving"/>
    <s v="38-9016-xxxx-00"/>
    <d v="2024-02-05T00:00:00"/>
    <s v="TRF 4833481054851032 ;"/>
    <n v="-10.199999999999999"/>
    <x v="1"/>
    <x v="24"/>
    <x v="1"/>
  </r>
  <r>
    <s v="KiwiBank"/>
    <s v="Saving"/>
    <s v="38-9016-xxxx-00"/>
    <d v="2024-02-05T00:00:00"/>
    <s v="TRF 4833481054851032 ;"/>
    <n v="-5.1100000000000003"/>
    <x v="1"/>
    <x v="24"/>
    <x v="1"/>
  </r>
  <r>
    <s v="KiwiBank"/>
    <s v="Saving"/>
    <s v="38-9016-xxxx-00"/>
    <d v="2024-02-06T00:00:00"/>
    <s v="TRF 4833481054851032 ;"/>
    <n v="-48.56"/>
    <x v="1"/>
    <x v="24"/>
    <x v="1"/>
  </r>
  <r>
    <s v="KiwiBank"/>
    <s v="Saving"/>
    <s v="38-9016-xxxx-00"/>
    <d v="2024-02-07T00:00:00"/>
    <s v="TRANSFER FROM S TAEBI - 01 ;"/>
    <n v="482.86"/>
    <x v="1"/>
    <x v="24"/>
    <x v="1"/>
  </r>
  <r>
    <s v="KiwiBank"/>
    <s v="Saving"/>
    <s v="38-9016-xxxx-00"/>
    <d v="2024-02-07T00:00:00"/>
    <s v="TRF 4833481054851032 ;"/>
    <n v="-379.07"/>
    <x v="1"/>
    <x v="24"/>
    <x v="1"/>
  </r>
  <r>
    <s v="KiwiBank"/>
    <s v="Saving"/>
    <s v="38-9016-xxxx-00"/>
    <d v="2024-02-07T00:00:00"/>
    <s v="TRANSFER FROM S TAEBI - 01 ;"/>
    <n v="4451.75"/>
    <x v="1"/>
    <x v="24"/>
    <x v="1"/>
  </r>
  <r>
    <s v="KiwiBank"/>
    <s v="Saving"/>
    <s v="38-9016-xxxx-00"/>
    <d v="2024-02-07T00:00:00"/>
    <s v="Bill Payment MJ ANZ ALAVI SEYED M ;Ref: MJ ANZ ALAVI SEYED M"/>
    <n v="1729.79"/>
    <x v="1"/>
    <x v="24"/>
    <x v="1"/>
  </r>
  <r>
    <s v="KiwiBank"/>
    <s v="Saving"/>
    <s v="38-9016-xxxx-00"/>
    <d v="2024-02-07T00:00:00"/>
    <s v="TRF 4833481054851032 ;"/>
    <n v="-34.880000000000003"/>
    <x v="1"/>
    <x v="24"/>
    <x v="1"/>
  </r>
  <r>
    <s v="KiwiBank"/>
    <s v="Saving"/>
    <s v="38-9016-xxxx-00"/>
    <d v="2024-02-07T00:00:00"/>
    <s v="TRF 4833481054851032 ;"/>
    <n v="-145.43"/>
    <x v="1"/>
    <x v="24"/>
    <x v="1"/>
  </r>
  <r>
    <s v="KiwiBank"/>
    <s v="Saving"/>
    <s v="38-9016-xxxx-00"/>
    <d v="2024-02-07T00:00:00"/>
    <s v="AP#22653868 TO S M ALAVI  S TAEBI ;Pay S M ALAVI  S TAEBI"/>
    <n v="-520.99"/>
    <x v="1"/>
    <x v="24"/>
    <x v="1"/>
  </r>
  <r>
    <s v="KiwiBank"/>
    <s v="Saving"/>
    <s v="38-9016-xxxx-00"/>
    <d v="2024-02-08T00:00:00"/>
    <s v="TRF 4833481054851032 ;"/>
    <n v="-136.32"/>
    <x v="1"/>
    <x v="24"/>
    <x v="1"/>
  </r>
  <r>
    <s v="KiwiBank"/>
    <s v="Saving"/>
    <s v="38-9016-xxxx-00"/>
    <d v="2024-02-08T00:00:00"/>
    <s v="TRF 4833481054851032 ;"/>
    <n v="-44.95"/>
    <x v="1"/>
    <x v="24"/>
    <x v="1"/>
  </r>
  <r>
    <s v="KiwiBank"/>
    <s v="Saving"/>
    <s v="38-9016-xxxx-00"/>
    <d v="2024-02-09T00:00:00"/>
    <s v="TRANSFER FROM S TAEBI - 01 ;"/>
    <n v="3353.1"/>
    <x v="1"/>
    <x v="24"/>
    <x v="1"/>
  </r>
  <r>
    <s v="KiwiBank"/>
    <s v="Saving"/>
    <s v="38-9016-xxxx-00"/>
    <d v="2024-02-09T00:00:00"/>
    <s v="TRF 4833481054851032 ;"/>
    <n v="-2030.11"/>
    <x v="1"/>
    <x v="24"/>
    <x v="1"/>
  </r>
  <r>
    <s v="KiwiBank"/>
    <s v="Saving"/>
    <s v="38-9016-xxxx-00"/>
    <d v="2024-02-09T00:00:00"/>
    <s v="TRANSFER FROM S TAEBI - 01 ;"/>
    <n v="409.16"/>
    <x v="1"/>
    <x v="24"/>
    <x v="1"/>
  </r>
  <r>
    <s v="KiwiBank"/>
    <s v="Saving"/>
    <s v="38-9016-xxxx-00"/>
    <d v="2024-02-09T00:00:00"/>
    <s v="TRANSFER TO S TAEBI - 01 ;"/>
    <n v="-88.76"/>
    <x v="1"/>
    <x v="24"/>
    <x v="1"/>
  </r>
  <r>
    <s v="KiwiBank"/>
    <s v="Saving"/>
    <s v="38-9016-xxxx-00"/>
    <d v="2024-02-09T00:00:00"/>
    <s v="TRF 4833481054851032 ;"/>
    <n v="-356.52"/>
    <x v="1"/>
    <x v="24"/>
    <x v="1"/>
  </r>
  <r>
    <s v="KiwiBank"/>
    <s v="Saving"/>
    <s v="38-9016-xxxx-00"/>
    <d v="2024-02-09T00:00:00"/>
    <s v="Direct Credit MJ ASB MR S M ALAVI ;Ref: MJ ASB MR S M ALAVI"/>
    <n v="82.52"/>
    <x v="1"/>
    <x v="24"/>
    <x v="1"/>
  </r>
  <r>
    <s v="KiwiBank"/>
    <s v="Saving"/>
    <s v="38-9016-xxxx-00"/>
    <d v="2024-02-09T00:00:00"/>
    <s v="AP#18495353 TO S TAEBI  S M ALAVI ;Transfer to S TAEBI  S M ALAVI - 06"/>
    <n v="-1770.83"/>
    <x v="1"/>
    <x v="24"/>
    <x v="1"/>
  </r>
  <r>
    <s v="KiwiBank"/>
    <s v="Saving"/>
    <s v="38-9016-xxxx-00"/>
    <d v="2024-02-09T00:00:00"/>
    <s v="AP#18495354 TO S TAEBI  S M ALAVI ;Transfer to S TAEBI  S M ALAVI - 07"/>
    <n v="-1279.78"/>
    <x v="1"/>
    <x v="24"/>
    <x v="1"/>
  </r>
  <r>
    <s v="KiwiBank"/>
    <s v="Saving"/>
    <s v="38-9016-xxxx-00"/>
    <d v="2024-02-09T00:00:00"/>
    <s v="AP#20595693 TO S TAEBI  S M ALAVI ;Transfer to S TAEBI  S M ALAVI - 08"/>
    <n v="-240.16"/>
    <x v="1"/>
    <x v="24"/>
    <x v="1"/>
  </r>
  <r>
    <s v="KiwiBank"/>
    <s v="Saving"/>
    <s v="38-9016-xxxx-00"/>
    <d v="2024-02-10T00:00:00"/>
    <s v="TRF 4833481054851032 ;"/>
    <n v="-27.08"/>
    <x v="1"/>
    <x v="24"/>
    <x v="1"/>
  </r>
  <r>
    <s v="KiwiBank"/>
    <s v="Saving"/>
    <s v="38-9016-xxxx-00"/>
    <d v="2024-02-11T00:00:00"/>
    <s v="TRF 4833481054851032 ;"/>
    <n v="-7.18"/>
    <x v="1"/>
    <x v="24"/>
    <x v="1"/>
  </r>
  <r>
    <s v="KiwiBank"/>
    <s v="Saving"/>
    <s v="38-9016-xxxx-00"/>
    <d v="2024-02-11T00:00:00"/>
    <s v="TRANSFER FROM S TAEBI - 01 ;"/>
    <n v="3476.81"/>
    <x v="1"/>
    <x v="24"/>
    <x v="1"/>
  </r>
  <r>
    <s v="KiwiBank"/>
    <s v="Saving"/>
    <s v="38-9016-xxxx-00"/>
    <d v="2024-02-11T00:00:00"/>
    <s v="TRF 4833481054851032 ;"/>
    <n v="-4971.32"/>
    <x v="1"/>
    <x v="24"/>
    <x v="1"/>
  </r>
  <r>
    <s v="KiwiBank"/>
    <s v="Saving"/>
    <s v="38-9016-xxxx-00"/>
    <d v="2024-02-11T00:00:00"/>
    <s v="TRANSFER FROM S TAEBI - 01 ;"/>
    <n v="174.44"/>
    <x v="1"/>
    <x v="24"/>
    <x v="1"/>
  </r>
  <r>
    <s v="KiwiBank"/>
    <s v="Saving"/>
    <s v="38-9016-xxxx-00"/>
    <d v="2024-02-11T00:00:00"/>
    <s v="TRANSFER FROM S TAEBI - 01 ;"/>
    <n v="273.5"/>
    <x v="1"/>
    <x v="24"/>
    <x v="1"/>
  </r>
  <r>
    <s v="KiwiBank"/>
    <s v="Saving"/>
    <s v="38-9016-xxxx-00"/>
    <d v="2024-02-11T00:00:00"/>
    <s v="TRF 4833481054851032 ;"/>
    <n v="-495.04"/>
    <x v="1"/>
    <x v="24"/>
    <x v="1"/>
  </r>
  <r>
    <s v="KiwiBank"/>
    <s v="Saving"/>
    <s v="38-9016-xxxx-00"/>
    <d v="2024-02-14T00:00:00"/>
    <s v="TRF 4833481054851032 ;"/>
    <n v="-9.66"/>
    <x v="1"/>
    <x v="24"/>
    <x v="1"/>
  </r>
  <r>
    <s v="KiwiBank"/>
    <s v="Saving"/>
    <s v="38-9016-xxxx-00"/>
    <d v="2024-02-14T00:00:00"/>
    <s v="TRF 4833481054851032 ;"/>
    <n v="-7.4"/>
    <x v="1"/>
    <x v="24"/>
    <x v="1"/>
  </r>
  <r>
    <s v="KiwiBank"/>
    <s v="Saving"/>
    <s v="38-9016-xxxx-00"/>
    <d v="2024-02-14T00:00:00"/>
    <s v="Salary KIWIBANK FORTNIGHT ;"/>
    <n v="902.35"/>
    <x v="11"/>
    <x v="22"/>
    <x v="38"/>
  </r>
  <r>
    <s v="KiwiBank"/>
    <s v="Saving"/>
    <s v="38-9016-xxxx-00"/>
    <d v="2024-02-14T00:00:00"/>
    <s v="Direct Credit MJ ASB MR S M ALAVI ;Ref: MJ ASB MR S M ALAVI"/>
    <n v="1245.33"/>
    <x v="1"/>
    <x v="24"/>
    <x v="1"/>
  </r>
  <r>
    <s v="KiwiBank"/>
    <s v="Saving"/>
    <s v="38-9016-xxxx-00"/>
    <d v="2024-02-14T00:00:00"/>
    <s v="AP#22653868 TO S M ALAVI  S TAEBI ;Pay S M ALAVI  S TAEBI"/>
    <n v="-1228.77"/>
    <x v="1"/>
    <x v="24"/>
    <x v="1"/>
  </r>
  <r>
    <s v="KiwiBank"/>
    <s v="Saving"/>
    <s v="38-9016-xxxx-00"/>
    <d v="2024-02-15T00:00:00"/>
    <s v="TRF 4833481054851032 ;"/>
    <n v="-244.21"/>
    <x v="1"/>
    <x v="24"/>
    <x v="1"/>
  </r>
  <r>
    <s v="KiwiBank"/>
    <s v="Saving"/>
    <s v="38-9016-xxxx-00"/>
    <d v="2024-02-15T00:00:00"/>
    <s v="TRF 4833481054851032 ;"/>
    <n v="-655.45"/>
    <x v="1"/>
    <x v="24"/>
    <x v="1"/>
  </r>
  <r>
    <s v="KiwiBank"/>
    <s v="Saving"/>
    <s v="38-9016-xxxx-00"/>
    <d v="2024-02-15T00:00:00"/>
    <s v="TRANSFER TO S TAEBI - 01 ;"/>
    <n v="-575.92999999999995"/>
    <x v="1"/>
    <x v="24"/>
    <x v="1"/>
  </r>
  <r>
    <s v="KiwiBank"/>
    <s v="Saving"/>
    <s v="38-9016-xxxx-00"/>
    <d v="2024-02-15T00:00:00"/>
    <s v="Bill Payment MJ ANZ ALAVI SEYED M ;Ref: MJ ANZ ALAVI SEYED M"/>
    <n v="1167.9100000000001"/>
    <x v="1"/>
    <x v="24"/>
    <x v="1"/>
  </r>
  <r>
    <s v="KiwiBank"/>
    <s v="Saving"/>
    <s v="38-9016-xxxx-00"/>
    <d v="2024-02-16T00:00:00"/>
    <s v="TRANSFER TO S TAEBI - 01 ;"/>
    <n v="-140.22999999999999"/>
    <x v="1"/>
    <x v="24"/>
    <x v="1"/>
  </r>
  <r>
    <s v="KiwiBank"/>
    <s v="Saving"/>
    <s v="38-9016-xxxx-00"/>
    <d v="2024-02-16T00:00:00"/>
    <s v="PAY mina ;"/>
    <n v="-26.93"/>
    <x v="4"/>
    <x v="12"/>
    <x v="12"/>
  </r>
  <r>
    <s v="KiwiBank"/>
    <s v="Saving"/>
    <s v="38-9016-xxxx-00"/>
    <d v="2024-02-16T00:00:00"/>
    <s v="TRF 4833481054851032 ;"/>
    <n v="-234.09"/>
    <x v="1"/>
    <x v="24"/>
    <x v="1"/>
  </r>
  <r>
    <s v="KiwiBank"/>
    <s v="Saving"/>
    <s v="38-9016-xxxx-00"/>
    <d v="2024-02-16T00:00:00"/>
    <s v="Direct Debit -SOUTHERN CROSS MEDICAL CARE SOCIETY ;Ref: 23284297 000 032542056"/>
    <n v="-13.2"/>
    <x v="8"/>
    <x v="25"/>
    <x v="39"/>
  </r>
  <r>
    <s v="KiwiBank"/>
    <s v="Saving"/>
    <s v="38-9016-xxxx-00"/>
    <d v="2024-02-18T00:00:00"/>
    <s v="TRF 4833481054851032 ;"/>
    <n v="-18.16"/>
    <x v="1"/>
    <x v="24"/>
    <x v="1"/>
  </r>
  <r>
    <s v="KiwiBank"/>
    <s v="Saving"/>
    <s v="38-9016-xxxx-00"/>
    <d v="2024-02-18T00:00:00"/>
    <s v="TRF 4833481054851032 ;"/>
    <n v="-54.26"/>
    <x v="1"/>
    <x v="24"/>
    <x v="1"/>
  </r>
  <r>
    <s v="KiwiBank"/>
    <s v="Saving"/>
    <s v="38-9016-xxxx-00"/>
    <d v="2024-02-18T00:00:00"/>
    <s v="TRF 4833481054851032 ;"/>
    <n v="-39.200000000000003"/>
    <x v="1"/>
    <x v="24"/>
    <x v="1"/>
  </r>
  <r>
    <s v="KiwiBank"/>
    <s v="Saving"/>
    <s v="38-9016-xxxx-00"/>
    <d v="2024-02-20T00:00:00"/>
    <s v="TRANSFER FROM S TAEBI - 01 ;"/>
    <n v="124.9"/>
    <x v="1"/>
    <x v="24"/>
    <x v="1"/>
  </r>
  <r>
    <s v="KiwiBank"/>
    <s v="Saving"/>
    <s v="38-9016-xxxx-00"/>
    <d v="2024-02-20T00:00:00"/>
    <s v="TRF 4833481054851032 ;"/>
    <n v="-389.48"/>
    <x v="1"/>
    <x v="24"/>
    <x v="1"/>
  </r>
  <r>
    <s v="KiwiBank"/>
    <s v="Saving"/>
    <s v="38-9016-xxxx-00"/>
    <d v="2024-02-21T00:00:00"/>
    <s v="TRF 4833481054851032 ;"/>
    <n v="-32.450000000000003"/>
    <x v="1"/>
    <x v="24"/>
    <x v="1"/>
  </r>
  <r>
    <s v="KiwiBank"/>
    <s v="Saving"/>
    <s v="38-9016-xxxx-00"/>
    <d v="2024-02-21T00:00:00"/>
    <s v="TRANSFER FROM S TAEBI - 01 ;"/>
    <n v="680.42"/>
    <x v="1"/>
    <x v="24"/>
    <x v="1"/>
  </r>
  <r>
    <s v="KiwiBank"/>
    <s v="Saving"/>
    <s v="38-9016-xxxx-00"/>
    <d v="2024-02-21T00:00:00"/>
    <s v="Bill Payment MJ ANZ ALAVI SEYED M ;Ref: MJ ANZ ALAVI SEYED M"/>
    <n v="916.83"/>
    <x v="1"/>
    <x v="24"/>
    <x v="1"/>
  </r>
  <r>
    <s v="KiwiBank"/>
    <s v="Saving"/>
    <s v="38-9016-xxxx-00"/>
    <d v="2024-02-21T00:00:00"/>
    <s v="AP#22653868 TO S M ALAVI  S TAEBI ;Pay S M ALAVI  S TAEBI"/>
    <n v="-825.88"/>
    <x v="1"/>
    <x v="24"/>
    <x v="1"/>
  </r>
  <r>
    <s v="KiwiBank"/>
    <s v="Saving"/>
    <s v="38-9016-xxxx-00"/>
    <d v="2024-02-22T00:00:00"/>
    <s v="TRF 4833481054851032 ;"/>
    <n v="-5.93"/>
    <x v="1"/>
    <x v="24"/>
    <x v="1"/>
  </r>
  <r>
    <s v="KiwiBank"/>
    <s v="Saving"/>
    <s v="38-9016-xxxx-00"/>
    <d v="2024-02-22T00:00:00"/>
    <s v="TRANSFER FROM S TAEBI - 01 ;"/>
    <n v="1341.15"/>
    <x v="1"/>
    <x v="24"/>
    <x v="1"/>
  </r>
  <r>
    <s v="KiwiBank"/>
    <s v="Saving"/>
    <s v="38-9016-xxxx-00"/>
    <d v="2024-02-22T00:00:00"/>
    <s v="TRF 4833481054851032 ;"/>
    <n v="-18.84"/>
    <x v="1"/>
    <x v="24"/>
    <x v="1"/>
  </r>
  <r>
    <s v="KiwiBank"/>
    <s v="Saving"/>
    <s v="38-9016-xxxx-00"/>
    <d v="2024-02-23T00:00:00"/>
    <s v="AP#18495353 TO S TAEBI  S M ALAVI ;Transfer to S TAEBI  S M ALAVI - 06"/>
    <n v="-872.5"/>
    <x v="1"/>
    <x v="24"/>
    <x v="1"/>
  </r>
  <r>
    <s v="KiwiBank"/>
    <s v="Saving"/>
    <s v="38-9016-xxxx-00"/>
    <d v="2024-02-23T00:00:00"/>
    <s v="AP#18495354 TO S TAEBI  S M ALAVI ;Transfer to S TAEBI  S M ALAVI - 07"/>
    <n v="-295.45"/>
    <x v="1"/>
    <x v="24"/>
    <x v="1"/>
  </r>
  <r>
    <s v="KiwiBank"/>
    <s v="Saving"/>
    <s v="38-9016-xxxx-00"/>
    <d v="2024-02-23T00:00:00"/>
    <s v="AP#20595693 TO S TAEBI  S M ALAVI ;Transfer to S TAEBI  S M ALAVI - 08"/>
    <n v="-472.64"/>
    <x v="1"/>
    <x v="24"/>
    <x v="1"/>
  </r>
  <r>
    <s v="KiwiBank"/>
    <s v="Saving"/>
    <s v="38-9016-xxxx-00"/>
    <d v="2024-02-24T00:00:00"/>
    <s v="TRANSFER FROM S TAEBI - 01 ;"/>
    <n v="195.29"/>
    <x v="1"/>
    <x v="24"/>
    <x v="1"/>
  </r>
  <r>
    <s v="KiwiBank"/>
    <s v="Saving"/>
    <s v="38-9016-xxxx-00"/>
    <d v="2024-02-24T00:00:00"/>
    <s v="TRF 4833481054851032 ;"/>
    <n v="-20.49"/>
    <x v="1"/>
    <x v="24"/>
    <x v="1"/>
  </r>
  <r>
    <s v="KiwiBank"/>
    <s v="Saving"/>
    <s v="38-9016-xxxx-00"/>
    <d v="2024-02-25T00:00:00"/>
    <s v="TRF 4833481054851032 ;"/>
    <n v="-46.34"/>
    <x v="1"/>
    <x v="24"/>
    <x v="1"/>
  </r>
  <r>
    <s v="KiwiBank"/>
    <s v="Saving"/>
    <s v="38-9016-xxxx-00"/>
    <d v="2024-02-26T00:00:00"/>
    <s v="PAY M P BARTON ;"/>
    <n v="-0.53"/>
    <x v="3"/>
    <x v="8"/>
    <x v="8"/>
  </r>
  <r>
    <s v="KiwiBank"/>
    <s v="Saving"/>
    <s v="38-9016-xxxx-00"/>
    <d v="2024-02-27T00:00:00"/>
    <s v="Direct Credit MJ ASB MR S M ALAVI ;Ref: MJ ASB MR S M ALAVI"/>
    <n v="233.24"/>
    <x v="1"/>
    <x v="24"/>
    <x v="1"/>
  </r>
  <r>
    <s v="KiwiBank"/>
    <s v="Saving"/>
    <s v="38-9016-xxxx-00"/>
    <d v="2024-02-27T00:00:00"/>
    <s v="TRF 4833481054851032 ;"/>
    <n v="-140.37"/>
    <x v="1"/>
    <x v="24"/>
    <x v="1"/>
  </r>
  <r>
    <s v="KiwiBank"/>
    <s v="Saving"/>
    <s v="38-9016-xxxx-00"/>
    <d v="2024-02-27T00:00:00"/>
    <s v="TRF 4833481054851032 ;"/>
    <n v="-0.01"/>
    <x v="1"/>
    <x v="24"/>
    <x v="1"/>
  </r>
  <r>
    <s v="KiwiBank"/>
    <s v="Saving"/>
    <s v="38-9016-xxxx-00"/>
    <d v="2024-02-28T00:00:00"/>
    <s v="Salary KIWIBANK FORTNIGHT ;"/>
    <n v="1965.05"/>
    <x v="11"/>
    <x v="22"/>
    <x v="38"/>
  </r>
  <r>
    <s v="KiwiBank"/>
    <s v="Saving"/>
    <s v="38-9016-xxxx-00"/>
    <d v="2024-02-28T00:00:00"/>
    <s v="TRF 4833481054851032 ;"/>
    <n v="-3546.83"/>
    <x v="1"/>
    <x v="24"/>
    <x v="1"/>
  </r>
  <r>
    <s v="KiwiBank"/>
    <s v="Saving"/>
    <s v="38-9016-xxxx-00"/>
    <d v="2024-02-28T00:00:00"/>
    <s v="Bill Payment MJ ANZ ALAVI SEYED M ;Ref: MJ ANZ ALAVI SEYED M"/>
    <n v="671.16"/>
    <x v="1"/>
    <x v="24"/>
    <x v="1"/>
  </r>
  <r>
    <s v="KiwiBank"/>
    <s v="Saving"/>
    <s v="38-9016-xxxx-00"/>
    <d v="2024-02-28T00:00:00"/>
    <s v="Direct Credit MJ ASB MR S M ALAVI ;Ref: MJ ASB MR S M ALAVI"/>
    <n v="43.9"/>
    <x v="1"/>
    <x v="24"/>
    <x v="1"/>
  </r>
  <r>
    <s v="KiwiBank"/>
    <s v="Saving"/>
    <s v="38-9016-xxxx-00"/>
    <d v="2024-02-28T00:00:00"/>
    <s v="AP#22653868 TO S M ALAVI  S TAEBI ;Pay S M ALAVI  S TAEBI"/>
    <n v="-640.9"/>
    <x v="1"/>
    <x v="24"/>
    <x v="1"/>
  </r>
  <r>
    <s v="KiwiBank"/>
    <s v="Saving"/>
    <s v="38-9016-xxxx-00"/>
    <d v="2024-02-29T00:00:00"/>
    <s v="TRF 4833481054851032 ;"/>
    <n v="-12.85"/>
    <x v="1"/>
    <x v="24"/>
    <x v="1"/>
  </r>
  <r>
    <s v="KiwiBank"/>
    <s v="Saving"/>
    <s v="38-9016-xxxx-00"/>
    <d v="2024-02-29T00:00:00"/>
    <s v="TRANSFER TO S TAEBI - 01 ;"/>
    <n v="-1266.81"/>
    <x v="1"/>
    <x v="24"/>
    <x v="1"/>
  </r>
  <r>
    <s v="KiwiBank"/>
    <s v="Saving"/>
    <s v="38-9016-xxxx-00"/>
    <d v="2024-02-29T00:00:00"/>
    <s v="INTEREST DEBIT ;"/>
    <n v="0"/>
    <x v="5"/>
    <x v="7"/>
    <x v="7"/>
  </r>
  <r>
    <s v="KiwiBank"/>
    <s v="Saving"/>
    <s v="38-9016-xxxx-00"/>
    <d v="2024-03-01T00:00:00"/>
    <s v="TRANSFER FROM S TAEBI - 01 ;"/>
    <n v="35.96"/>
    <x v="1"/>
    <x v="24"/>
    <x v="1"/>
  </r>
  <r>
    <s v="KiwiBank"/>
    <s v="Saving"/>
    <s v="38-9016-xxxx-00"/>
    <d v="2024-03-01T00:00:00"/>
    <s v="Direct Debit -SOUTHERN CROSS MEDICAL CARE SOCIETY ;Ref: 23284297 000 032673191"/>
    <n v="-8.0299999999999994"/>
    <x v="8"/>
    <x v="25"/>
    <x v="39"/>
  </r>
  <r>
    <s v="KiwiBank"/>
    <s v="Saving"/>
    <s v="38-9016-xxxx-00"/>
    <d v="2024-03-02T00:00:00"/>
    <s v="PAY veg ;"/>
    <n v="-2.27"/>
    <x v="3"/>
    <x v="8"/>
    <x v="8"/>
  </r>
  <r>
    <s v="KiwiBank"/>
    <s v="Saving"/>
    <s v="38-9016-xxxx-00"/>
    <d v="2024-03-02T00:00:00"/>
    <s v="PAY bluberry ;"/>
    <n v="-11.24"/>
    <x v="3"/>
    <x v="8"/>
    <x v="8"/>
  </r>
  <r>
    <s v="KiwiBank"/>
    <s v="Saving"/>
    <s v="38-9016-xxxx-00"/>
    <d v="2024-03-02T00:00:00"/>
    <s v="TRF 4833481054851032 ;"/>
    <n v="-31.64"/>
    <x v="1"/>
    <x v="24"/>
    <x v="1"/>
  </r>
  <r>
    <s v="KiwiBank"/>
    <s v="Saving"/>
    <s v="38-9016-xxxx-00"/>
    <d v="2024-03-02T00:00:00"/>
    <s v="TRF 4833481054851032 ;"/>
    <n v="-24.32"/>
    <x v="1"/>
    <x v="24"/>
    <x v="1"/>
  </r>
  <r>
    <s v="KiwiBank"/>
    <s v="Saving"/>
    <s v="38-9016-xxxx-00"/>
    <d v="2024-03-03T00:00:00"/>
    <s v="TRF 4833481054851032 ;"/>
    <n v="-33.799999999999997"/>
    <x v="1"/>
    <x v="24"/>
    <x v="1"/>
  </r>
  <r>
    <s v="KiwiBank"/>
    <s v="Saving"/>
    <s v="38-9016-xxxx-00"/>
    <d v="2024-03-04T00:00:00"/>
    <s v="TRF 4833481054851032 ;"/>
    <n v="-8.42"/>
    <x v="1"/>
    <x v="24"/>
    <x v="1"/>
  </r>
  <r>
    <s v="KiwiBank"/>
    <s v="Saving"/>
    <s v="38-9016-xxxx-00"/>
    <d v="2024-03-05T00:00:00"/>
    <s v="TRF 4833481054851032 ;"/>
    <n v="-24.55"/>
    <x v="1"/>
    <x v="24"/>
    <x v="1"/>
  </r>
  <r>
    <s v="KiwiBank"/>
    <s v="Saving"/>
    <s v="38-9016-xxxx-00"/>
    <d v="2024-03-06T00:00:00"/>
    <s v="TRF 4833481054851032 ;"/>
    <n v="-61.43"/>
    <x v="1"/>
    <x v="24"/>
    <x v="1"/>
  </r>
  <r>
    <s v="KiwiBank"/>
    <s v="Saving"/>
    <s v="38-9016-xxxx-00"/>
    <d v="2024-03-06T00:00:00"/>
    <s v="TRANSFER FROM S TAEBI - 01 ;"/>
    <n v="3422.08"/>
    <x v="1"/>
    <x v="24"/>
    <x v="1"/>
  </r>
  <r>
    <s v="KiwiBank"/>
    <s v="Saving"/>
    <s v="38-9016-xxxx-00"/>
    <d v="2024-03-06T00:00:00"/>
    <s v="AP#22653868 TO S M ALAVI  S TAEBI ;Pay S M ALAVI  S TAEBI"/>
    <n v="-456.89"/>
    <x v="1"/>
    <x v="24"/>
    <x v="1"/>
  </r>
  <r>
    <s v="KiwiBank"/>
    <s v="Saving"/>
    <s v="38-9016-xxxx-00"/>
    <d v="2024-03-06T00:00:00"/>
    <s v="Bill Payment MJ ANZ ALAVI SEYED M ;Ref: MJ ANZ ALAVI SEYED M"/>
    <n v="549.15"/>
    <x v="1"/>
    <x v="24"/>
    <x v="1"/>
  </r>
  <r>
    <s v="KiwiBank"/>
    <s v="Saving"/>
    <s v="38-9016-xxxx-00"/>
    <d v="2024-03-06T00:00:00"/>
    <s v="TRANSFER FROM S TAEBI - 01 ;"/>
    <n v="108.87"/>
    <x v="1"/>
    <x v="24"/>
    <x v="1"/>
  </r>
  <r>
    <s v="KiwiBank"/>
    <s v="Saving"/>
    <s v="38-9016-xxxx-00"/>
    <d v="2024-03-06T00:00:00"/>
    <s v="TRF 4833481054851032 ;"/>
    <n v="-228.07"/>
    <x v="1"/>
    <x v="24"/>
    <x v="1"/>
  </r>
  <r>
    <s v="KiwiBank"/>
    <s v="Saving"/>
    <s v="38-9016-xxxx-00"/>
    <d v="2024-03-07T00:00:00"/>
    <s v="Direct Credit Arianna MR P S NORFOLK AND ;Ref: Arianna MR P S NORFOLK AND"/>
    <n v="40.61"/>
    <x v="3"/>
    <x v="8"/>
    <x v="8"/>
  </r>
  <r>
    <s v="KiwiBank"/>
    <s v="Saving"/>
    <s v="38-9016-xxxx-00"/>
    <d v="2024-03-07T00:00:00"/>
    <s v="TRF 4833481054851032 ;"/>
    <n v="-139.25"/>
    <x v="1"/>
    <x v="24"/>
    <x v="1"/>
  </r>
  <r>
    <s v="KiwiBank"/>
    <s v="Saving"/>
    <s v="38-9016-xxxx-00"/>
    <d v="2024-03-08T00:00:00"/>
    <s v="AP#18495353 TO S TAEBI  S M ALAVI ;Transfer to S TAEBI  S M ALAVI - 06"/>
    <n v="-781.25"/>
    <x v="1"/>
    <x v="24"/>
    <x v="1"/>
  </r>
  <r>
    <s v="KiwiBank"/>
    <s v="Saving"/>
    <s v="38-9016-xxxx-00"/>
    <d v="2024-03-08T00:00:00"/>
    <s v="AP#18495354 TO S TAEBI  S M ALAVI ;Transfer to S TAEBI  S M ALAVI - 07"/>
    <n v="-314.77999999999997"/>
    <x v="1"/>
    <x v="24"/>
    <x v="1"/>
  </r>
  <r>
    <s v="KiwiBank"/>
    <s v="Saving"/>
    <s v="38-9016-xxxx-00"/>
    <d v="2024-03-08T00:00:00"/>
    <s v="AP#20595693 TO S TAEBI  S M ALAVI ;Transfer to S TAEBI  S M ALAVI - 08"/>
    <n v="-352.79"/>
    <x v="1"/>
    <x v="24"/>
    <x v="1"/>
  </r>
  <r>
    <s v="KiwiBank"/>
    <s v="Saving"/>
    <s v="38-9016-xxxx-00"/>
    <d v="2024-03-09T00:00:00"/>
    <s v="TRF 4833481054851032 ;"/>
    <n v="-14.41"/>
    <x v="1"/>
    <x v="24"/>
    <x v="1"/>
  </r>
  <r>
    <s v="KiwiBank"/>
    <s v="Saving"/>
    <s v="38-9016-xxxx-00"/>
    <d v="2024-03-09T00:00:00"/>
    <s v="PAY eggplant ;"/>
    <n v="-7.68"/>
    <x v="3"/>
    <x v="8"/>
    <x v="8"/>
  </r>
  <r>
    <s v="KiwiBank"/>
    <s v="Saving"/>
    <s v="38-9016-xxxx-00"/>
    <d v="2024-03-10T00:00:00"/>
    <s v="TRANSFER FROM S TAEBI - 01 ;"/>
    <n v="362.44"/>
    <x v="1"/>
    <x v="24"/>
    <x v="1"/>
  </r>
  <r>
    <s v="KiwiBank"/>
    <s v="Saving"/>
    <s v="38-9016-xxxx-00"/>
    <d v="2024-03-10T00:00:00"/>
    <s v="TRF 4833481054851032 ;"/>
    <n v="-76.739999999999995"/>
    <x v="1"/>
    <x v="24"/>
    <x v="1"/>
  </r>
  <r>
    <s v="KiwiBank"/>
    <s v="Saving"/>
    <s v="38-9016-xxxx-00"/>
    <d v="2024-03-13T00:00:00"/>
    <s v="TRF 4833481054851032 ;"/>
    <n v="-107.83"/>
    <x v="1"/>
    <x v="24"/>
    <x v="1"/>
  </r>
  <r>
    <s v="KiwiBank"/>
    <s v="Saving"/>
    <s v="38-9016-xxxx-00"/>
    <d v="2024-03-13T00:00:00"/>
    <s v="Salary KIWIBANK FORTNIGHT ;"/>
    <n v="760.03"/>
    <x v="11"/>
    <x v="22"/>
    <x v="38"/>
  </r>
  <r>
    <s v="KiwiBank"/>
    <s v="Saving"/>
    <s v="38-9016-xxxx-00"/>
    <d v="2024-03-13T00:00:00"/>
    <s v="TRANSFER TO S TAEBI - 01 ;"/>
    <n v="-175.4"/>
    <x v="1"/>
    <x v="24"/>
    <x v="1"/>
  </r>
  <r>
    <s v="KiwiBank"/>
    <s v="Saving"/>
    <s v="38-9016-xxxx-00"/>
    <d v="2024-03-13T00:00:00"/>
    <s v="AP#22653868 TO S M ALAVI  S TAEBI ;Pay S M ALAVI  S TAEBI"/>
    <n v="-929.13"/>
    <x v="1"/>
    <x v="24"/>
    <x v="1"/>
  </r>
  <r>
    <s v="KiwiBank"/>
    <s v="Saving"/>
    <s v="38-9016-xxxx-00"/>
    <d v="2024-03-13T00:00:00"/>
    <s v="Bill Payment MJ ANZ ALAVI SEYED M ;Ref: MJ ANZ ALAVI SEYED M"/>
    <n v="1117.23"/>
    <x v="1"/>
    <x v="24"/>
    <x v="1"/>
  </r>
  <r>
    <s v="KiwiBank"/>
    <s v="Saving"/>
    <s v="38-9016-xxxx-00"/>
    <d v="2024-03-13T00:00:00"/>
    <s v="Direct Credit MJ ASB MR S M ALAVI ;Ref: MJ ASB MR S M ALAVI"/>
    <n v="795.2"/>
    <x v="1"/>
    <x v="24"/>
    <x v="1"/>
  </r>
  <r>
    <s v="KiwiBank"/>
    <s v="Saving"/>
    <s v="38-9016-xxxx-00"/>
    <d v="2024-03-14T00:00:00"/>
    <s v="TRANSFER TO S TAEBI - 01 ;"/>
    <n v="-666.45"/>
    <x v="1"/>
    <x v="24"/>
    <x v="1"/>
  </r>
  <r>
    <s v="KiwiBank"/>
    <s v="Saving"/>
    <s v="38-9016-xxxx-00"/>
    <d v="2024-03-14T00:00:00"/>
    <s v="TRANSFER FROM S TAEBI - 01 ;"/>
    <n v="697.49"/>
    <x v="1"/>
    <x v="24"/>
    <x v="1"/>
  </r>
  <r>
    <s v="KiwiBank"/>
    <s v="Saving"/>
    <s v="38-9016-xxxx-00"/>
    <d v="2024-03-14T00:00:00"/>
    <s v="TRF 4833481054851032 ;"/>
    <n v="-61.62"/>
    <x v="1"/>
    <x v="24"/>
    <x v="1"/>
  </r>
  <r>
    <s v="KiwiBank"/>
    <s v="Saving"/>
    <s v="38-9016-xxxx-00"/>
    <d v="2024-03-14T00:00:00"/>
    <s v="TRF 4833481054851032 ;"/>
    <n v="-138.74"/>
    <x v="1"/>
    <x v="24"/>
    <x v="1"/>
  </r>
  <r>
    <s v="KiwiBank"/>
    <s v="Saving"/>
    <s v="38-9016-xxxx-00"/>
    <d v="2024-03-15T00:00:00"/>
    <s v="TRF 4833481054851032 ;"/>
    <n v="-206"/>
    <x v="1"/>
    <x v="24"/>
    <x v="1"/>
  </r>
  <r>
    <s v="KiwiBank"/>
    <s v="Saving"/>
    <s v="38-9016-xxxx-00"/>
    <d v="2024-03-15T00:00:00"/>
    <s v="Direct Debit -SOUTHERN CROSS MEDICAL CARE SOCIETY ;Ref: 23284297 000 032802710"/>
    <n v="-14.21"/>
    <x v="8"/>
    <x v="25"/>
    <x v="39"/>
  </r>
  <r>
    <s v="KiwiBank"/>
    <s v="Saving"/>
    <s v="38-9016-xxxx-00"/>
    <d v="2024-03-16T00:00:00"/>
    <s v="TRF 4833481054851032 ;"/>
    <n v="-138.94"/>
    <x v="1"/>
    <x v="24"/>
    <x v="1"/>
  </r>
  <r>
    <s v="KiwiBank"/>
    <s v="Saving"/>
    <s v="38-9016-xxxx-00"/>
    <d v="2024-03-16T00:00:00"/>
    <s v="TRANSFER FROM S TAEBI - 01 ;"/>
    <n v="538.02"/>
    <x v="1"/>
    <x v="24"/>
    <x v="1"/>
  </r>
  <r>
    <s v="KiwiBank"/>
    <s v="Saving"/>
    <s v="38-9016-xxxx-00"/>
    <d v="2024-03-19T00:00:00"/>
    <s v="TRF 4833481054851032 ;"/>
    <n v="-0.7"/>
    <x v="1"/>
    <x v="24"/>
    <x v="1"/>
  </r>
  <r>
    <s v="KiwiBank"/>
    <s v="Saving"/>
    <s v="38-9016-xxxx-00"/>
    <d v="2024-03-20T00:00:00"/>
    <s v="TRANSFER FROM S TAEBI - 01 ;"/>
    <n v="4977.87"/>
    <x v="1"/>
    <x v="24"/>
    <x v="1"/>
  </r>
  <r>
    <s v="KiwiBank"/>
    <s v="Saving"/>
    <s v="38-9016-xxxx-00"/>
    <d v="2024-03-20T00:00:00"/>
    <s v="TRF 4833481054851032 ;"/>
    <n v="-71.14"/>
    <x v="1"/>
    <x v="24"/>
    <x v="1"/>
  </r>
  <r>
    <s v="KiwiBank"/>
    <s v="Saving"/>
    <s v="38-9016-xxxx-00"/>
    <d v="2024-03-20T00:00:00"/>
    <s v="TRF 4833481054851032 ;"/>
    <n v="-91.85"/>
    <x v="1"/>
    <x v="24"/>
    <x v="1"/>
  </r>
  <r>
    <s v="KiwiBank"/>
    <s v="Saving"/>
    <s v="38-9016-xxxx-00"/>
    <d v="2024-03-20T00:00:00"/>
    <s v="AP#22653868 TO S M ALAVI  S TAEBI ;Pay S M ALAVI  S TAEBI"/>
    <n v="-905.57"/>
    <x v="1"/>
    <x v="24"/>
    <x v="1"/>
  </r>
  <r>
    <s v="KiwiBank"/>
    <s v="Saving"/>
    <s v="38-9016-xxxx-00"/>
    <d v="2024-03-22T00:00:00"/>
    <s v="Bill Payment MJ ANZ ALAVI SEYED M ;Ref: MJ ANZ ALAVI SEYED M"/>
    <n v="260.14999999999998"/>
    <x v="1"/>
    <x v="24"/>
    <x v="1"/>
  </r>
  <r>
    <s v="KiwiBank"/>
    <s v="Saving"/>
    <s v="38-9016-xxxx-00"/>
    <d v="2024-03-22T00:00:00"/>
    <s v="AP#18495353 TO S TAEBI  S M ALAVI ;Transfer to S TAEBI  S M ALAVI - 06"/>
    <n v="-1664.62"/>
    <x v="1"/>
    <x v="24"/>
    <x v="1"/>
  </r>
  <r>
    <s v="KiwiBank"/>
    <s v="Saving"/>
    <s v="38-9016-xxxx-00"/>
    <d v="2024-03-22T00:00:00"/>
    <s v="AP#18495354 TO S TAEBI  S M ALAVI ;Transfer to S TAEBI  S M ALAVI - 07"/>
    <n v="-1797.45"/>
    <x v="1"/>
    <x v="24"/>
    <x v="1"/>
  </r>
  <r>
    <s v="KiwiBank"/>
    <s v="Saving"/>
    <s v="38-9016-xxxx-00"/>
    <d v="2024-03-22T00:00:00"/>
    <s v="AP#20595693 TO S TAEBI  S M ALAVI ;Transfer to S TAEBI  S M ALAVI - 08"/>
    <n v="-421.61"/>
    <x v="1"/>
    <x v="24"/>
    <x v="1"/>
  </r>
  <r>
    <s v="KiwiBank"/>
    <s v="Saving"/>
    <s v="38-9016-xxxx-00"/>
    <d v="2024-03-22T00:00:00"/>
    <s v="Direct Debit -MEMBERSHIP SERVICES LTD ;Ref: MEMBERSHIP SERVICES LTD SL CACI W134"/>
    <n v="-197.89"/>
    <x v="3"/>
    <x v="6"/>
    <x v="6"/>
  </r>
  <r>
    <s v="KiwiBank"/>
    <s v="Saving"/>
    <s v="38-9016-xxxx-00"/>
    <d v="2024-03-23T00:00:00"/>
    <s v="TRANSFER TO S TAEBI - 01 ;"/>
    <n v="-1315.38"/>
    <x v="1"/>
    <x v="24"/>
    <x v="1"/>
  </r>
  <r>
    <s v="KiwiBank"/>
    <s v="Saving"/>
    <s v="38-9016-xxxx-00"/>
    <d v="2024-03-25T00:00:00"/>
    <s v="DD SET-UP FEE #1223759 ;"/>
    <n v="-0.27"/>
    <x v="5"/>
    <x v="7"/>
    <x v="7"/>
  </r>
  <r>
    <s v="KiwiBank"/>
    <s v="Saving"/>
    <s v="38-9016-xxxx-00"/>
    <d v="2024-03-25T00:00:00"/>
    <s v="TRF 4833481054851032 ;"/>
    <n v="-4.54"/>
    <x v="1"/>
    <x v="24"/>
    <x v="1"/>
  </r>
  <r>
    <s v="KiwiBank"/>
    <s v="Saving"/>
    <s v="38-9016-xxxx-00"/>
    <d v="2024-03-27T00:00:00"/>
    <s v="Salary KIWIBANK FORTNIGHT ;"/>
    <n v="1260.57"/>
    <x v="11"/>
    <x v="22"/>
    <x v="38"/>
  </r>
  <r>
    <s v="KiwiBank"/>
    <s v="Saving"/>
    <s v="38-9016-xxxx-00"/>
    <d v="2024-03-27T00:00:00"/>
    <s v="Bill Payment MJ ANZ ALAVI SEYED M ;Ref: MJ ANZ ALAVI SEYED M"/>
    <n v="596.16"/>
    <x v="1"/>
    <x v="24"/>
    <x v="1"/>
  </r>
  <r>
    <s v="KiwiBank"/>
    <s v="Saving"/>
    <s v="38-9016-xxxx-00"/>
    <d v="2024-03-27T00:00:00"/>
    <s v="AP#22653868 TO S M ALAVI  S TAEBI ;Pay S M ALAVI  S TAEBI"/>
    <n v="-866.49"/>
    <x v="1"/>
    <x v="24"/>
    <x v="1"/>
  </r>
  <r>
    <s v="KiwiBank"/>
    <s v="Saving"/>
    <s v="38-9016-xxxx-00"/>
    <d v="2024-03-28T00:00:00"/>
    <s v="TRF 4833481054851032 ;"/>
    <n v="-66.39"/>
    <x v="1"/>
    <x v="24"/>
    <x v="1"/>
  </r>
  <r>
    <s v="KiwiBank"/>
    <s v="Saving"/>
    <s v="38-9016-xxxx-00"/>
    <d v="2024-03-29T00:00:00"/>
    <s v="TRANSFER TO S TAEBI - 01 ;"/>
    <n v="-3636.38"/>
    <x v="1"/>
    <x v="24"/>
    <x v="1"/>
  </r>
  <r>
    <s v="KiwiBank"/>
    <s v="Saving"/>
    <s v="38-9016-xxxx-00"/>
    <d v="2024-03-29T00:00:00"/>
    <s v="Direct Debit -SOUTHERN CROSS MEDICAL CARE SOCIETY ;Ref: 23284297 000 032934898"/>
    <n v="-14.29"/>
    <x v="8"/>
    <x v="25"/>
    <x v="39"/>
  </r>
  <r>
    <s v="KiwiBank"/>
    <s v="Saving"/>
    <s v="38-9016-xxxx-00"/>
    <d v="2024-03-30T00:00:00"/>
    <s v="Bill Payment Lunch NAZERI Y ;Ref: Lunch NAZERI Y"/>
    <n v="19.27"/>
    <x v="3"/>
    <x v="8"/>
    <x v="8"/>
  </r>
  <r>
    <s v="KiwiBank"/>
    <s v="Saving"/>
    <s v="38-9016-xxxx-00"/>
    <d v="2024-03-30T00:00:00"/>
    <s v="PAY honey ;"/>
    <n v="-11.54"/>
    <x v="3"/>
    <x v="8"/>
    <x v="8"/>
  </r>
  <r>
    <s v="KiwiBank"/>
    <s v="Saving"/>
    <s v="38-9016-xxxx-00"/>
    <d v="2024-03-30T00:00:00"/>
    <s v="TRF 4833481054851032 ;"/>
    <n v="-346.58"/>
    <x v="1"/>
    <x v="24"/>
    <x v="1"/>
  </r>
  <r>
    <s v="KiwiBank"/>
    <s v="Saving"/>
    <s v="38-9016-xxxx-00"/>
    <d v="2024-03-30T00:00:00"/>
    <s v="TRF 4833481054851032 ;"/>
    <n v="-146.55000000000001"/>
    <x v="1"/>
    <x v="24"/>
    <x v="1"/>
  </r>
  <r>
    <s v="KiwiBank"/>
    <s v="Saving"/>
    <s v="38-9016-xxxx-01"/>
    <d v="2023-04-05T00:00:00"/>
    <s v="TRANSFER TO S TAEBI - 00 ;"/>
    <n v="-2628.7"/>
    <x v="1"/>
    <x v="24"/>
    <x v="1"/>
  </r>
  <r>
    <s v="KiwiBank"/>
    <s v="Saving"/>
    <s v="38-9016-xxxx-01"/>
    <d v="2023-04-06T00:00:00"/>
    <s v="TRANSFER FROM S TAEBI - 00 ;"/>
    <n v="116.78"/>
    <x v="1"/>
    <x v="24"/>
    <x v="1"/>
  </r>
  <r>
    <s v="KiwiBank"/>
    <s v="Saving"/>
    <s v="38-9016-xxxx-01"/>
    <d v="2023-04-11T00:00:00"/>
    <s v="Bill Payment Rent myRentakp2a110go9e5BClearyRoad MYRENT LTD ;Ref: Rent myRentakp2a110go9e5BClearyRoad MYRENT LTD"/>
    <n v="802.93"/>
    <x v="12"/>
    <x v="2"/>
    <x v="2"/>
  </r>
  <r>
    <s v="KiwiBank"/>
    <s v="Saving"/>
    <s v="38-9016-xxxx-01"/>
    <d v="2023-04-12T00:00:00"/>
    <s v="TRANSFER FROM S TAEBI - 00 ;"/>
    <n v="2901.49"/>
    <x v="1"/>
    <x v="24"/>
    <x v="1"/>
  </r>
  <r>
    <s v="KiwiBank"/>
    <s v="Saving"/>
    <s v="38-9016-xxxx-01"/>
    <d v="2023-04-20T00:00:00"/>
    <s v="TRANSFER TO S TAEBI - 00 ;"/>
    <n v="-220.28"/>
    <x v="1"/>
    <x v="24"/>
    <x v="1"/>
  </r>
  <r>
    <s v="KiwiBank"/>
    <s v="Saving"/>
    <s v="38-9016-xxxx-01"/>
    <d v="2023-04-20T00:00:00"/>
    <s v="TRANSFER TO S TAEBI - 00 ;"/>
    <n v="-892.37"/>
    <x v="1"/>
    <x v="24"/>
    <x v="1"/>
  </r>
  <r>
    <s v="KiwiBank"/>
    <s v="Saving"/>
    <s v="38-9016-xxxx-01"/>
    <d v="2023-04-21T00:00:00"/>
    <s v="Bill Payment Rent myRentakpoa0g05cgh5BClearyRoad MYRENT LTD ;Ref: Rent myRentakpoa0g05cgh5BClearyRoad MYRENT LTD"/>
    <n v="37.85"/>
    <x v="12"/>
    <x v="2"/>
    <x v="2"/>
  </r>
  <r>
    <s v="KiwiBank"/>
    <s v="Saving"/>
    <s v="38-9016-xxxx-01"/>
    <d v="2023-04-28T00:00:00"/>
    <s v="Bill Payment Rent myRentakprt1c0kkma5BClearyRoad MYRENT LTD ;Ref: Rent myRentakprt1c0kkma5BClearyRoad MYRENT LTD"/>
    <n v="587.86"/>
    <x v="12"/>
    <x v="2"/>
    <x v="2"/>
  </r>
  <r>
    <s v="KiwiBank"/>
    <s v="Saving"/>
    <s v="38-9016-xxxx-01"/>
    <d v="2023-04-28T00:00:00"/>
    <s v="TRANSFER FROM S TAEBI - 00 ;"/>
    <n v="104.03"/>
    <x v="1"/>
    <x v="24"/>
    <x v="1"/>
  </r>
  <r>
    <s v="KiwiBank"/>
    <s v="Saving"/>
    <s v="38-9016-xxxx-01"/>
    <d v="2023-04-29T00:00:00"/>
    <s v="TRANSFER TO S TAEBI - 00 ;"/>
    <n v="-203.37"/>
    <x v="1"/>
    <x v="24"/>
    <x v="1"/>
  </r>
  <r>
    <s v="KiwiBank"/>
    <s v="Saving"/>
    <s v="38-9016-xxxx-01"/>
    <d v="2023-04-30T00:00:00"/>
    <s v="INTEREST CREDIT ;"/>
    <n v="46.7"/>
    <x v="13"/>
    <x v="24"/>
    <x v="42"/>
  </r>
  <r>
    <s v="KiwiBank"/>
    <s v="Saving"/>
    <s v="38-9016-xxxx-01"/>
    <d v="2023-04-30T00:00:00"/>
    <s v="IRD WITHHOLDING TAX 17.500% ;"/>
    <n v="-2.75"/>
    <x v="5"/>
    <x v="7"/>
    <x v="13"/>
  </r>
  <r>
    <s v="KiwiBank"/>
    <s v="Saving"/>
    <s v="38-9016-xxxx-01"/>
    <d v="2023-05-03T00:00:00"/>
    <s v="TRANSFER TO S TAEBI - 00 ;"/>
    <n v="-2566.3000000000002"/>
    <x v="1"/>
    <x v="24"/>
    <x v="1"/>
  </r>
  <r>
    <s v="KiwiBank"/>
    <s v="Saving"/>
    <s v="38-9016-xxxx-01"/>
    <d v="2023-05-08T00:00:00"/>
    <s v="TRANSFER TO S TAEBI - 00 ;"/>
    <n v="-2997.93"/>
    <x v="1"/>
    <x v="24"/>
    <x v="1"/>
  </r>
  <r>
    <s v="KiwiBank"/>
    <s v="Saving"/>
    <s v="38-9016-xxxx-01"/>
    <d v="2023-05-08T00:00:00"/>
    <s v="Bill Payment Rent myRentakp1e0k0expr5BClearyRoad MYRENT LTD ;Ref: Rent myRentakp1e0k0expr5BClearyRoad MYRENT LTD"/>
    <n v="585.92999999999995"/>
    <x v="12"/>
    <x v="2"/>
    <x v="2"/>
  </r>
  <r>
    <s v="KiwiBank"/>
    <s v="Saving"/>
    <s v="38-9016-xxxx-01"/>
    <d v="2023-05-10T00:00:00"/>
    <s v="TRANSFER TO S TAEBI - 00 ;"/>
    <n v="-2075.89"/>
    <x v="1"/>
    <x v="24"/>
    <x v="1"/>
  </r>
  <r>
    <s v="KiwiBank"/>
    <s v="Saving"/>
    <s v="38-9016-xxxx-01"/>
    <d v="2023-05-10T00:00:00"/>
    <s v="TRANSFER TO S TAEBI - 00 ;"/>
    <n v="-9.9"/>
    <x v="1"/>
    <x v="24"/>
    <x v="1"/>
  </r>
  <r>
    <s v="KiwiBank"/>
    <s v="Saving"/>
    <s v="38-9016-xxxx-01"/>
    <d v="2023-05-10T00:00:00"/>
    <s v="TRANSFER TO S TAEBI - 00 ;"/>
    <n v="-404.78"/>
    <x v="1"/>
    <x v="24"/>
    <x v="1"/>
  </r>
  <r>
    <s v="KiwiBank"/>
    <s v="Saving"/>
    <s v="38-9016-xxxx-01"/>
    <d v="2023-05-13T00:00:00"/>
    <s v="TRANSFER TO S TAEBI - 00 ;"/>
    <n v="-65.239999999999995"/>
    <x v="1"/>
    <x v="24"/>
    <x v="1"/>
  </r>
  <r>
    <s v="KiwiBank"/>
    <s v="Saving"/>
    <s v="38-9016-xxxx-01"/>
    <d v="2023-05-15T00:00:00"/>
    <s v="TRANSFER TO S TAEBI - 00 ;"/>
    <n v="-622.5"/>
    <x v="1"/>
    <x v="24"/>
    <x v="1"/>
  </r>
  <r>
    <s v="KiwiBank"/>
    <s v="Saving"/>
    <s v="38-9016-xxxx-01"/>
    <d v="2023-05-18T00:00:00"/>
    <s v="TRANSFER TO S TAEBI - 00 ;"/>
    <n v="-2884.28"/>
    <x v="1"/>
    <x v="24"/>
    <x v="1"/>
  </r>
  <r>
    <s v="KiwiBank"/>
    <s v="Saving"/>
    <s v="38-9016-xxxx-01"/>
    <d v="2023-05-19T00:00:00"/>
    <s v="Bill Payment Rent myRentakp610b0hgcu5BClearyRoad MYRENT LTD ;Ref: Rent myRentakp610b0hgcu5BClearyRoad MYRENT LTD"/>
    <n v="1691.97"/>
    <x v="12"/>
    <x v="2"/>
    <x v="2"/>
  </r>
  <r>
    <s v="KiwiBank"/>
    <s v="Saving"/>
    <s v="38-9016-xxxx-01"/>
    <d v="2023-05-19T00:00:00"/>
    <s v="TRANSFER TO S TAEBI - 00 ;"/>
    <n v="-44.06"/>
    <x v="1"/>
    <x v="24"/>
    <x v="1"/>
  </r>
  <r>
    <s v="KiwiBank"/>
    <s v="Saving"/>
    <s v="38-9016-xxxx-01"/>
    <d v="2023-05-19T00:00:00"/>
    <s v="TRANSFER TO S TAEBI - 00 ;"/>
    <n v="-75.38"/>
    <x v="1"/>
    <x v="24"/>
    <x v="1"/>
  </r>
  <r>
    <s v="KiwiBank"/>
    <s v="Saving"/>
    <s v="38-9016-xxxx-01"/>
    <d v="2023-05-19T00:00:00"/>
    <s v="TRANSFER TO S TAEBI - 00 ;"/>
    <n v="-33.21"/>
    <x v="1"/>
    <x v="24"/>
    <x v="1"/>
  </r>
  <r>
    <s v="KiwiBank"/>
    <s v="Saving"/>
    <s v="38-9016-xxxx-01"/>
    <d v="2023-05-20T00:00:00"/>
    <s v="TRANSFER TO S TAEBI - 00 ;"/>
    <n v="-26.08"/>
    <x v="1"/>
    <x v="24"/>
    <x v="1"/>
  </r>
  <r>
    <s v="KiwiBank"/>
    <s v="Saving"/>
    <s v="38-9016-xxxx-01"/>
    <d v="2023-05-25T00:00:00"/>
    <s v="TRANSFER FROM S TAEBI - 00 ;"/>
    <n v="1589.14"/>
    <x v="1"/>
    <x v="24"/>
    <x v="1"/>
  </r>
  <r>
    <s v="KiwiBank"/>
    <s v="Saving"/>
    <s v="38-9016-xxxx-01"/>
    <d v="2023-05-26T00:00:00"/>
    <s v="TRANSFER TO S TAEBI - 00 ;"/>
    <n v="-51.41"/>
    <x v="1"/>
    <x v="24"/>
    <x v="1"/>
  </r>
  <r>
    <s v="KiwiBank"/>
    <s v="Saving"/>
    <s v="38-9016-xxxx-01"/>
    <d v="2023-05-27T00:00:00"/>
    <s v="TRANSFER TO S TAEBI - 00 ;"/>
    <n v="-71.37"/>
    <x v="1"/>
    <x v="24"/>
    <x v="1"/>
  </r>
  <r>
    <s v="KiwiBank"/>
    <s v="Saving"/>
    <s v="38-9016-xxxx-01"/>
    <d v="2023-05-31T00:00:00"/>
    <s v="TRANSFER TO S TAEBI - 00 ;"/>
    <n v="-2119.38"/>
    <x v="1"/>
    <x v="24"/>
    <x v="1"/>
  </r>
  <r>
    <s v="KiwiBank"/>
    <s v="Saving"/>
    <s v="38-9016-xxxx-01"/>
    <d v="2023-05-31T00:00:00"/>
    <s v="INTEREST CREDIT ;"/>
    <n v="34.68"/>
    <x v="13"/>
    <x v="24"/>
    <x v="42"/>
  </r>
  <r>
    <s v="KiwiBank"/>
    <s v="Saving"/>
    <s v="38-9016-xxxx-01"/>
    <d v="2023-05-31T00:00:00"/>
    <s v="IRD WITHHOLDING TAX 17.500% ;"/>
    <n v="-6.59"/>
    <x v="5"/>
    <x v="7"/>
    <x v="13"/>
  </r>
  <r>
    <s v="KiwiBank"/>
    <s v="Saving"/>
    <s v="38-9016-xxxx-01"/>
    <d v="2023-06-02T00:00:00"/>
    <s v="Bill Payment Rent myRentakpil2g025zw5BClearyRoad MYRENT LTD ;Ref: Rent myRentakpil2g025zw5BClearyRoad MYRENT LTD"/>
    <n v="17.63"/>
    <x v="12"/>
    <x v="2"/>
    <x v="2"/>
  </r>
  <r>
    <s v="KiwiBank"/>
    <s v="Saving"/>
    <s v="38-9016-xxxx-01"/>
    <d v="2023-06-02T00:00:00"/>
    <s v="TRANSFER TO S TAEBI - 00 ;"/>
    <n v="-3505.75"/>
    <x v="1"/>
    <x v="24"/>
    <x v="1"/>
  </r>
  <r>
    <s v="KiwiBank"/>
    <s v="Saving"/>
    <s v="38-9016-xxxx-01"/>
    <d v="2023-06-03T00:00:00"/>
    <s v="TRANSFER TO S TAEBI - 00 ;"/>
    <n v="-204.88"/>
    <x v="1"/>
    <x v="24"/>
    <x v="1"/>
  </r>
  <r>
    <s v="KiwiBank"/>
    <s v="Saving"/>
    <s v="38-9016-xxxx-01"/>
    <d v="2023-06-17T00:00:00"/>
    <s v="Bill Payment Rent myRentakpir0z01bcn5BClearyRoad MYRENT LTD ;Ref: Rent myRentakpir0z01bcn5BClearyRoad MYRENT LTD"/>
    <n v="66.88"/>
    <x v="12"/>
    <x v="2"/>
    <x v="2"/>
  </r>
  <r>
    <s v="KiwiBank"/>
    <s v="Saving"/>
    <s v="38-9016-xxxx-01"/>
    <d v="2023-06-21T00:00:00"/>
    <s v="TRANSFER FROM S TAEBI - 00 ;"/>
    <n v="5205.0200000000004"/>
    <x v="1"/>
    <x v="24"/>
    <x v="1"/>
  </r>
  <r>
    <s v="KiwiBank"/>
    <s v="Saving"/>
    <s v="38-9016-xxxx-01"/>
    <d v="2023-06-28T00:00:00"/>
    <s v="TRANSFER FROM S TAEBI - 00 ;"/>
    <n v="1006.83"/>
    <x v="1"/>
    <x v="24"/>
    <x v="1"/>
  </r>
  <r>
    <s v="KiwiBank"/>
    <s v="Saving"/>
    <s v="38-9016-xxxx-01"/>
    <d v="2023-06-30T00:00:00"/>
    <s v="Bill Payment Rent myRentakpm5240k3eg5BClearyRoad MYRENT LTD ;Ref: Rent myRentakpm5240k3eg5BClearyRoad MYRENT LTD"/>
    <n v="1223.6400000000001"/>
    <x v="12"/>
    <x v="2"/>
    <x v="2"/>
  </r>
  <r>
    <s v="KiwiBank"/>
    <s v="Saving"/>
    <s v="38-9016-xxxx-01"/>
    <d v="2023-06-30T00:00:00"/>
    <s v="TRANSFER TO S TAEBI - 00 ;"/>
    <n v="-100.48"/>
    <x v="1"/>
    <x v="24"/>
    <x v="1"/>
  </r>
  <r>
    <s v="KiwiBank"/>
    <s v="Saving"/>
    <s v="38-9016-xxxx-01"/>
    <d v="2023-06-30T00:00:00"/>
    <s v="INTEREST CREDIT ;"/>
    <n v="21.14"/>
    <x v="13"/>
    <x v="24"/>
    <x v="42"/>
  </r>
  <r>
    <s v="KiwiBank"/>
    <s v="Saving"/>
    <s v="38-9016-xxxx-01"/>
    <d v="2023-06-30T00:00:00"/>
    <s v="IRD WITHHOLDING TAX 17.500% ;"/>
    <n v="-1.93"/>
    <x v="5"/>
    <x v="7"/>
    <x v="13"/>
  </r>
  <r>
    <s v="KiwiBank"/>
    <s v="Saving"/>
    <s v="38-9016-xxxx-01"/>
    <d v="2023-07-01T00:00:00"/>
    <s v="TRANSFER FROM S TAEBI - 00 ;"/>
    <n v="165.39"/>
    <x v="1"/>
    <x v="24"/>
    <x v="1"/>
  </r>
  <r>
    <s v="KiwiBank"/>
    <s v="Saving"/>
    <s v="38-9016-xxxx-01"/>
    <d v="2023-07-01T00:00:00"/>
    <s v="TRANSFER TO S TAEBI - 00 ;"/>
    <n v="-611.28"/>
    <x v="1"/>
    <x v="24"/>
    <x v="1"/>
  </r>
  <r>
    <s v="KiwiBank"/>
    <s v="Saving"/>
    <s v="38-9016-xxxx-01"/>
    <d v="2023-07-05T00:00:00"/>
    <s v="TRANSFER FROM S TAEBI - 00 ;"/>
    <n v="632.25"/>
    <x v="1"/>
    <x v="24"/>
    <x v="1"/>
  </r>
  <r>
    <s v="KiwiBank"/>
    <s v="Saving"/>
    <s v="38-9016-xxxx-01"/>
    <d v="2023-07-05T00:00:00"/>
    <s v="TRANSFER FROM S TAEBI - 00 ;"/>
    <n v="2126.94"/>
    <x v="1"/>
    <x v="24"/>
    <x v="1"/>
  </r>
  <r>
    <s v="KiwiBank"/>
    <s v="Saving"/>
    <s v="38-9016-xxxx-01"/>
    <d v="2023-07-07T00:00:00"/>
    <s v="Bill Payment Rent myRentakpgm0u0x8s65BClearyRoad MYRENT LTD ;Ref: Rent myRentakpgm0u0x8s65BClearyRoad MYRENT LTD"/>
    <n v="15.44"/>
    <x v="12"/>
    <x v="2"/>
    <x v="2"/>
  </r>
  <r>
    <s v="KiwiBank"/>
    <s v="Saving"/>
    <s v="38-9016-xxxx-01"/>
    <d v="2023-07-12T00:00:00"/>
    <s v="TRANSFER TO S TAEBI - 00 ;"/>
    <n v="-55.49"/>
    <x v="1"/>
    <x v="24"/>
    <x v="1"/>
  </r>
  <r>
    <s v="KiwiBank"/>
    <s v="Saving"/>
    <s v="38-9016-xxxx-01"/>
    <d v="2023-07-12T00:00:00"/>
    <s v="TRANSFER TO S TAEBI - 00 ;"/>
    <n v="-394.09"/>
    <x v="1"/>
    <x v="24"/>
    <x v="1"/>
  </r>
  <r>
    <s v="KiwiBank"/>
    <s v="Saving"/>
    <s v="38-9016-xxxx-01"/>
    <d v="2023-07-14T00:00:00"/>
    <s v="Bill Payment Rent myRentakpm50o0knrf5BClearyRoad MYRENT LTD ;Ref: Rent myRentakpm50o0knrf5BClearyRoad MYRENT LTD"/>
    <n v="80.38"/>
    <x v="12"/>
    <x v="2"/>
    <x v="2"/>
  </r>
  <r>
    <s v="KiwiBank"/>
    <s v="Saving"/>
    <s v="38-9016-xxxx-01"/>
    <d v="2023-07-15T00:00:00"/>
    <s v="TRANSFER TO S TAEBI - 00 ;"/>
    <n v="-805.67"/>
    <x v="1"/>
    <x v="24"/>
    <x v="1"/>
  </r>
  <r>
    <s v="KiwiBank"/>
    <s v="Saving"/>
    <s v="38-9016-xxxx-01"/>
    <d v="2023-07-19T00:00:00"/>
    <s v="TRANSFER FROM S TAEBI - 00 ;"/>
    <n v="5167.49"/>
    <x v="1"/>
    <x v="24"/>
    <x v="1"/>
  </r>
  <r>
    <s v="KiwiBank"/>
    <s v="Saving"/>
    <s v="38-9016-xxxx-01"/>
    <d v="2023-07-19T00:00:00"/>
    <s v="TRANSFER FROM S TAEBI - 00 ;"/>
    <n v="526.95000000000005"/>
    <x v="1"/>
    <x v="24"/>
    <x v="1"/>
  </r>
  <r>
    <s v="KiwiBank"/>
    <s v="Saving"/>
    <s v="38-9016-xxxx-01"/>
    <d v="2023-07-20T00:00:00"/>
    <s v="TRANSFER TO S TAEBI - 00 ;"/>
    <n v="-568.08000000000004"/>
    <x v="1"/>
    <x v="24"/>
    <x v="1"/>
  </r>
  <r>
    <s v="KiwiBank"/>
    <s v="Saving"/>
    <s v="38-9016-xxxx-01"/>
    <d v="2023-07-26T00:00:00"/>
    <s v="TRANSFER TO S TAEBI - 00 ;"/>
    <n v="-3216.55"/>
    <x v="1"/>
    <x v="24"/>
    <x v="1"/>
  </r>
  <r>
    <s v="KiwiBank"/>
    <s v="Saving"/>
    <s v="38-9016-xxxx-01"/>
    <d v="2023-07-28T00:00:00"/>
    <s v="Bill Payment Rent myRentakpwp1o02mai5BClearyRoad MYRENT LTD ;Ref: Rent myRentakpwp1o02mai5BClearyRoad MYRENT LTD"/>
    <n v="1057.43"/>
    <x v="12"/>
    <x v="2"/>
    <x v="2"/>
  </r>
  <r>
    <s v="KiwiBank"/>
    <s v="Saving"/>
    <s v="38-9016-xxxx-01"/>
    <d v="2023-07-31T00:00:00"/>
    <s v="INTEREST CREDIT ;"/>
    <n v="2.5499999999999998"/>
    <x v="13"/>
    <x v="24"/>
    <x v="42"/>
  </r>
  <r>
    <s v="KiwiBank"/>
    <s v="Saving"/>
    <s v="38-9016-xxxx-01"/>
    <d v="2023-07-31T00:00:00"/>
    <s v="IRD WITHHOLDING TAX 17.500% ;"/>
    <n v="-5.18"/>
    <x v="5"/>
    <x v="7"/>
    <x v="13"/>
  </r>
  <r>
    <s v="KiwiBank"/>
    <s v="Saving"/>
    <s v="38-9016-xxxx-01"/>
    <d v="2023-08-02T00:00:00"/>
    <s v="TRANSFER FROM S TAEBI - 00 ;"/>
    <n v="3558.23"/>
    <x v="1"/>
    <x v="24"/>
    <x v="1"/>
  </r>
  <r>
    <s v="KiwiBank"/>
    <s v="Saving"/>
    <s v="38-9016-xxxx-01"/>
    <d v="2023-08-02T00:00:00"/>
    <s v="TRANSFER FROM S TAEBI - 00 ;"/>
    <n v="396.97"/>
    <x v="1"/>
    <x v="24"/>
    <x v="1"/>
  </r>
  <r>
    <s v="KiwiBank"/>
    <s v="Saving"/>
    <s v="38-9016-xxxx-01"/>
    <d v="2023-08-02T00:00:00"/>
    <s v="TRANSFER FROM S TAEBI - 00 ;"/>
    <n v="80.64"/>
    <x v="1"/>
    <x v="24"/>
    <x v="1"/>
  </r>
  <r>
    <s v="KiwiBank"/>
    <s v="Saving"/>
    <s v="38-9016-xxxx-01"/>
    <d v="2023-08-04T00:00:00"/>
    <s v="TRANSFER FROM S TAEBI - 00 ;"/>
    <n v="2173.65"/>
    <x v="1"/>
    <x v="24"/>
    <x v="1"/>
  </r>
  <r>
    <s v="KiwiBank"/>
    <s v="Saving"/>
    <s v="38-9016-xxxx-01"/>
    <d v="2023-08-10T00:00:00"/>
    <s v="TRANSFER TO S TAEBI - 00 ;"/>
    <n v="-1671.7"/>
    <x v="1"/>
    <x v="24"/>
    <x v="1"/>
  </r>
  <r>
    <s v="KiwiBank"/>
    <s v="Saving"/>
    <s v="38-9016-xxxx-01"/>
    <d v="2023-08-11T00:00:00"/>
    <s v="Bill Payment Rent myRentakpk60q0qr205BClearyRoad MYRENT LTD ;Ref: Rent myRentakpk60q0qr205BClearyRoad MYRENT LTD"/>
    <n v="616.08000000000004"/>
    <x v="12"/>
    <x v="2"/>
    <x v="2"/>
  </r>
  <r>
    <s v="KiwiBank"/>
    <s v="Saving"/>
    <s v="38-9016-xxxx-01"/>
    <d v="2023-08-12T00:00:00"/>
    <s v="TRANSFER FROM S TAEBI - 00 ;"/>
    <n v="5.61"/>
    <x v="1"/>
    <x v="24"/>
    <x v="1"/>
  </r>
  <r>
    <s v="KiwiBank"/>
    <s v="Saving"/>
    <s v="38-9016-xxxx-01"/>
    <d v="2023-08-16T00:00:00"/>
    <s v="TRANSFER FROM S TAEBI - 00 ;"/>
    <n v="4197.38"/>
    <x v="1"/>
    <x v="24"/>
    <x v="1"/>
  </r>
  <r>
    <s v="KiwiBank"/>
    <s v="Saving"/>
    <s v="38-9016-xxxx-01"/>
    <d v="2023-08-17T00:00:00"/>
    <s v="TRANSFER TO S TAEBI - 00 ;"/>
    <n v="-1151.94"/>
    <x v="1"/>
    <x v="24"/>
    <x v="1"/>
  </r>
  <r>
    <s v="KiwiBank"/>
    <s v="Saving"/>
    <s v="38-9016-xxxx-01"/>
    <d v="2023-08-24T00:00:00"/>
    <s v="TRANSFER TO S TAEBI - 00 ;"/>
    <n v="-2212.04"/>
    <x v="1"/>
    <x v="24"/>
    <x v="1"/>
  </r>
  <r>
    <s v="KiwiBank"/>
    <s v="Saving"/>
    <s v="38-9016-xxxx-01"/>
    <d v="2023-08-24T00:00:00"/>
    <s v="TRANSFER TO S TAEBI - 00 ;"/>
    <n v="-2298.9899999999998"/>
    <x v="1"/>
    <x v="24"/>
    <x v="1"/>
  </r>
  <r>
    <s v="KiwiBank"/>
    <s v="Saving"/>
    <s v="38-9016-xxxx-01"/>
    <d v="2023-08-24T00:00:00"/>
    <s v="TRANSFER TO S TAEBI - 00 ;MJ IRD"/>
    <n v="-1874.58"/>
    <x v="1"/>
    <x v="24"/>
    <x v="1"/>
  </r>
  <r>
    <s v="KiwiBank"/>
    <s v="Saving"/>
    <s v="38-9016-xxxx-01"/>
    <d v="2023-08-24T00:00:00"/>
    <s v="TRANSFER TO S TAEBI - 00 ;rates"/>
    <n v="-3578.97"/>
    <x v="1"/>
    <x v="24"/>
    <x v="1"/>
  </r>
  <r>
    <s v="KiwiBank"/>
    <s v="Saving"/>
    <s v="38-9016-xxxx-01"/>
    <d v="2023-08-25T00:00:00"/>
    <s v="Bill Payment Rent myRentakpia0m08nzv5BClearyRoad MYRENT LTD ;Ref: Rent myRentakpia0m08nzv5BClearyRoad MYRENT LTD"/>
    <n v="1104.44"/>
    <x v="12"/>
    <x v="2"/>
    <x v="2"/>
  </r>
  <r>
    <s v="KiwiBank"/>
    <s v="Saving"/>
    <s v="38-9016-xxxx-01"/>
    <d v="2023-08-25T00:00:00"/>
    <s v="TRANSFER FROM S TAEBI - 00 ;"/>
    <n v="186.94"/>
    <x v="1"/>
    <x v="24"/>
    <x v="1"/>
  </r>
  <r>
    <s v="KiwiBank"/>
    <s v="Saving"/>
    <s v="38-9016-xxxx-01"/>
    <d v="2023-08-25T00:00:00"/>
    <s v="TRANSFER FROM S TAEBI - 00 ;"/>
    <n v="725.06"/>
    <x v="1"/>
    <x v="24"/>
    <x v="1"/>
  </r>
  <r>
    <s v="KiwiBank"/>
    <s v="Saving"/>
    <s v="38-9016-xxxx-01"/>
    <d v="2023-08-30T00:00:00"/>
    <s v="TRANSFER FROM S TAEBI - 00 ;"/>
    <n v="5477.09"/>
    <x v="1"/>
    <x v="24"/>
    <x v="1"/>
  </r>
  <r>
    <s v="KiwiBank"/>
    <s v="Saving"/>
    <s v="38-9016-xxxx-01"/>
    <d v="2023-08-31T00:00:00"/>
    <s v="INTEREST CREDIT ;"/>
    <n v="36.700000000000003"/>
    <x v="13"/>
    <x v="24"/>
    <x v="42"/>
  </r>
  <r>
    <s v="KiwiBank"/>
    <s v="Saving"/>
    <s v="38-9016-xxxx-01"/>
    <d v="2023-08-31T00:00:00"/>
    <s v="IRD WITHHOLDING TAX 17.500% ;"/>
    <n v="-0.55000000000000004"/>
    <x v="5"/>
    <x v="7"/>
    <x v="13"/>
  </r>
  <r>
    <s v="KiwiBank"/>
    <s v="Saving"/>
    <s v="38-9016-xxxx-01"/>
    <d v="2023-09-03T00:00:00"/>
    <s v="TRANSFER TO S TAEBI - 00 ;"/>
    <n v="-52.61"/>
    <x v="1"/>
    <x v="24"/>
    <x v="1"/>
  </r>
  <r>
    <s v="KiwiBank"/>
    <s v="Saving"/>
    <s v="38-9016-xxxx-01"/>
    <d v="2023-09-07T00:00:00"/>
    <s v="TRANSFER TO S TAEBI - 00 ;"/>
    <n v="-534.53"/>
    <x v="1"/>
    <x v="24"/>
    <x v="1"/>
  </r>
  <r>
    <s v="KiwiBank"/>
    <s v="Saving"/>
    <s v="38-9016-xxxx-01"/>
    <d v="2023-09-07T00:00:00"/>
    <s v="TRANSFER TO S TAEBI - 00 ;"/>
    <n v="-1588.46"/>
    <x v="1"/>
    <x v="24"/>
    <x v="1"/>
  </r>
  <r>
    <s v="KiwiBank"/>
    <s v="Saving"/>
    <s v="38-9016-xxxx-01"/>
    <d v="2023-09-07T00:00:00"/>
    <s v="TRANSFER TO S TAEBI - 00 ;"/>
    <n v="-434.56"/>
    <x v="1"/>
    <x v="24"/>
    <x v="1"/>
  </r>
  <r>
    <s v="KiwiBank"/>
    <s v="Saving"/>
    <s v="38-9016-xxxx-01"/>
    <d v="2023-09-08T00:00:00"/>
    <s v="Bill Payment Rent myRentakpbl0z0tqkl5BClearyRoad MYRENT LTD ;Ref: Rent myRentakpbl0z0tqkl5BClearyRoad MYRENT LTD"/>
    <n v="183.6"/>
    <x v="12"/>
    <x v="2"/>
    <x v="2"/>
  </r>
  <r>
    <s v="KiwiBank"/>
    <s v="Saving"/>
    <s v="38-9016-xxxx-01"/>
    <d v="2023-09-08T00:00:00"/>
    <s v="TRANSFER TO S TAEBI - 00 ;"/>
    <n v="-223.62"/>
    <x v="1"/>
    <x v="24"/>
    <x v="1"/>
  </r>
  <r>
    <s v="KiwiBank"/>
    <s v="Saving"/>
    <s v="38-9016-xxxx-01"/>
    <d v="2023-09-09T00:00:00"/>
    <s v="TRANSFER FROM S TAEBI - 00 ;"/>
    <n v="444.65"/>
    <x v="1"/>
    <x v="24"/>
    <x v="1"/>
  </r>
  <r>
    <s v="KiwiBank"/>
    <s v="Saving"/>
    <s v="38-9016-xxxx-01"/>
    <d v="2023-09-09T00:00:00"/>
    <s v="TRANSFER TO S TAEBI - 00 ;"/>
    <n v="-242.2"/>
    <x v="1"/>
    <x v="24"/>
    <x v="1"/>
  </r>
  <r>
    <s v="KiwiBank"/>
    <s v="Saving"/>
    <s v="38-9016-xxxx-01"/>
    <d v="2023-09-10T00:00:00"/>
    <s v="TRANSFER TO S TAEBI - 00 ;"/>
    <n v="-345.67"/>
    <x v="1"/>
    <x v="24"/>
    <x v="1"/>
  </r>
  <r>
    <s v="KiwiBank"/>
    <s v="Saving"/>
    <s v="38-9016-xxxx-01"/>
    <d v="2023-09-13T00:00:00"/>
    <s v="TRANSFER FROM S TAEBI - 00 ;"/>
    <n v="2851.04"/>
    <x v="1"/>
    <x v="24"/>
    <x v="1"/>
  </r>
  <r>
    <s v="KiwiBank"/>
    <s v="Saving"/>
    <s v="38-9016-xxxx-01"/>
    <d v="2023-09-14T00:00:00"/>
    <s v="Bill Payment Rent myRentakpk70e06n225BClearyRoad MYRENT LTD ;Ref: Rent myRentakpk70e06n225BClearyRoad MYRENT LTD"/>
    <n v="63.53"/>
    <x v="12"/>
    <x v="2"/>
    <x v="2"/>
  </r>
  <r>
    <s v="KiwiBank"/>
    <s v="Saving"/>
    <s v="38-9016-xxxx-01"/>
    <d v="2023-09-15T00:00:00"/>
    <s v="TRANSFER TO S TAEBI - 00 ;"/>
    <n v="-140.91999999999999"/>
    <x v="1"/>
    <x v="24"/>
    <x v="1"/>
  </r>
  <r>
    <s v="KiwiBank"/>
    <s v="Saving"/>
    <s v="38-9016-xxxx-01"/>
    <d v="2023-09-16T00:00:00"/>
    <s v="TRANSFER TO S TAEBI - 00 ;"/>
    <n v="-787.5"/>
    <x v="1"/>
    <x v="24"/>
    <x v="1"/>
  </r>
  <r>
    <s v="KiwiBank"/>
    <s v="Saving"/>
    <s v="38-9016-xxxx-01"/>
    <d v="2023-09-21T00:00:00"/>
    <s v="TRANSFER TO S TAEBI - 00 ;"/>
    <n v="-1284.73"/>
    <x v="1"/>
    <x v="24"/>
    <x v="1"/>
  </r>
  <r>
    <s v="KiwiBank"/>
    <s v="Saving"/>
    <s v="38-9016-xxxx-01"/>
    <d v="2023-09-22T00:00:00"/>
    <s v="Bill Payment Rent myRentakp6g0f0t0dv5BClearyRoad MYRENT LTD ;Ref: Rent myRentakp6g0f0t0dv5BClearyRoad MYRENT LTD"/>
    <n v="1826.29"/>
    <x v="12"/>
    <x v="2"/>
    <x v="2"/>
  </r>
  <r>
    <s v="KiwiBank"/>
    <s v="Saving"/>
    <s v="38-9016-xxxx-01"/>
    <d v="2023-09-27T00:00:00"/>
    <s v="TRANSFER FROM S TAEBI - 00 ;"/>
    <n v="2311.98"/>
    <x v="1"/>
    <x v="24"/>
    <x v="1"/>
  </r>
  <r>
    <s v="KiwiBank"/>
    <s v="Saving"/>
    <s v="38-9016-xxxx-01"/>
    <d v="2023-09-30T00:00:00"/>
    <s v="INTEREST CREDIT ;"/>
    <n v="27.44"/>
    <x v="13"/>
    <x v="24"/>
    <x v="42"/>
  </r>
  <r>
    <s v="KiwiBank"/>
    <s v="Saving"/>
    <s v="38-9016-xxxx-01"/>
    <d v="2023-09-30T00:00:00"/>
    <s v="IRD WITHHOLDING TAX 17.500% ;"/>
    <n v="-12.28"/>
    <x v="5"/>
    <x v="7"/>
    <x v="13"/>
  </r>
  <r>
    <s v="KiwiBank"/>
    <s v="Saving"/>
    <s v="38-9016-xxxx-01"/>
    <d v="2023-10-04T00:00:00"/>
    <s v="TRANSFER TO S TAEBI - 00 ;"/>
    <n v="-71.67"/>
    <x v="1"/>
    <x v="24"/>
    <x v="1"/>
  </r>
  <r>
    <s v="KiwiBank"/>
    <s v="Saving"/>
    <s v="38-9016-xxxx-01"/>
    <d v="2023-10-04T00:00:00"/>
    <s v="TRANSFER TO S TAEBI - 00 ;"/>
    <n v="-485.36"/>
    <x v="1"/>
    <x v="24"/>
    <x v="1"/>
  </r>
  <r>
    <s v="KiwiBank"/>
    <s v="Saving"/>
    <s v="38-9016-xxxx-01"/>
    <d v="2023-10-06T00:00:00"/>
    <s v="Bill Payment Rent myRentakpdo0k0in2a5BClearyRoad MYRENT LTD ;Ref: Rent myRentakpdo0k0in2a5BClearyRoad MYRENT LTD"/>
    <n v="1025.42"/>
    <x v="12"/>
    <x v="2"/>
    <x v="2"/>
  </r>
  <r>
    <s v="KiwiBank"/>
    <s v="Saving"/>
    <s v="38-9016-xxxx-01"/>
    <d v="2023-10-06T00:00:00"/>
    <s v="TRANSFER TO S TAEBI - 00 ;"/>
    <n v="-675.75"/>
    <x v="1"/>
    <x v="24"/>
    <x v="1"/>
  </r>
  <r>
    <s v="KiwiBank"/>
    <s v="Saving"/>
    <s v="38-9016-xxxx-01"/>
    <d v="2023-10-11T00:00:00"/>
    <s v="TRANSFER FROM S TAEBI - 00 ;"/>
    <n v="1181.47"/>
    <x v="1"/>
    <x v="24"/>
    <x v="1"/>
  </r>
  <r>
    <s v="KiwiBank"/>
    <s v="Saving"/>
    <s v="38-9016-xxxx-01"/>
    <d v="2023-10-19T00:00:00"/>
    <s v="TRANSFER TO S TAEBI - 00 ;"/>
    <n v="-1286.3"/>
    <x v="1"/>
    <x v="24"/>
    <x v="1"/>
  </r>
  <r>
    <s v="KiwiBank"/>
    <s v="Saving"/>
    <s v="38-9016-xxxx-01"/>
    <d v="2023-10-20T00:00:00"/>
    <s v="Bill Payment Rent myRentakpm80l0eu135BClearyRoad MYRENT LTD ;Ref: Rent myRentakpm80l0eu135BClearyRoad MYRENT LTD"/>
    <n v="143.52000000000001"/>
    <x v="12"/>
    <x v="2"/>
    <x v="2"/>
  </r>
  <r>
    <s v="KiwiBank"/>
    <s v="Saving"/>
    <s v="38-9016-xxxx-01"/>
    <d v="2023-10-20T00:00:00"/>
    <s v="TRANSFER TO S TAEBI - 00 ;"/>
    <n v="-200.6"/>
    <x v="1"/>
    <x v="24"/>
    <x v="1"/>
  </r>
  <r>
    <s v="KiwiBank"/>
    <s v="Saving"/>
    <s v="38-9016-xxxx-01"/>
    <d v="2023-10-22T00:00:00"/>
    <s v="TRANSFER TO S TAEBI - 00 ;"/>
    <n v="-179.92"/>
    <x v="1"/>
    <x v="24"/>
    <x v="1"/>
  </r>
  <r>
    <s v="KiwiBank"/>
    <s v="Saving"/>
    <s v="38-9016-xxxx-01"/>
    <d v="2023-10-23T00:00:00"/>
    <s v="TRANSFER TO S TAEBI - 00 ;"/>
    <n v="-552.82000000000005"/>
    <x v="1"/>
    <x v="24"/>
    <x v="1"/>
  </r>
  <r>
    <s v="KiwiBank"/>
    <s v="Saving"/>
    <s v="38-9016-xxxx-01"/>
    <d v="2023-10-25T00:00:00"/>
    <s v="TRANSFER FROM S TAEBI - 00 ;"/>
    <n v="817.02"/>
    <x v="1"/>
    <x v="24"/>
    <x v="1"/>
  </r>
  <r>
    <s v="KiwiBank"/>
    <s v="Saving"/>
    <s v="38-9016-xxxx-01"/>
    <d v="2023-10-25T00:00:00"/>
    <s v="TRANSFER FROM S TAEBI - 00 ;"/>
    <n v="81.3"/>
    <x v="1"/>
    <x v="24"/>
    <x v="1"/>
  </r>
  <r>
    <s v="KiwiBank"/>
    <s v="Saving"/>
    <s v="38-9016-xxxx-01"/>
    <d v="2023-10-31T00:00:00"/>
    <s v="INTEREST CREDIT ;"/>
    <n v="94.45"/>
    <x v="13"/>
    <x v="24"/>
    <x v="42"/>
  </r>
  <r>
    <s v="KiwiBank"/>
    <s v="Saving"/>
    <s v="38-9016-xxxx-01"/>
    <d v="2023-10-31T00:00:00"/>
    <s v="IRD WITHHOLDING TAX 17.500% ;"/>
    <n v="-19.8"/>
    <x v="5"/>
    <x v="7"/>
    <x v="13"/>
  </r>
  <r>
    <s v="KiwiBank"/>
    <s v="Saving"/>
    <s v="38-9016-xxxx-01"/>
    <d v="2023-11-01T00:00:00"/>
    <s v="TRANSFER TO S TAEBI - 00 ;"/>
    <n v="-24.4"/>
    <x v="1"/>
    <x v="24"/>
    <x v="1"/>
  </r>
  <r>
    <s v="KiwiBank"/>
    <s v="Saving"/>
    <s v="38-9016-xxxx-01"/>
    <d v="2023-11-01T00:00:00"/>
    <s v="TRANSFER TO S TAEBI - 00 ;"/>
    <n v="-1979.45"/>
    <x v="1"/>
    <x v="24"/>
    <x v="1"/>
  </r>
  <r>
    <s v="KiwiBank"/>
    <s v="Saving"/>
    <s v="38-9016-xxxx-01"/>
    <d v="2023-11-03T00:00:00"/>
    <s v="TRANSFER TO S TAEBI - 00 ;"/>
    <n v="-481.36"/>
    <x v="1"/>
    <x v="24"/>
    <x v="1"/>
  </r>
  <r>
    <s v="KiwiBank"/>
    <s v="Saving"/>
    <s v="38-9016-xxxx-01"/>
    <d v="2023-11-03T00:00:00"/>
    <s v="Bill Payment Rent myRentakp0d0x0a04p5BClearyRoad MYRENT LTD ;Ref: Rent myRentakp0d0x0a04p5BClearyRoad MYRENT LTD"/>
    <n v="1601.03"/>
    <x v="12"/>
    <x v="2"/>
    <x v="2"/>
  </r>
  <r>
    <s v="KiwiBank"/>
    <s v="Saving"/>
    <s v="38-9016-xxxx-01"/>
    <d v="2023-11-07T00:00:00"/>
    <s v="TRANSFER TO S TAEBI - 00 ;"/>
    <n v="-439.17"/>
    <x v="1"/>
    <x v="24"/>
    <x v="1"/>
  </r>
  <r>
    <s v="KiwiBank"/>
    <s v="Saving"/>
    <s v="38-9016-xxxx-01"/>
    <d v="2023-11-07T00:00:00"/>
    <s v="TFR FROM 1811371I9 ;"/>
    <n v="1786.9"/>
    <x v="1"/>
    <x v="24"/>
    <x v="1"/>
  </r>
  <r>
    <s v="KiwiBank"/>
    <s v="Saving"/>
    <s v="38-9016-xxxx-01"/>
    <d v="2023-11-07T00:00:00"/>
    <s v="TFR FROM 1811371I9 ;"/>
    <n v="64379.56"/>
    <x v="1"/>
    <x v="24"/>
    <x v="1"/>
  </r>
  <r>
    <s v="KiwiBank"/>
    <s v="Saving"/>
    <s v="38-9016-xxxx-01"/>
    <d v="2023-11-07T00:00:00"/>
    <s v="TRANSFER TO S M ALAVI  S TAEBI - 00 ;"/>
    <n v="-12531.06"/>
    <x v="1"/>
    <x v="24"/>
    <x v="1"/>
  </r>
  <r>
    <s v="KiwiBank"/>
    <s v="Saving"/>
    <s v="38-9016-xxxx-01"/>
    <d v="2023-11-07T00:00:00"/>
    <s v="TRANSFER TO S TAEBI - 00 ;"/>
    <n v="-148.21"/>
    <x v="1"/>
    <x v="24"/>
    <x v="1"/>
  </r>
  <r>
    <s v="KiwiBank"/>
    <s v="Saving"/>
    <s v="38-9016-xxxx-01"/>
    <d v="2023-11-08T00:00:00"/>
    <s v="TRANSFER FROM S TAEBI - 00 ;"/>
    <n v="2078.86"/>
    <x v="1"/>
    <x v="24"/>
    <x v="1"/>
  </r>
  <r>
    <s v="KiwiBank"/>
    <s v="Saving"/>
    <s v="38-9016-xxxx-01"/>
    <d v="2023-11-08T00:00:00"/>
    <s v="TRANSFER FROM S TAEBI - 00 ;"/>
    <n v="3116.7"/>
    <x v="1"/>
    <x v="24"/>
    <x v="1"/>
  </r>
  <r>
    <s v="KiwiBank"/>
    <s v="Saving"/>
    <s v="38-9016-xxxx-01"/>
    <d v="2023-11-09T00:00:00"/>
    <s v="TRANSFER TO S TAEBI - 00 ;"/>
    <n v="-54.54"/>
    <x v="1"/>
    <x v="24"/>
    <x v="1"/>
  </r>
  <r>
    <s v="KiwiBank"/>
    <s v="Saving"/>
    <s v="38-9016-xxxx-01"/>
    <d v="2023-11-09T00:00:00"/>
    <s v="TRANSFER TO S M ALAVI  S TAEBI - 00 ;"/>
    <n v="-1004.37"/>
    <x v="1"/>
    <x v="24"/>
    <x v="1"/>
  </r>
  <r>
    <s v="KiwiBank"/>
    <s v="Saving"/>
    <s v="38-9016-xxxx-01"/>
    <d v="2023-11-09T00:00:00"/>
    <s v="FROM S M ALAVI  S TAEBI ;"/>
    <n v="2475.27"/>
    <x v="1"/>
    <x v="24"/>
    <x v="1"/>
  </r>
  <r>
    <s v="KiwiBank"/>
    <s v="Saving"/>
    <s v="38-9016-xxxx-01"/>
    <d v="2023-11-09T00:00:00"/>
    <s v="Direct Credit HSBC HSBC HSBC TAEBI S ;Ref: HSBC HSBC HSBC TAEBI S"/>
    <n v="3046.89"/>
    <x v="13"/>
    <x v="24"/>
    <x v="42"/>
  </r>
  <r>
    <s v="KiwiBank"/>
    <s v="Saving"/>
    <s v="38-9016-xxxx-01"/>
    <d v="2023-11-09T00:00:00"/>
    <s v="TRANSFER TO S TAEBI - 00 ;"/>
    <n v="-81.38"/>
    <x v="1"/>
    <x v="24"/>
    <x v="1"/>
  </r>
  <r>
    <s v="KiwiBank"/>
    <s v="Saving"/>
    <s v="38-9016-xxxx-01"/>
    <d v="2023-11-09T00:00:00"/>
    <s v="TRANSFER FROM S TAEBI - 00 ;"/>
    <n v="598.49"/>
    <x v="1"/>
    <x v="24"/>
    <x v="1"/>
  </r>
  <r>
    <s v="KiwiBank"/>
    <s v="Saving"/>
    <s v="38-9016-xxxx-01"/>
    <d v="2023-11-12T00:00:00"/>
    <s v="TRANSFER TO S TAEBI - 00 ;"/>
    <n v="-329.87"/>
    <x v="1"/>
    <x v="24"/>
    <x v="1"/>
  </r>
  <r>
    <s v="KiwiBank"/>
    <s v="Saving"/>
    <s v="38-9016-xxxx-01"/>
    <d v="2023-11-15T00:00:00"/>
    <s v="TRANSFER TO S M ALAVI  S TAEBI - 00 ;"/>
    <n v="-556.38"/>
    <x v="1"/>
    <x v="24"/>
    <x v="1"/>
  </r>
  <r>
    <s v="KiwiBank"/>
    <s v="Saving"/>
    <s v="38-9016-xxxx-01"/>
    <d v="2023-11-15T00:00:00"/>
    <s v="TRANSFER TO S TAEBI - 00 ;"/>
    <n v="-3068.5"/>
    <x v="1"/>
    <x v="24"/>
    <x v="1"/>
  </r>
  <r>
    <s v="KiwiBank"/>
    <s v="Saving"/>
    <s v="38-9016-xxxx-01"/>
    <d v="2023-11-15T00:00:00"/>
    <s v="TRANSFER TO S TAEBI - 00 ;"/>
    <n v="-44.46"/>
    <x v="1"/>
    <x v="24"/>
    <x v="1"/>
  </r>
  <r>
    <s v="KiwiBank"/>
    <s v="Saving"/>
    <s v="38-9016-xxxx-01"/>
    <d v="2023-11-16T00:00:00"/>
    <s v="TRANSFER FROM S TAEBI - 00 ;"/>
    <n v="197.5"/>
    <x v="1"/>
    <x v="24"/>
    <x v="1"/>
  </r>
  <r>
    <s v="KiwiBank"/>
    <s v="Saving"/>
    <s v="38-9016-xxxx-01"/>
    <d v="2023-11-17T00:00:00"/>
    <s v="Bill Payment Rent myRentakpwi1r01uf45BClearyRoad MYRENT LTD ;Ref: Rent myRentakpwi1r01uf45BClearyRoad MYRENT LTD"/>
    <n v="1377.56"/>
    <x v="12"/>
    <x v="2"/>
    <x v="2"/>
  </r>
  <r>
    <s v="KiwiBank"/>
    <s v="Saving"/>
    <s v="38-9016-xxxx-01"/>
    <d v="2023-11-19T00:00:00"/>
    <s v="TRANSFER TO S TAEBI - 00 ;"/>
    <n v="-170.36"/>
    <x v="1"/>
    <x v="24"/>
    <x v="1"/>
  </r>
  <r>
    <s v="KiwiBank"/>
    <s v="Saving"/>
    <s v="38-9016-xxxx-01"/>
    <d v="2023-11-19T00:00:00"/>
    <s v="TRANSFER TO S TAEBI - 00 ;"/>
    <n v="-86.72"/>
    <x v="1"/>
    <x v="24"/>
    <x v="1"/>
  </r>
  <r>
    <s v="KiwiBank"/>
    <s v="Saving"/>
    <s v="38-9016-xxxx-01"/>
    <d v="2023-11-19T00:00:00"/>
    <s v="TRANSFER TO S TAEBI - 00 ;"/>
    <n v="-1620.39"/>
    <x v="1"/>
    <x v="24"/>
    <x v="1"/>
  </r>
  <r>
    <s v="KiwiBank"/>
    <s v="Saving"/>
    <s v="38-9016-xxxx-01"/>
    <d v="2023-11-19T00:00:00"/>
    <s v="TRANSFER TO S TAEBI - 00 ;"/>
    <n v="-89.65"/>
    <x v="1"/>
    <x v="24"/>
    <x v="1"/>
  </r>
  <r>
    <s v="KiwiBank"/>
    <s v="Saving"/>
    <s v="38-9016-xxxx-01"/>
    <d v="2023-11-22T00:00:00"/>
    <s v="TRANSFER FROM S TAEBI - 00 ;"/>
    <n v="6034.43"/>
    <x v="1"/>
    <x v="24"/>
    <x v="1"/>
  </r>
  <r>
    <s v="KiwiBank"/>
    <s v="Saving"/>
    <s v="38-9016-xxxx-01"/>
    <d v="2023-11-23T00:00:00"/>
    <s v="TRANSFER TO S TAEBI - 00 ;"/>
    <n v="-558.9"/>
    <x v="1"/>
    <x v="24"/>
    <x v="1"/>
  </r>
  <r>
    <s v="KiwiBank"/>
    <s v="Saving"/>
    <s v="38-9016-xxxx-01"/>
    <d v="2023-11-25T00:00:00"/>
    <s v="TRANSFER TO S TAEBI - 00 ;"/>
    <n v="-245.69"/>
    <x v="1"/>
    <x v="24"/>
    <x v="1"/>
  </r>
  <r>
    <s v="KiwiBank"/>
    <s v="Saving"/>
    <s v="38-9016-xxxx-01"/>
    <d v="2023-11-25T00:00:00"/>
    <s v="TRANSFER TO S TAEBI - 00 ;"/>
    <n v="-600.41"/>
    <x v="1"/>
    <x v="24"/>
    <x v="1"/>
  </r>
  <r>
    <s v="KiwiBank"/>
    <s v="Saving"/>
    <s v="38-9016-xxxx-01"/>
    <d v="2023-11-30T00:00:00"/>
    <s v="TRANSFER TO S TAEBI - 00 ;"/>
    <n v="-3067.44"/>
    <x v="1"/>
    <x v="24"/>
    <x v="1"/>
  </r>
  <r>
    <s v="KiwiBank"/>
    <s v="Saving"/>
    <s v="38-9016-xxxx-01"/>
    <d v="2023-11-30T00:00:00"/>
    <s v="INTEREST CREDIT ;"/>
    <n v="16.440000000000001"/>
    <x v="13"/>
    <x v="24"/>
    <x v="42"/>
  </r>
  <r>
    <s v="KiwiBank"/>
    <s v="Saving"/>
    <s v="38-9016-xxxx-01"/>
    <d v="2023-11-30T00:00:00"/>
    <s v="IRD WITHHOLDING TAX 17.500% ;"/>
    <n v="-3.26"/>
    <x v="5"/>
    <x v="7"/>
    <x v="13"/>
  </r>
  <r>
    <s v="KiwiBank"/>
    <s v="Saving"/>
    <s v="38-9016-xxxx-01"/>
    <d v="2023-12-01T00:00:00"/>
    <s v="TRANSFER TO S TAEBI - 00 ;"/>
    <n v="-32.020000000000003"/>
    <x v="1"/>
    <x v="24"/>
    <x v="1"/>
  </r>
  <r>
    <s v="KiwiBank"/>
    <s v="Saving"/>
    <s v="38-9016-xxxx-01"/>
    <d v="2023-12-01T00:00:00"/>
    <s v="Bill Payment Rent myRentakpyi0l0yyjs5BClearyRoad MYRENT LTD ;Ref: Rent myRentakpyi0l0yyjs5BClearyRoad MYRENT LTD"/>
    <n v="1354.64"/>
    <x v="12"/>
    <x v="2"/>
    <x v="2"/>
  </r>
  <r>
    <s v="KiwiBank"/>
    <s v="Saving"/>
    <s v="38-9016-xxxx-01"/>
    <d v="2023-12-05T00:00:00"/>
    <s v="TRANSFER TO S TAEBI - 00 ;"/>
    <n v="-709.81"/>
    <x v="1"/>
    <x v="24"/>
    <x v="1"/>
  </r>
  <r>
    <s v="KiwiBank"/>
    <s v="Saving"/>
    <s v="38-9016-xxxx-01"/>
    <d v="2023-12-07T00:00:00"/>
    <s v="TRANSFER FROM S TAEBI - 00 ;"/>
    <n v="1381.79"/>
    <x v="1"/>
    <x v="24"/>
    <x v="1"/>
  </r>
  <r>
    <s v="KiwiBank"/>
    <s v="Saving"/>
    <s v="38-9016-xxxx-01"/>
    <d v="2023-12-07T00:00:00"/>
    <s v="TRANSFER TO S TAEBI - 00 ;"/>
    <n v="-301.32"/>
    <x v="1"/>
    <x v="24"/>
    <x v="1"/>
  </r>
  <r>
    <s v="KiwiBank"/>
    <s v="Saving"/>
    <s v="38-9016-xxxx-01"/>
    <d v="2023-12-09T00:00:00"/>
    <s v="TRANSFER TO S TAEBI - 00 ;"/>
    <n v="-65.52"/>
    <x v="1"/>
    <x v="24"/>
    <x v="1"/>
  </r>
  <r>
    <s v="KiwiBank"/>
    <s v="Saving"/>
    <s v="38-9016-xxxx-01"/>
    <d v="2023-12-10T00:00:00"/>
    <s v="TRANSFER FROM S TAEBI - 00 ;"/>
    <n v="1714.53"/>
    <x v="1"/>
    <x v="24"/>
    <x v="1"/>
  </r>
  <r>
    <s v="KiwiBank"/>
    <s v="Saving"/>
    <s v="38-9016-xxxx-01"/>
    <d v="2023-12-12T00:00:00"/>
    <s v="TRANSFER TO S TAEBI - 00 ;"/>
    <n v="-274.10000000000002"/>
    <x v="1"/>
    <x v="24"/>
    <x v="1"/>
  </r>
  <r>
    <s v="KiwiBank"/>
    <s v="Saving"/>
    <s v="38-9016-xxxx-01"/>
    <d v="2023-12-13T00:00:00"/>
    <s v="TRANSFER TO S TAEBI - 00 ;"/>
    <n v="-3613.34"/>
    <x v="1"/>
    <x v="24"/>
    <x v="1"/>
  </r>
  <r>
    <s v="KiwiBank"/>
    <s v="Saving"/>
    <s v="38-9016-xxxx-01"/>
    <d v="2023-12-15T00:00:00"/>
    <s v="Bill Payment Rent myRentakpba0e0klsv5BClearyRoad MYRENT LTD ;Ref: Rent myRentakpba0e0klsv5BClearyRoad MYRENT LTD"/>
    <n v="417.91"/>
    <x v="12"/>
    <x v="2"/>
    <x v="2"/>
  </r>
  <r>
    <s v="KiwiBank"/>
    <s v="Saving"/>
    <s v="38-9016-xxxx-01"/>
    <d v="2023-12-15T00:00:00"/>
    <s v="TRANSFER FROM S TAEBI - 00 ;"/>
    <n v="1620.18"/>
    <x v="1"/>
    <x v="24"/>
    <x v="1"/>
  </r>
  <r>
    <s v="KiwiBank"/>
    <s v="Saving"/>
    <s v="38-9016-xxxx-01"/>
    <d v="2023-12-16T00:00:00"/>
    <s v="TRANSFER FROM S TAEBI - 00 ;"/>
    <n v="28.96"/>
    <x v="1"/>
    <x v="24"/>
    <x v="1"/>
  </r>
  <r>
    <s v="KiwiBank"/>
    <s v="Saving"/>
    <s v="38-9016-xxxx-01"/>
    <d v="2023-12-20T00:00:00"/>
    <s v="TRANSFER FROM S TAEBI - 00 ;"/>
    <n v="5239.58"/>
    <x v="1"/>
    <x v="24"/>
    <x v="1"/>
  </r>
  <r>
    <s v="KiwiBank"/>
    <s v="Saving"/>
    <s v="38-9016-xxxx-01"/>
    <d v="2023-12-20T00:00:00"/>
    <s v="TRANSFER FROM S TAEBI - 00 ;"/>
    <n v="1232.98"/>
    <x v="1"/>
    <x v="24"/>
    <x v="1"/>
  </r>
  <r>
    <s v="KiwiBank"/>
    <s v="Saving"/>
    <s v="38-9016-xxxx-01"/>
    <d v="2023-12-23T00:00:00"/>
    <s v="TRANSFER TO S TAEBI - 00 ;"/>
    <n v="-438.03"/>
    <x v="1"/>
    <x v="24"/>
    <x v="1"/>
  </r>
  <r>
    <s v="KiwiBank"/>
    <s v="Saving"/>
    <s v="38-9016-xxxx-01"/>
    <d v="2023-12-27T00:00:00"/>
    <s v="TRANSFER TO S TAEBI - 00 ;"/>
    <n v="-4855.28"/>
    <x v="1"/>
    <x v="24"/>
    <x v="1"/>
  </r>
  <r>
    <s v="KiwiBank"/>
    <s v="Saving"/>
    <s v="38-9016-xxxx-01"/>
    <d v="2023-12-30T00:00:00"/>
    <s v="TRANSFER FROM S TAEBI - 00 ;"/>
    <n v="713.03"/>
    <x v="1"/>
    <x v="24"/>
    <x v="1"/>
  </r>
  <r>
    <s v="KiwiBank"/>
    <s v="Saving"/>
    <s v="38-9016-xxxx-01"/>
    <d v="2023-12-30T00:00:00"/>
    <s v="Bill Payment Rent myRentakpay0p0ej045BClearyRoad MYRENT LTD ;Ref: Rent myRentakpay0p0ej045BClearyRoad MYRENT LTD"/>
    <n v="1211.32"/>
    <x v="12"/>
    <x v="2"/>
    <x v="2"/>
  </r>
  <r>
    <s v="KiwiBank"/>
    <s v="Saving"/>
    <s v="38-9016-xxxx-01"/>
    <d v="2023-12-31T00:00:00"/>
    <s v="INTEREST CREDIT ;"/>
    <n v="52.09"/>
    <x v="13"/>
    <x v="24"/>
    <x v="42"/>
  </r>
  <r>
    <s v="KiwiBank"/>
    <s v="Saving"/>
    <s v="38-9016-xxxx-01"/>
    <d v="2023-12-31T00:00:00"/>
    <s v="IRD WITHHOLDING TAX 17.500% ;"/>
    <n v="-13.81"/>
    <x v="5"/>
    <x v="7"/>
    <x v="13"/>
  </r>
  <r>
    <s v="KiwiBank"/>
    <s v="Saving"/>
    <s v="38-9016-xxxx-01"/>
    <d v="2024-01-01T00:00:00"/>
    <s v="TRANSFER TO S TAEBI - 00 ;"/>
    <n v="-8.3699999999999992"/>
    <x v="1"/>
    <x v="24"/>
    <x v="1"/>
  </r>
  <r>
    <s v="KiwiBank"/>
    <s v="Saving"/>
    <s v="38-9016-xxxx-01"/>
    <d v="2024-01-03T00:00:00"/>
    <s v="TRANSFER TO S TAEBI - 00 ;"/>
    <n v="-584.26"/>
    <x v="1"/>
    <x v="24"/>
    <x v="1"/>
  </r>
  <r>
    <s v="KiwiBank"/>
    <s v="Saving"/>
    <s v="38-9016-xxxx-01"/>
    <d v="2024-01-03T00:00:00"/>
    <s v="TRANSFER FROM S TAEBI - 00 ;"/>
    <n v="936.59"/>
    <x v="1"/>
    <x v="24"/>
    <x v="1"/>
  </r>
  <r>
    <s v="KiwiBank"/>
    <s v="Saving"/>
    <s v="38-9016-xxxx-01"/>
    <d v="2024-01-03T00:00:00"/>
    <s v="TRANSFER FROM S TAEBI - 00 ;"/>
    <n v="1351.46"/>
    <x v="1"/>
    <x v="24"/>
    <x v="1"/>
  </r>
  <r>
    <s v="KiwiBank"/>
    <s v="Saving"/>
    <s v="38-9016-xxxx-01"/>
    <d v="2024-01-05T00:00:00"/>
    <s v="TRANSFER FROM S TAEBI - 00 ;"/>
    <n v="281.36"/>
    <x v="1"/>
    <x v="24"/>
    <x v="1"/>
  </r>
  <r>
    <s v="KiwiBank"/>
    <s v="Saving"/>
    <s v="38-9016-xxxx-01"/>
    <d v="2024-01-06T00:00:00"/>
    <s v="TRANSFER FROM S TAEBI - 00 ;"/>
    <n v="89000.83"/>
    <x v="1"/>
    <x v="24"/>
    <x v="1"/>
  </r>
  <r>
    <s v="KiwiBank"/>
    <s v="Saving"/>
    <s v="38-9016-xxxx-01"/>
    <d v="2024-01-06T00:00:00"/>
    <s v="TRANSFER TO S TAEBI - 11 ;Term deposit"/>
    <n v="-69659.03"/>
    <x v="1"/>
    <x v="24"/>
    <x v="1"/>
  </r>
  <r>
    <s v="KiwiBank"/>
    <s v="Saving"/>
    <s v="38-9016-xxxx-01"/>
    <d v="2024-01-07T00:00:00"/>
    <s v="TRANSFER TO S TAEBI - 00 ;"/>
    <n v="-56.59"/>
    <x v="1"/>
    <x v="24"/>
    <x v="1"/>
  </r>
  <r>
    <s v="KiwiBank"/>
    <s v="Saving"/>
    <s v="38-9016-xxxx-01"/>
    <d v="2024-01-07T00:00:00"/>
    <s v="TRANSFER TO S TAEBI - 00 ;"/>
    <n v="-67.05"/>
    <x v="1"/>
    <x v="24"/>
    <x v="1"/>
  </r>
  <r>
    <s v="KiwiBank"/>
    <s v="Saving"/>
    <s v="38-9016-xxxx-01"/>
    <d v="2024-01-09T00:00:00"/>
    <s v="TRANSFER TO S TAEBI - 00 ;"/>
    <n v="-113.82"/>
    <x v="1"/>
    <x v="24"/>
    <x v="1"/>
  </r>
  <r>
    <s v="KiwiBank"/>
    <s v="Saving"/>
    <s v="38-9016-xxxx-01"/>
    <d v="2024-01-10T00:00:00"/>
    <s v="TRANSFER TO S TAEBI - 00 ;"/>
    <n v="-5995.82"/>
    <x v="1"/>
    <x v="24"/>
    <x v="1"/>
  </r>
  <r>
    <s v="KiwiBank"/>
    <s v="Saving"/>
    <s v="38-9016-xxxx-01"/>
    <d v="2024-01-10T00:00:00"/>
    <s v="TRANSFER TO S TAEBI - 00 ;"/>
    <n v="-6376.42"/>
    <x v="1"/>
    <x v="24"/>
    <x v="1"/>
  </r>
  <r>
    <s v="KiwiBank"/>
    <s v="Saving"/>
    <s v="38-9016-xxxx-01"/>
    <d v="2024-01-12T00:00:00"/>
    <s v="Bill Payment Rent myRentakpjb020au435BClearyRoad MYRENT LTD ;Ref: Rent myRentakpjb020au435BClearyRoad MYRENT LTD"/>
    <n v="1166.1099999999999"/>
    <x v="12"/>
    <x v="2"/>
    <x v="2"/>
  </r>
  <r>
    <s v="KiwiBank"/>
    <s v="Saving"/>
    <s v="38-9016-xxxx-01"/>
    <d v="2024-01-13T00:00:00"/>
    <s v="TRANSFER FROM S TAEBI - 00 ;"/>
    <n v="1139.17"/>
    <x v="1"/>
    <x v="24"/>
    <x v="1"/>
  </r>
  <r>
    <s v="KiwiBank"/>
    <s v="Saving"/>
    <s v="38-9016-xxxx-01"/>
    <d v="2024-01-14T00:00:00"/>
    <s v="TRANSFER TO S TAEBI - 00 ;"/>
    <n v="-1891.42"/>
    <x v="1"/>
    <x v="24"/>
    <x v="1"/>
  </r>
  <r>
    <s v="KiwiBank"/>
    <s v="Saving"/>
    <s v="38-9016-xxxx-01"/>
    <d v="2024-01-14T00:00:00"/>
    <s v="TRANSFER TO S TAEBI - 00 ;"/>
    <n v="-1521.02"/>
    <x v="1"/>
    <x v="24"/>
    <x v="1"/>
  </r>
  <r>
    <s v="KiwiBank"/>
    <s v="Saving"/>
    <s v="38-9016-xxxx-01"/>
    <d v="2024-01-14T00:00:00"/>
    <s v="TRANSFER TO S TAEBI - 00 ;"/>
    <n v="-30.14"/>
    <x v="1"/>
    <x v="24"/>
    <x v="1"/>
  </r>
  <r>
    <s v="KiwiBank"/>
    <s v="Saving"/>
    <s v="38-9016-xxxx-01"/>
    <d v="2024-01-17T00:00:00"/>
    <s v="TRANSFER FROM S TAEBI - 00 ;"/>
    <n v="3195"/>
    <x v="1"/>
    <x v="24"/>
    <x v="1"/>
  </r>
  <r>
    <s v="KiwiBank"/>
    <s v="Saving"/>
    <s v="38-9016-xxxx-01"/>
    <d v="2024-01-17T00:00:00"/>
    <s v="TRANSFER TO S TAEBI - 00 ;"/>
    <n v="-391.76"/>
    <x v="1"/>
    <x v="24"/>
    <x v="1"/>
  </r>
  <r>
    <s v="KiwiBank"/>
    <s v="Saving"/>
    <s v="38-9016-xxxx-01"/>
    <d v="2024-01-20T00:00:00"/>
    <s v="TRANSFER TO S TAEBI - 00 ;"/>
    <n v="-354.17"/>
    <x v="1"/>
    <x v="24"/>
    <x v="1"/>
  </r>
  <r>
    <s v="KiwiBank"/>
    <s v="Saving"/>
    <s v="38-9016-xxxx-01"/>
    <d v="2024-01-24T00:00:00"/>
    <s v="TRANSFER TO S TAEBI - 00 ;"/>
    <n v="-1673.86"/>
    <x v="1"/>
    <x v="24"/>
    <x v="1"/>
  </r>
  <r>
    <s v="KiwiBank"/>
    <s v="Saving"/>
    <s v="38-9016-xxxx-01"/>
    <d v="2024-01-26T00:00:00"/>
    <s v="TRANSFER TO S TAEBI - 00 ;"/>
    <n v="-383.43"/>
    <x v="1"/>
    <x v="24"/>
    <x v="1"/>
  </r>
  <r>
    <s v="KiwiBank"/>
    <s v="Saving"/>
    <s v="38-9016-xxxx-01"/>
    <d v="2024-01-28T00:00:00"/>
    <s v="TRANSFER TO S TAEBI - 00 ;"/>
    <n v="-457.63"/>
    <x v="1"/>
    <x v="24"/>
    <x v="1"/>
  </r>
  <r>
    <s v="KiwiBank"/>
    <s v="Saving"/>
    <s v="38-9016-xxxx-01"/>
    <d v="2024-01-29T00:00:00"/>
    <s v="TRANSFER TO S TAEBI - 00 ;"/>
    <n v="-150.19999999999999"/>
    <x v="1"/>
    <x v="24"/>
    <x v="1"/>
  </r>
  <r>
    <s v="KiwiBank"/>
    <s v="Saving"/>
    <s v="38-9016-xxxx-01"/>
    <d v="2024-01-31T00:00:00"/>
    <s v="TRANSFER TO S TAEBI - 00 ;"/>
    <n v="-959.54"/>
    <x v="1"/>
    <x v="24"/>
    <x v="1"/>
  </r>
  <r>
    <s v="KiwiBank"/>
    <s v="Saving"/>
    <s v="38-9016-xxxx-01"/>
    <d v="2024-01-31T00:00:00"/>
    <s v="Bill Payment Rent myRentakpgv020921a5BClearyRoad MYRENT LTD ;Ref: Rent myRentakpgv020921a5BClearyRoad MYRENT LTD"/>
    <n v="377.15"/>
    <x v="12"/>
    <x v="2"/>
    <x v="2"/>
  </r>
  <r>
    <s v="KiwiBank"/>
    <s v="Saving"/>
    <s v="38-9016-xxxx-01"/>
    <d v="2024-01-31T00:00:00"/>
    <s v="TRANSFER FROM S TAEBI - 00 ;"/>
    <n v="3340.07"/>
    <x v="1"/>
    <x v="24"/>
    <x v="1"/>
  </r>
  <r>
    <s v="KiwiBank"/>
    <s v="Saving"/>
    <s v="38-9016-xxxx-01"/>
    <d v="2024-01-31T00:00:00"/>
    <s v="TRANSFER FROM S TAEBI - 00 ;"/>
    <n v="248.02"/>
    <x v="1"/>
    <x v="24"/>
    <x v="1"/>
  </r>
  <r>
    <s v="KiwiBank"/>
    <s v="Saving"/>
    <s v="38-9016-xxxx-01"/>
    <d v="2024-01-31T00:00:00"/>
    <s v="INTEREST CREDIT ;"/>
    <n v="73.459999999999994"/>
    <x v="13"/>
    <x v="24"/>
    <x v="42"/>
  </r>
  <r>
    <s v="KiwiBank"/>
    <s v="Saving"/>
    <s v="38-9016-xxxx-01"/>
    <d v="2024-01-31T00:00:00"/>
    <s v="IRD WITHHOLDING TAX 17.500% ;"/>
    <n v="-36.19"/>
    <x v="5"/>
    <x v="7"/>
    <x v="13"/>
  </r>
  <r>
    <s v="KiwiBank"/>
    <s v="Saving"/>
    <s v="38-9016-xxxx-01"/>
    <d v="2024-02-01T00:00:00"/>
    <s v="TRANSFER TO S TAEBI - 00 ;"/>
    <n v="-152.93"/>
    <x v="1"/>
    <x v="24"/>
    <x v="1"/>
  </r>
  <r>
    <s v="KiwiBank"/>
    <s v="Saving"/>
    <s v="38-9016-xxxx-01"/>
    <d v="2024-02-01T00:00:00"/>
    <s v="Bill Payment Rent myRentakphr0s09hmv5BClearyRoad MYRENT LTD ;Ref: Rent myRentakphr0s09hmv5BClearyRoad MYRENT LTD"/>
    <n v="724.27"/>
    <x v="12"/>
    <x v="2"/>
    <x v="2"/>
  </r>
  <r>
    <s v="KiwiBank"/>
    <s v="Saving"/>
    <s v="38-9016-xxxx-01"/>
    <d v="2024-02-01T00:00:00"/>
    <s v="TRANSFER FROM S TAEBI - 00 ;"/>
    <n v="84.81"/>
    <x v="1"/>
    <x v="24"/>
    <x v="1"/>
  </r>
  <r>
    <s v="KiwiBank"/>
    <s v="Saving"/>
    <s v="38-9016-xxxx-01"/>
    <d v="2024-02-03T00:00:00"/>
    <s v="TRANSFER TO S TAEBI - 00 ;"/>
    <n v="-340.62"/>
    <x v="1"/>
    <x v="24"/>
    <x v="1"/>
  </r>
  <r>
    <s v="KiwiBank"/>
    <s v="Saving"/>
    <s v="38-9016-xxxx-01"/>
    <d v="2024-02-07T00:00:00"/>
    <s v="TRANSFER TO S TAEBI - 00 ;"/>
    <n v="-276.64"/>
    <x v="1"/>
    <x v="24"/>
    <x v="1"/>
  </r>
  <r>
    <s v="KiwiBank"/>
    <s v="Saving"/>
    <s v="38-9016-xxxx-01"/>
    <d v="2024-02-07T00:00:00"/>
    <s v="TRANSFER TO S TAEBI - 00 ;"/>
    <n v="-3656.2"/>
    <x v="1"/>
    <x v="24"/>
    <x v="1"/>
  </r>
  <r>
    <s v="KiwiBank"/>
    <s v="Saving"/>
    <s v="38-9016-xxxx-01"/>
    <d v="2024-02-09T00:00:00"/>
    <s v="Bill Payment Rent myRentakpbj2702mfn5BClearyRoad MYRENT LTD ;Ref: Rent myRentakpbj2702mfn5BClearyRoad MYRENT LTD"/>
    <n v="1981.95"/>
    <x v="12"/>
    <x v="2"/>
    <x v="2"/>
  </r>
  <r>
    <s v="KiwiBank"/>
    <s v="Saving"/>
    <s v="38-9016-xxxx-01"/>
    <d v="2024-02-09T00:00:00"/>
    <s v="TRANSFER TO S TAEBI - 00 ;"/>
    <n v="-3620.24"/>
    <x v="1"/>
    <x v="24"/>
    <x v="1"/>
  </r>
  <r>
    <s v="KiwiBank"/>
    <s v="Saving"/>
    <s v="38-9016-xxxx-01"/>
    <d v="2024-02-09T00:00:00"/>
    <s v="TRANSFER TO S TAEBI - 00 ;"/>
    <n v="-135.1"/>
    <x v="1"/>
    <x v="24"/>
    <x v="1"/>
  </r>
  <r>
    <s v="KiwiBank"/>
    <s v="Saving"/>
    <s v="38-9016-xxxx-01"/>
    <d v="2024-02-09T00:00:00"/>
    <s v="TRANSFER FROM S TAEBI - 00 ;"/>
    <n v="136.44"/>
    <x v="1"/>
    <x v="24"/>
    <x v="1"/>
  </r>
  <r>
    <s v="KiwiBank"/>
    <s v="Saving"/>
    <s v="38-9016-xxxx-01"/>
    <d v="2024-02-11T00:00:00"/>
    <s v="TRANSFER TO S TAEBI - 00 ;"/>
    <n v="-3245.62"/>
    <x v="1"/>
    <x v="24"/>
    <x v="1"/>
  </r>
  <r>
    <s v="KiwiBank"/>
    <s v="Saving"/>
    <s v="38-9016-xxxx-01"/>
    <d v="2024-02-11T00:00:00"/>
    <s v="TRANSFER TO S TAEBI - 00 ;"/>
    <n v="-10.6"/>
    <x v="1"/>
    <x v="24"/>
    <x v="1"/>
  </r>
  <r>
    <s v="KiwiBank"/>
    <s v="Saving"/>
    <s v="38-9016-xxxx-01"/>
    <d v="2024-02-11T00:00:00"/>
    <s v="TRANSFER TO S TAEBI - 00 ;"/>
    <n v="-574.22"/>
    <x v="1"/>
    <x v="24"/>
    <x v="1"/>
  </r>
  <r>
    <s v="KiwiBank"/>
    <s v="Saving"/>
    <s v="38-9016-xxxx-01"/>
    <d v="2024-02-15T00:00:00"/>
    <s v="TRANSFER FROM S TAEBI - 00 ;"/>
    <n v="3125.75"/>
    <x v="1"/>
    <x v="24"/>
    <x v="1"/>
  </r>
  <r>
    <s v="KiwiBank"/>
    <s v="Saving"/>
    <s v="38-9016-xxxx-01"/>
    <d v="2024-02-16T00:00:00"/>
    <s v="TRANSFER FROM S TAEBI - 00 ;"/>
    <n v="615.29999999999995"/>
    <x v="1"/>
    <x v="24"/>
    <x v="1"/>
  </r>
  <r>
    <s v="KiwiBank"/>
    <s v="Saving"/>
    <s v="38-9016-xxxx-01"/>
    <d v="2024-02-20T00:00:00"/>
    <s v="TRANSFER TO S TAEBI - 00 ;"/>
    <n v="-637.38"/>
    <x v="1"/>
    <x v="24"/>
    <x v="1"/>
  </r>
  <r>
    <s v="KiwiBank"/>
    <s v="Saving"/>
    <s v="38-9016-xxxx-01"/>
    <d v="2024-02-21T00:00:00"/>
    <s v="TRANSFER TO S TAEBI - 00 ;"/>
    <n v="-135.56"/>
    <x v="1"/>
    <x v="24"/>
    <x v="1"/>
  </r>
  <r>
    <s v="KiwiBank"/>
    <s v="Saving"/>
    <s v="38-9016-xxxx-01"/>
    <d v="2024-02-22T00:00:00"/>
    <s v="TRANSFER TO S TAEBI - 00 ;"/>
    <n v="-447.49"/>
    <x v="1"/>
    <x v="24"/>
    <x v="1"/>
  </r>
  <r>
    <s v="KiwiBank"/>
    <s v="Saving"/>
    <s v="38-9016-xxxx-01"/>
    <d v="2024-02-23T00:00:00"/>
    <s v="Bill Payment Rent myRentakpl11c0tuwi5BClearyRoad MYRENT LTD ;Ref: Rent myRentakpl11c0tuwi5BClearyRoad MYRENT LTD"/>
    <n v="622.89"/>
    <x v="12"/>
    <x v="2"/>
    <x v="2"/>
  </r>
  <r>
    <s v="KiwiBank"/>
    <s v="Saving"/>
    <s v="38-9016-xxxx-01"/>
    <d v="2024-02-24T00:00:00"/>
    <s v="TRANSFER TO S TAEBI - 00 ;"/>
    <n v="-451.64"/>
    <x v="1"/>
    <x v="24"/>
    <x v="1"/>
  </r>
  <r>
    <s v="KiwiBank"/>
    <s v="Saving"/>
    <s v="38-9016-xxxx-01"/>
    <d v="2024-02-29T00:00:00"/>
    <s v="TRANSFER FROM S TAEBI - 00 ;"/>
    <n v="1105.9100000000001"/>
    <x v="1"/>
    <x v="24"/>
    <x v="1"/>
  </r>
  <r>
    <s v="KiwiBank"/>
    <s v="Saving"/>
    <s v="38-9016-xxxx-01"/>
    <d v="2024-02-29T00:00:00"/>
    <s v="INTEREST CREDIT ;"/>
    <n v="79.599999999999994"/>
    <x v="13"/>
    <x v="24"/>
    <x v="42"/>
  </r>
  <r>
    <s v="KiwiBank"/>
    <s v="Saving"/>
    <s v="38-9016-xxxx-01"/>
    <d v="2024-02-29T00:00:00"/>
    <s v="IRD WITHHOLDING TAX 17.500% ;"/>
    <n v="-8.83"/>
    <x v="5"/>
    <x v="7"/>
    <x v="13"/>
  </r>
  <r>
    <s v="KiwiBank"/>
    <s v="Saving"/>
    <s v="38-9016-xxxx-01"/>
    <d v="2024-03-01T00:00:00"/>
    <s v="TRANSFER TO S TAEBI - 00 ;"/>
    <n v="-113.27"/>
    <x v="1"/>
    <x v="24"/>
    <x v="1"/>
  </r>
  <r>
    <s v="KiwiBank"/>
    <s v="Saving"/>
    <s v="38-9016-xxxx-01"/>
    <d v="2024-03-06T00:00:00"/>
    <s v="TRANSFER TO S TAEBI - 00 ;"/>
    <n v="-3290.07"/>
    <x v="1"/>
    <x v="24"/>
    <x v="1"/>
  </r>
  <r>
    <s v="KiwiBank"/>
    <s v="Saving"/>
    <s v="38-9016-xxxx-01"/>
    <d v="2024-03-06T00:00:00"/>
    <s v="TRANSFER TO S TAEBI - 00 ;"/>
    <n v="-281.62"/>
    <x v="1"/>
    <x v="24"/>
    <x v="1"/>
  </r>
  <r>
    <s v="KiwiBank"/>
    <s v="Saving"/>
    <s v="38-9016-xxxx-01"/>
    <d v="2024-03-09T00:00:00"/>
    <s v="Bill Payment Rent myRentakpn80l0nsvn5BClearyRoad MYRENT LTD ;Ref: Rent myRentakpn80l0nsvn5BClearyRoad MYRENT LTD"/>
    <n v="1786.7"/>
    <x v="12"/>
    <x v="2"/>
    <x v="2"/>
  </r>
  <r>
    <s v="KiwiBank"/>
    <s v="Saving"/>
    <s v="38-9016-xxxx-01"/>
    <d v="2024-03-10T00:00:00"/>
    <s v="TRANSFER TO S TAEBI - 00 ;"/>
    <n v="-299.63"/>
    <x v="1"/>
    <x v="24"/>
    <x v="1"/>
  </r>
  <r>
    <s v="KiwiBank"/>
    <s v="Saving"/>
    <s v="38-9016-xxxx-01"/>
    <d v="2024-03-13T00:00:00"/>
    <s v="TRANSFER FROM S TAEBI - 00 ;"/>
    <n v="2342.89"/>
    <x v="1"/>
    <x v="24"/>
    <x v="1"/>
  </r>
  <r>
    <s v="KiwiBank"/>
    <s v="Saving"/>
    <s v="38-9016-xxxx-01"/>
    <d v="2024-03-14T00:00:00"/>
    <s v="TRANSFER FROM S TAEBI - 00 ;"/>
    <n v="728.58"/>
    <x v="1"/>
    <x v="24"/>
    <x v="1"/>
  </r>
  <r>
    <s v="KiwiBank"/>
    <s v="Saving"/>
    <s v="38-9016-xxxx-01"/>
    <d v="2024-03-14T00:00:00"/>
    <s v="TRANSFER TO S TAEBI - 00 ;"/>
    <n v="-350.12"/>
    <x v="1"/>
    <x v="24"/>
    <x v="1"/>
  </r>
  <r>
    <s v="KiwiBank"/>
    <s v="Saving"/>
    <s v="38-9016-xxxx-01"/>
    <d v="2024-03-16T00:00:00"/>
    <s v="TRANSFER TO S TAEBI - 00 ;"/>
    <n v="-129.68"/>
    <x v="1"/>
    <x v="24"/>
    <x v="1"/>
  </r>
  <r>
    <s v="KiwiBank"/>
    <s v="Saving"/>
    <s v="38-9016-xxxx-01"/>
    <d v="2024-03-20T00:00:00"/>
    <s v="TRANSFER TO S TAEBI - 00 ;"/>
    <n v="-6524.83"/>
    <x v="1"/>
    <x v="24"/>
    <x v="1"/>
  </r>
  <r>
    <s v="KiwiBank"/>
    <s v="Saving"/>
    <s v="38-9016-xxxx-01"/>
    <d v="2024-03-22T00:00:00"/>
    <s v="Bill Payment Rent myRentakplw280wlc75BClearyRoad MYRENT LTD ;Ref: Rent myRentakplw280wlc75BClearyRoad MYRENT LTD"/>
    <n v="1031.28"/>
    <x v="12"/>
    <x v="2"/>
    <x v="2"/>
  </r>
  <r>
    <s v="KiwiBank"/>
    <s v="Saving"/>
    <s v="38-9016-xxxx-01"/>
    <d v="2024-03-23T00:00:00"/>
    <s v="TRANSFER FROM S TAEBI - 00 ;"/>
    <n v="1398.07"/>
    <x v="1"/>
    <x v="24"/>
    <x v="1"/>
  </r>
  <r>
    <s v="KiwiBank"/>
    <s v="Saving"/>
    <s v="38-9016-xxxx-01"/>
    <d v="2024-03-29T00:00:00"/>
    <s v="TRANSFER FROM S TAEBI - 00 ;"/>
    <n v="2290.35"/>
    <x v="1"/>
    <x v="24"/>
    <x v="1"/>
  </r>
  <r>
    <s v="KiwiBank"/>
    <s v="Saving"/>
    <s v="38-9016-xxxx-01"/>
    <d v="2024-03-31T00:00:00"/>
    <s v="INTEREST CREDIT ;"/>
    <n v="219.24"/>
    <x v="13"/>
    <x v="24"/>
    <x v="42"/>
  </r>
  <r>
    <s v="KiwiBank"/>
    <s v="Saving"/>
    <s v="38-9016-xxxx-01"/>
    <d v="2024-03-31T00:00:00"/>
    <s v="IRD WITHHOLDING TAX 17.500% ;"/>
    <n v="-44.26"/>
    <x v="5"/>
    <x v="7"/>
    <x v="13"/>
  </r>
  <r>
    <s v="KiwiBank"/>
    <s v="Saving"/>
    <s v="38-9016-xxxx-11"/>
    <d v="2024-01-06T00:00:00"/>
    <s v="TRANSFER FROM S TAEBI - 01 ;Term deposit"/>
    <n v="73267.520000000004"/>
    <x v="13"/>
    <x v="24"/>
    <x v="42"/>
  </r>
  <r>
    <s v="KiwiBank"/>
    <s v="Saving"/>
    <s v="38-9016-xxxx-11"/>
    <d v="2024-01-06T00:00:00"/>
    <s v="#761738 $50000 Due 06JAN25 6.15% ;"/>
    <n v="0"/>
    <x v="13"/>
    <x v="24"/>
    <x v="42"/>
  </r>
  <r>
    <s v="KiwiBank"/>
    <s v="Saving"/>
    <s v="38-9022-xxxx-00"/>
    <d v="2023-09-11T00:00:00"/>
    <s v="TRANSFER FROM S TAEBI - 00 ;"/>
    <n v="298.23"/>
    <x v="1"/>
    <x v="24"/>
    <x v="1"/>
  </r>
  <r>
    <s v="KiwiBank"/>
    <s v="Saving"/>
    <s v="38-9022-xxxx-00"/>
    <d v="2023-09-18T00:00:00"/>
    <s v="Fixed Rate Lock Option ;"/>
    <n v="-210.93"/>
    <x v="12"/>
    <x v="30"/>
    <x v="45"/>
  </r>
  <r>
    <s v="KiwiBank"/>
    <s v="Saving"/>
    <s v="38-9022-xxxx-00"/>
    <d v="2023-11-07T00:00:00"/>
    <s v="TRANSFER FROM S TAEBI - 01 ;"/>
    <n v="89072.63"/>
    <x v="1"/>
    <x v="24"/>
    <x v="1"/>
  </r>
  <r>
    <s v="KiwiBank"/>
    <s v="Saving"/>
    <s v="38-9022-xxxx-00"/>
    <d v="2023-11-09T00:00:00"/>
    <s v="TRANSFER FROM S TAEBI - 01 ;"/>
    <n v="903.36"/>
    <x v="1"/>
    <x v="24"/>
    <x v="1"/>
  </r>
  <r>
    <s v="KiwiBank"/>
    <s v="Saving"/>
    <s v="38-9022-xxxx-00"/>
    <d v="2023-11-09T00:00:00"/>
    <s v="CASH CONTRIBUTION ;"/>
    <n v="6993.11"/>
    <x v="13"/>
    <x v="24"/>
    <x v="42"/>
  </r>
  <r>
    <s v="KiwiBank"/>
    <s v="Saving"/>
    <s v="38-9022-xxxx-00"/>
    <d v="2023-11-09T00:00:00"/>
    <s v="SHORTFALL ;"/>
    <n v="-9970.5400000000009"/>
    <x v="14"/>
    <x v="31"/>
    <x v="46"/>
  </r>
  <r>
    <s v="KiwiBank"/>
    <s v="Saving"/>
    <s v="38-9022-xxxx-00"/>
    <d v="2023-11-09T00:00:00"/>
    <s v="PAY S TAEBI ;"/>
    <n v="-758.59"/>
    <x v="1"/>
    <x v="24"/>
    <x v="1"/>
  </r>
  <r>
    <s v="KiwiBank"/>
    <s v="Saving"/>
    <s v="38-9022-xxxx-00"/>
    <d v="2023-11-09T00:00:00"/>
    <s v="PAY S TAEBI ;"/>
    <n v="-105.09"/>
    <x v="1"/>
    <x v="24"/>
    <x v="1"/>
  </r>
  <r>
    <s v="KiwiBank"/>
    <s v="Saving"/>
    <s v="38-9022-xxxx-00"/>
    <d v="2023-11-09T00:00:00"/>
    <s v="PAY S TAEBI ;"/>
    <n v="-212.4"/>
    <x v="1"/>
    <x v="24"/>
    <x v="1"/>
  </r>
  <r>
    <s v="KiwiBank"/>
    <s v="Saving"/>
    <s v="38-9022-xxxx-00"/>
    <d v="2023-11-09T00:00:00"/>
    <s v="TRANSFER FROM S TAEBI - 00 ;Mortgage 5B Cleary"/>
    <n v="53.21"/>
    <x v="1"/>
    <x v="24"/>
    <x v="1"/>
  </r>
  <r>
    <s v="KiwiBank"/>
    <s v="Saving"/>
    <s v="38-9022-xxxx-00"/>
    <d v="2023-11-15T00:00:00"/>
    <s v="TRANSFER FROM S TAEBI - 01 ;"/>
    <n v="466.28"/>
    <x v="1"/>
    <x v="24"/>
    <x v="1"/>
  </r>
  <r>
    <s v="KiwiBank"/>
    <s v="Saving"/>
    <s v="38-9022-xxxx-00"/>
    <d v="2023-11-15T00:00:00"/>
    <s v="PAY S TAEBI ;"/>
    <n v="-871.17"/>
    <x v="1"/>
    <x v="24"/>
    <x v="1"/>
  </r>
  <r>
    <s v="KiwiBank"/>
    <s v="Saving"/>
    <s v="38-9022-xxxx-00"/>
    <d v="2023-11-15T00:00:00"/>
    <s v="AP#22653868 FROM S TAEBI ;Payment from S TAEBI"/>
    <n v="1008.03"/>
    <x v="1"/>
    <x v="24"/>
    <x v="1"/>
  </r>
  <r>
    <s v="KiwiBank"/>
    <s v="Saving"/>
    <s v="38-9022-xxxx-00"/>
    <d v="2023-11-16T00:00:00"/>
    <s v="AP#22653655 TO S TAEBI  S M ALAVI ;Pay S TAEBI  S M ALAVI"/>
    <n v="-429.24"/>
    <x v="1"/>
    <x v="24"/>
    <x v="1"/>
  </r>
  <r>
    <s v="KiwiBank"/>
    <s v="Saving"/>
    <s v="38-9022-xxxx-00"/>
    <d v="2023-11-22T00:00:00"/>
    <s v="AP#22653868 FROM S TAEBI ;Payment from S TAEBI"/>
    <n v="1260.02"/>
    <x v="1"/>
    <x v="24"/>
    <x v="1"/>
  </r>
  <r>
    <s v="KiwiBank"/>
    <s v="Saving"/>
    <s v="38-9022-xxxx-00"/>
    <d v="2023-11-23T00:00:00"/>
    <s v="AP#22653655 TO S TAEBI  S M ALAVI ;Pay S TAEBI  S M ALAVI"/>
    <n v="-679.51"/>
    <x v="1"/>
    <x v="24"/>
    <x v="1"/>
  </r>
  <r>
    <s v="KiwiBank"/>
    <s v="Saving"/>
    <s v="38-9022-xxxx-00"/>
    <d v="2023-11-29T00:00:00"/>
    <s v="AP#22653868 FROM S TAEBI ;Payment from S TAEBI"/>
    <n v="225.32"/>
    <x v="1"/>
    <x v="24"/>
    <x v="1"/>
  </r>
  <r>
    <s v="KiwiBank"/>
    <s v="Saving"/>
    <s v="38-9022-xxxx-00"/>
    <d v="2023-11-30T00:00:00"/>
    <s v="AP#22653655 TO S TAEBI  S M ALAVI ;Pay S TAEBI  S M ALAVI"/>
    <n v="-428.43"/>
    <x v="1"/>
    <x v="24"/>
    <x v="1"/>
  </r>
  <r>
    <s v="KiwiBank"/>
    <s v="Saving"/>
    <s v="38-9022-xxxx-00"/>
    <d v="2023-12-06T00:00:00"/>
    <s v="AP#22653868 FROM S TAEBI ;Payment from S TAEBI"/>
    <n v="416.1"/>
    <x v="1"/>
    <x v="24"/>
    <x v="1"/>
  </r>
  <r>
    <s v="KiwiBank"/>
    <s v="Saving"/>
    <s v="38-9022-xxxx-00"/>
    <d v="2023-12-07T00:00:00"/>
    <s v="AP#22653655 TO S TAEBI  S M ALAVI ;Pay S TAEBI  S M ALAVI"/>
    <n v="-42.44"/>
    <x v="1"/>
    <x v="24"/>
    <x v="1"/>
  </r>
  <r>
    <s v="KiwiBank"/>
    <s v="Saving"/>
    <s v="38-9022-xxxx-00"/>
    <d v="2023-12-13T00:00:00"/>
    <s v="AP#22653868 FROM S TAEBI ;Payment from S TAEBI"/>
    <n v="170.58"/>
    <x v="1"/>
    <x v="24"/>
    <x v="1"/>
  </r>
  <r>
    <s v="KiwiBank"/>
    <s v="Saving"/>
    <s v="38-9022-xxxx-00"/>
    <d v="2023-12-14T00:00:00"/>
    <s v="AP#22653655 TO S TAEBI  S M ALAVI ;Pay S TAEBI  S M ALAVI"/>
    <n v="-316.69"/>
    <x v="1"/>
    <x v="24"/>
    <x v="1"/>
  </r>
  <r>
    <s v="KiwiBank"/>
    <s v="Saving"/>
    <s v="38-9022-xxxx-00"/>
    <d v="2023-12-20T00:00:00"/>
    <s v="AP#22653868 FROM S TAEBI ;Payment from S TAEBI"/>
    <n v="1098.44"/>
    <x v="1"/>
    <x v="24"/>
    <x v="1"/>
  </r>
  <r>
    <s v="KiwiBank"/>
    <s v="Saving"/>
    <s v="38-9022-xxxx-00"/>
    <d v="2023-12-21T00:00:00"/>
    <s v="AP#22653655 TO S TAEBI  S M ALAVI ;Pay S TAEBI  S M ALAVI"/>
    <n v="-404.6"/>
    <x v="1"/>
    <x v="24"/>
    <x v="1"/>
  </r>
  <r>
    <s v="KiwiBank"/>
    <s v="Saving"/>
    <s v="38-9022-xxxx-00"/>
    <d v="2023-12-27T00:00:00"/>
    <s v="AP#22653868 FROM S TAEBI ;Payment from S TAEBI"/>
    <n v="924.02"/>
    <x v="1"/>
    <x v="24"/>
    <x v="1"/>
  </r>
  <r>
    <s v="KiwiBank"/>
    <s v="Saving"/>
    <s v="38-9022-xxxx-00"/>
    <d v="2023-12-28T00:00:00"/>
    <s v="AP#22653655 TO S TAEBI  S M ALAVI ;Pay S TAEBI  S M ALAVI"/>
    <n v="-226.95"/>
    <x v="1"/>
    <x v="24"/>
    <x v="1"/>
  </r>
  <r>
    <s v="KiwiBank"/>
    <s v="Saving"/>
    <s v="38-9022-xxxx-00"/>
    <d v="2024-01-03T00:00:00"/>
    <s v="AP#22653868 FROM S TAEBI ;Payment from S TAEBI"/>
    <n v="619.41"/>
    <x v="1"/>
    <x v="24"/>
    <x v="1"/>
  </r>
  <r>
    <s v="KiwiBank"/>
    <s v="Saving"/>
    <s v="38-9022-xxxx-00"/>
    <d v="2024-01-04T00:00:00"/>
    <s v="AP#22653655 TO S TAEBI  S M ALAVI ;Pay S TAEBI  S M ALAVI"/>
    <n v="-581.67999999999995"/>
    <x v="1"/>
    <x v="24"/>
    <x v="1"/>
  </r>
  <r>
    <s v="KiwiBank"/>
    <s v="Saving"/>
    <s v="38-9022-xxxx-00"/>
    <d v="2024-01-10T00:00:00"/>
    <s v="AP#22653868 FROM S TAEBI ;Payment from S TAEBI"/>
    <n v="1130.3699999999999"/>
    <x v="1"/>
    <x v="24"/>
    <x v="1"/>
  </r>
  <r>
    <s v="KiwiBank"/>
    <s v="Saving"/>
    <s v="38-9022-xxxx-00"/>
    <d v="2024-01-11T00:00:00"/>
    <s v="AP#22653655 TO S TAEBI  S M ALAVI ;Pay S TAEBI  S M ALAVI"/>
    <n v="-743.6"/>
    <x v="1"/>
    <x v="24"/>
    <x v="1"/>
  </r>
  <r>
    <s v="KiwiBank"/>
    <s v="Saving"/>
    <s v="38-9022-xxxx-00"/>
    <d v="2024-01-17T00:00:00"/>
    <s v="AP#22653868 FROM S TAEBI ;Payment from S TAEBI"/>
    <n v="700.25"/>
    <x v="1"/>
    <x v="24"/>
    <x v="1"/>
  </r>
  <r>
    <s v="KiwiBank"/>
    <s v="Saving"/>
    <s v="38-9022-xxxx-00"/>
    <d v="2024-01-18T00:00:00"/>
    <s v="AP#22653655 TO S TAEBI  S M ALAVI ;Pay S TAEBI  S M ALAVI"/>
    <n v="-589.29999999999995"/>
    <x v="1"/>
    <x v="24"/>
    <x v="1"/>
  </r>
  <r>
    <s v="KiwiBank"/>
    <s v="Saving"/>
    <s v="38-9022-xxxx-00"/>
    <d v="2024-01-24T00:00:00"/>
    <s v="AP#22653868 FROM S TAEBI ;Payment from S TAEBI"/>
    <n v="965.31"/>
    <x v="1"/>
    <x v="24"/>
    <x v="1"/>
  </r>
  <r>
    <s v="KiwiBank"/>
    <s v="Saving"/>
    <s v="38-9022-xxxx-00"/>
    <d v="2024-01-25T00:00:00"/>
    <s v="AP#22653655 TO S TAEBI  S M ALAVI ;Pay S TAEBI  S M ALAVI"/>
    <n v="-966.3"/>
    <x v="1"/>
    <x v="24"/>
    <x v="1"/>
  </r>
  <r>
    <s v="KiwiBank"/>
    <s v="Saving"/>
    <s v="38-9022-xxxx-00"/>
    <d v="2024-01-31T00:00:00"/>
    <s v="AP#22653868 FROM S TAEBI ;Payment from S TAEBI"/>
    <n v="553.88"/>
    <x v="1"/>
    <x v="24"/>
    <x v="1"/>
  </r>
  <r>
    <s v="KiwiBank"/>
    <s v="Saving"/>
    <s v="38-9022-xxxx-00"/>
    <d v="2024-02-01T00:00:00"/>
    <s v="AP#22653655 TO S TAEBI  S M ALAVI ;Pay S TAEBI  S M ALAVI"/>
    <n v="-179.09"/>
    <x v="1"/>
    <x v="24"/>
    <x v="1"/>
  </r>
  <r>
    <s v="KiwiBank"/>
    <s v="Saving"/>
    <s v="38-9022-xxxx-00"/>
    <d v="2024-02-07T00:00:00"/>
    <s v="AP#22653868 FROM S TAEBI ;Payment from S TAEBI"/>
    <n v="1136.49"/>
    <x v="1"/>
    <x v="24"/>
    <x v="1"/>
  </r>
  <r>
    <s v="KiwiBank"/>
    <s v="Saving"/>
    <s v="38-9022-xxxx-00"/>
    <d v="2024-02-08T00:00:00"/>
    <s v="AP#22653655 TO S TAEBI  S M ALAVI ;Pay S TAEBI  S M ALAVI"/>
    <n v="-159.26"/>
    <x v="1"/>
    <x v="24"/>
    <x v="1"/>
  </r>
  <r>
    <s v="KiwiBank"/>
    <s v="Saving"/>
    <s v="38-9022-xxxx-00"/>
    <d v="2024-02-14T00:00:00"/>
    <s v="AP#22653868 FROM S TAEBI ;Payment from S TAEBI"/>
    <n v="1208.8900000000001"/>
    <x v="1"/>
    <x v="24"/>
    <x v="1"/>
  </r>
  <r>
    <s v="KiwiBank"/>
    <s v="Saving"/>
    <s v="38-9022-xxxx-00"/>
    <d v="2024-02-15T00:00:00"/>
    <s v="AP#22653655 TO S TAEBI  S M ALAVI ;Pay S TAEBI  S M ALAVI"/>
    <n v="-863.46"/>
    <x v="1"/>
    <x v="24"/>
    <x v="1"/>
  </r>
  <r>
    <s v="KiwiBank"/>
    <s v="Saving"/>
    <s v="38-9022-xxxx-00"/>
    <d v="2024-02-21T00:00:00"/>
    <s v="AP#22653868 FROM S TAEBI ;Payment from S TAEBI"/>
    <n v="1204.94"/>
    <x v="1"/>
    <x v="24"/>
    <x v="1"/>
  </r>
  <r>
    <s v="KiwiBank"/>
    <s v="Saving"/>
    <s v="38-9022-xxxx-00"/>
    <d v="2024-02-22T00:00:00"/>
    <s v="AP#22653655 TO S TAEBI  S M ALAVI ;Pay S TAEBI  S M ALAVI"/>
    <n v="-1126.04"/>
    <x v="1"/>
    <x v="24"/>
    <x v="1"/>
  </r>
  <r>
    <s v="KiwiBank"/>
    <s v="Saving"/>
    <s v="38-9022-xxxx-00"/>
    <d v="2024-02-28T00:00:00"/>
    <s v="AP#22653868 FROM S TAEBI ;Payment from S TAEBI"/>
    <n v="148.41999999999999"/>
    <x v="1"/>
    <x v="24"/>
    <x v="1"/>
  </r>
  <r>
    <s v="KiwiBank"/>
    <s v="Saving"/>
    <s v="38-9022-xxxx-00"/>
    <d v="2024-02-29T00:00:00"/>
    <s v="AP#22653655 TO S TAEBI  S M ALAVI ;Pay S TAEBI  S M ALAVI"/>
    <n v="-1093.8499999999999"/>
    <x v="1"/>
    <x v="24"/>
    <x v="1"/>
  </r>
  <r>
    <s v="KiwiBank"/>
    <s v="Saving"/>
    <s v="38-9022-xxxx-00"/>
    <d v="2024-03-06T00:00:00"/>
    <s v="AP#22653868 FROM S TAEBI ;Payment from S TAEBI"/>
    <n v="189.98"/>
    <x v="1"/>
    <x v="24"/>
    <x v="1"/>
  </r>
  <r>
    <s v="KiwiBank"/>
    <s v="Saving"/>
    <s v="38-9022-xxxx-00"/>
    <d v="2024-03-07T00:00:00"/>
    <s v="AP#22653655 TO S TAEBI  S M ALAVI ;Pay S TAEBI  S M ALAVI"/>
    <n v="-953.95"/>
    <x v="1"/>
    <x v="24"/>
    <x v="1"/>
  </r>
  <r>
    <s v="KiwiBank"/>
    <s v="Saving"/>
    <s v="38-9022-xxxx-00"/>
    <d v="2024-03-13T00:00:00"/>
    <s v="AP#22653868 FROM S TAEBI ;Payment from S TAEBI"/>
    <n v="1196.94"/>
    <x v="1"/>
    <x v="24"/>
    <x v="1"/>
  </r>
  <r>
    <s v="KiwiBank"/>
    <s v="Saving"/>
    <s v="38-9022-xxxx-00"/>
    <d v="2024-03-14T00:00:00"/>
    <s v="AP#22653655 TO S TAEBI  S M ALAVI ;Pay S TAEBI  S M ALAVI"/>
    <n v="-293.60000000000002"/>
    <x v="1"/>
    <x v="24"/>
    <x v="1"/>
  </r>
  <r>
    <s v="KiwiBank"/>
    <s v="Saving"/>
    <s v="38-9022-xxxx-00"/>
    <d v="2024-03-20T00:00:00"/>
    <s v="AP#22653868 FROM S TAEBI ;Payment from S TAEBI"/>
    <n v="528.01"/>
    <x v="1"/>
    <x v="24"/>
    <x v="1"/>
  </r>
  <r>
    <s v="KiwiBank"/>
    <s v="Saving"/>
    <s v="38-9022-xxxx-00"/>
    <d v="2024-03-21T00:00:00"/>
    <s v="AP#22653655 TO S TAEBI  S M ALAVI ;Pay S TAEBI  S M ALAVI"/>
    <n v="-676.89"/>
    <x v="1"/>
    <x v="24"/>
    <x v="1"/>
  </r>
  <r>
    <s v="KiwiBank"/>
    <s v="Saving"/>
    <s v="38-9022-xxxx-00"/>
    <d v="2024-03-27T00:00:00"/>
    <s v="AP#22653868 FROM S TAEBI ;Payment from S TAEBI"/>
    <n v="782.63"/>
    <x v="1"/>
    <x v="24"/>
    <x v="1"/>
  </r>
  <r>
    <s v="KiwiBank"/>
    <s v="Saving"/>
    <s v="38-9022-xxxx-00"/>
    <d v="2024-03-28T00:00:00"/>
    <s v="AP#22653655 TO S TAEBI  S M ALAVI ;Pay S TAEBI  S M ALAVI"/>
    <n v="-122.82"/>
    <x v="1"/>
    <x v="24"/>
    <x v="1"/>
  </r>
  <r>
    <s v="KiwiBank"/>
    <s v="Loan"/>
    <s v="38-9016-xxxx-06"/>
    <d v="2023-04-07T00:00:00"/>
    <s v="LOAN INTEREST ;"/>
    <n v="-297.25"/>
    <x v="4"/>
    <x v="30"/>
    <x v="37"/>
  </r>
  <r>
    <s v="KiwiBank"/>
    <s v="Loan"/>
    <s v="38-9016-xxxx-06"/>
    <d v="2023-04-11T00:00:00"/>
    <s v="AP#18495353 FROM S TAEBI ;Transfer from S TAEBI - 00"/>
    <n v="1002.24"/>
    <x v="4"/>
    <x v="30"/>
    <x v="36"/>
  </r>
  <r>
    <s v="KiwiBank"/>
    <s v="Loan"/>
    <s v="38-9016-xxxx-06"/>
    <d v="2023-04-21T00:00:00"/>
    <s v="AP#18495353 FROM S TAEBI ;Transfer from S TAEBI - 00"/>
    <n v="1686.19"/>
    <x v="4"/>
    <x v="30"/>
    <x v="36"/>
  </r>
  <r>
    <s v="KiwiBank"/>
    <s v="Loan"/>
    <s v="38-9016-xxxx-06"/>
    <d v="2023-04-21T00:00:00"/>
    <s v="LOAN INTEREST ;"/>
    <n v="-1361.52"/>
    <x v="4"/>
    <x v="30"/>
    <x v="37"/>
  </r>
  <r>
    <s v="KiwiBank"/>
    <s v="Loan"/>
    <s v="38-9016-xxxx-06"/>
    <d v="2023-05-05T00:00:00"/>
    <s v="AP#18495353 FROM S TAEBI ;Transfer from S TAEBI - 00"/>
    <n v="1235.1500000000001"/>
    <x v="4"/>
    <x v="30"/>
    <x v="36"/>
  </r>
  <r>
    <s v="KiwiBank"/>
    <s v="Loan"/>
    <s v="38-9016-xxxx-06"/>
    <d v="2023-05-05T00:00:00"/>
    <s v="LOAN INTEREST ;"/>
    <n v="-779.02"/>
    <x v="4"/>
    <x v="30"/>
    <x v="37"/>
  </r>
  <r>
    <s v="KiwiBank"/>
    <s v="Loan"/>
    <s v="38-9016-xxxx-06"/>
    <d v="2023-05-19T00:00:00"/>
    <s v="AP#18495353 FROM S TAEBI ;Transfer from S TAEBI - 00"/>
    <n v="591.12"/>
    <x v="4"/>
    <x v="30"/>
    <x v="36"/>
  </r>
  <r>
    <s v="KiwiBank"/>
    <s v="Loan"/>
    <s v="38-9016-xxxx-06"/>
    <d v="2023-05-19T00:00:00"/>
    <s v="LOAN INTEREST ;"/>
    <n v="-561.83000000000004"/>
    <x v="4"/>
    <x v="30"/>
    <x v="37"/>
  </r>
  <r>
    <s v="KiwiBank"/>
    <s v="Loan"/>
    <s v="38-9016-xxxx-06"/>
    <d v="2023-06-02T00:00:00"/>
    <s v="AP#18495353 FROM S TAEBI ;Transfer from S TAEBI - 00"/>
    <n v="1031.25"/>
    <x v="4"/>
    <x v="30"/>
    <x v="36"/>
  </r>
  <r>
    <s v="KiwiBank"/>
    <s v="Loan"/>
    <s v="38-9016-xxxx-06"/>
    <d v="2023-06-02T00:00:00"/>
    <s v="LOAN INTEREST ;"/>
    <n v="-584.71"/>
    <x v="4"/>
    <x v="30"/>
    <x v="37"/>
  </r>
  <r>
    <s v="KiwiBank"/>
    <s v="Loan"/>
    <s v="38-9016-xxxx-06"/>
    <d v="2023-06-16T00:00:00"/>
    <s v="AP#18495353 FROM S TAEBI ;Transfer from S TAEBI - 00"/>
    <n v="1556.06"/>
    <x v="4"/>
    <x v="30"/>
    <x v="36"/>
  </r>
  <r>
    <s v="KiwiBank"/>
    <s v="Loan"/>
    <s v="38-9016-xxxx-06"/>
    <d v="2023-06-16T00:00:00"/>
    <s v="LOAN INTEREST ;"/>
    <n v="-216.36"/>
    <x v="4"/>
    <x v="30"/>
    <x v="37"/>
  </r>
  <r>
    <s v="KiwiBank"/>
    <s v="Loan"/>
    <s v="38-9016-xxxx-06"/>
    <d v="2023-06-21T00:00:00"/>
    <s v="REMEDIATION NOT TOWARDS 5% NA ;"/>
    <n v="903.62"/>
    <x v="4"/>
    <x v="30"/>
    <x v="36"/>
  </r>
  <r>
    <s v="KiwiBank"/>
    <s v="Loan"/>
    <s v="38-9016-xxxx-06"/>
    <d v="2023-06-30T00:00:00"/>
    <s v="AP#18495353 FROM S TAEBI ;Transfer from S TAEBI - 00"/>
    <n v="1070.3"/>
    <x v="4"/>
    <x v="30"/>
    <x v="36"/>
  </r>
  <r>
    <s v="KiwiBank"/>
    <s v="Loan"/>
    <s v="38-9016-xxxx-06"/>
    <d v="2023-06-30T00:00:00"/>
    <s v="LOAN INTEREST ;"/>
    <n v="-1631.51"/>
    <x v="4"/>
    <x v="30"/>
    <x v="37"/>
  </r>
  <r>
    <s v="KiwiBank"/>
    <s v="Loan"/>
    <s v="38-9016-xxxx-06"/>
    <d v="2023-07-14T00:00:00"/>
    <s v="AP#18495353 FROM S TAEBI ;Transfer from S TAEBI - 00"/>
    <n v="381.31"/>
    <x v="4"/>
    <x v="30"/>
    <x v="36"/>
  </r>
  <r>
    <s v="KiwiBank"/>
    <s v="Loan"/>
    <s v="38-9016-xxxx-06"/>
    <d v="2023-07-14T00:00:00"/>
    <s v="LOAN INTEREST ;"/>
    <n v="-1070.6400000000001"/>
    <x v="4"/>
    <x v="30"/>
    <x v="37"/>
  </r>
  <r>
    <s v="KiwiBank"/>
    <s v="Loan"/>
    <s v="38-9016-xxxx-06"/>
    <d v="2023-07-28T00:00:00"/>
    <s v="AP#18495353 FROM S TAEBI ;Transfer from S TAEBI - 00"/>
    <n v="1370.61"/>
    <x v="4"/>
    <x v="30"/>
    <x v="36"/>
  </r>
  <r>
    <s v="KiwiBank"/>
    <s v="Loan"/>
    <s v="38-9016-xxxx-06"/>
    <d v="2023-07-28T00:00:00"/>
    <s v="LOAN INTEREST ;"/>
    <n v="-399.12"/>
    <x v="4"/>
    <x v="30"/>
    <x v="37"/>
  </r>
  <r>
    <s v="KiwiBank"/>
    <s v="Loan"/>
    <s v="38-9016-xxxx-06"/>
    <d v="2023-08-11T00:00:00"/>
    <s v="AP#18495353 FROM S TAEBI ;Transfer from S TAEBI - 00"/>
    <n v="600.12"/>
    <x v="4"/>
    <x v="30"/>
    <x v="36"/>
  </r>
  <r>
    <s v="KiwiBank"/>
    <s v="Loan"/>
    <s v="38-9016-xxxx-06"/>
    <d v="2023-08-11T00:00:00"/>
    <s v="LOAN INTEREST ;"/>
    <n v="-1286.3399999999999"/>
    <x v="4"/>
    <x v="30"/>
    <x v="37"/>
  </r>
  <r>
    <s v="KiwiBank"/>
    <s v="Loan"/>
    <s v="38-9016-xxxx-06"/>
    <d v="2023-08-25T00:00:00"/>
    <s v="AP#18495353 FROM S TAEBI ;Transfer from S TAEBI - 00"/>
    <n v="958.77"/>
    <x v="4"/>
    <x v="30"/>
    <x v="36"/>
  </r>
  <r>
    <s v="KiwiBank"/>
    <s v="Loan"/>
    <s v="38-9016-xxxx-06"/>
    <d v="2023-08-25T00:00:00"/>
    <s v="LOAN INTEREST ;"/>
    <n v="-1580.87"/>
    <x v="4"/>
    <x v="30"/>
    <x v="37"/>
  </r>
  <r>
    <s v="KiwiBank"/>
    <s v="Loan"/>
    <s v="38-9016-xxxx-06"/>
    <d v="2023-09-08T00:00:00"/>
    <s v="AP#18495353 FROM S TAEBI ;Transfer from S TAEBI - 00"/>
    <n v="192.85"/>
    <x v="4"/>
    <x v="30"/>
    <x v="36"/>
  </r>
  <r>
    <s v="KiwiBank"/>
    <s v="Loan"/>
    <s v="38-9016-xxxx-06"/>
    <d v="2023-09-08T00:00:00"/>
    <s v="LOAN INTEREST ;"/>
    <n v="-1250.95"/>
    <x v="4"/>
    <x v="30"/>
    <x v="37"/>
  </r>
  <r>
    <s v="KiwiBank"/>
    <s v="Loan"/>
    <s v="38-9016-xxxx-06"/>
    <d v="2023-09-22T00:00:00"/>
    <s v="AP#18495353 FROM S TAEBI ;Transfer from S TAEBI - 00"/>
    <n v="1061.1300000000001"/>
    <x v="4"/>
    <x v="30"/>
    <x v="36"/>
  </r>
  <r>
    <s v="KiwiBank"/>
    <s v="Loan"/>
    <s v="38-9016-xxxx-06"/>
    <d v="2023-09-22T00:00:00"/>
    <s v="LOAN INTEREST ;"/>
    <n v="-305.79000000000002"/>
    <x v="4"/>
    <x v="30"/>
    <x v="37"/>
  </r>
  <r>
    <s v="KiwiBank"/>
    <s v="Loan"/>
    <s v="38-9016-xxxx-06"/>
    <d v="2023-10-06T00:00:00"/>
    <s v="AP#18495353 FROM S TAEBI ;Transfer from S TAEBI - 00"/>
    <n v="681.32"/>
    <x v="4"/>
    <x v="30"/>
    <x v="36"/>
  </r>
  <r>
    <s v="KiwiBank"/>
    <s v="Loan"/>
    <s v="38-9016-xxxx-06"/>
    <d v="2023-10-06T00:00:00"/>
    <s v="LOAN INTEREST ;"/>
    <n v="-391.82"/>
    <x v="4"/>
    <x v="30"/>
    <x v="37"/>
  </r>
  <r>
    <s v="KiwiBank"/>
    <s v="Loan"/>
    <s v="38-9016-xxxx-06"/>
    <d v="2023-10-20T00:00:00"/>
    <s v="AP#18495353 FROM S TAEBI ;Transfer from S TAEBI - 00"/>
    <n v="1601.81"/>
    <x v="4"/>
    <x v="30"/>
    <x v="36"/>
  </r>
  <r>
    <s v="KiwiBank"/>
    <s v="Loan"/>
    <s v="38-9016-xxxx-06"/>
    <d v="2023-10-20T00:00:00"/>
    <s v="LOAN INTEREST ;"/>
    <n v="-333.94"/>
    <x v="4"/>
    <x v="30"/>
    <x v="37"/>
  </r>
  <r>
    <s v="KiwiBank"/>
    <s v="Loan"/>
    <s v="38-9016-xxxx-06"/>
    <d v="2023-11-03T00:00:00"/>
    <s v="AP#18495353 FROM S TAEBI ;Transfer from S TAEBI - 00"/>
    <n v="247.67"/>
    <x v="4"/>
    <x v="30"/>
    <x v="36"/>
  </r>
  <r>
    <s v="KiwiBank"/>
    <s v="Loan"/>
    <s v="38-9016-xxxx-06"/>
    <d v="2023-11-03T00:00:00"/>
    <s v="LOAN INTEREST ;"/>
    <n v="-1014.94"/>
    <x v="4"/>
    <x v="30"/>
    <x v="37"/>
  </r>
  <r>
    <s v="KiwiBank"/>
    <s v="Loan"/>
    <s v="38-9016-xxxx-06"/>
    <d v="2023-11-17T00:00:00"/>
    <s v="AP#18495353 FROM S TAEBI ;Transfer from S TAEBI - 00"/>
    <n v="761.4"/>
    <x v="4"/>
    <x v="30"/>
    <x v="36"/>
  </r>
  <r>
    <s v="KiwiBank"/>
    <s v="Loan"/>
    <s v="38-9016-xxxx-06"/>
    <d v="2023-11-17T00:00:00"/>
    <s v="LOAN INTEREST ;"/>
    <n v="-471.19"/>
    <x v="4"/>
    <x v="30"/>
    <x v="37"/>
  </r>
  <r>
    <s v="KiwiBank"/>
    <s v="Loan"/>
    <s v="38-9016-xxxx-06"/>
    <d v="2023-12-01T00:00:00"/>
    <s v="AP#18495353 FROM S TAEBI ;Transfer from S TAEBI - 00"/>
    <n v="1865.29"/>
    <x v="4"/>
    <x v="30"/>
    <x v="36"/>
  </r>
  <r>
    <s v="KiwiBank"/>
    <s v="Loan"/>
    <s v="38-9016-xxxx-06"/>
    <d v="2023-12-01T00:00:00"/>
    <s v="LOAN INTEREST ;"/>
    <n v="-664.93"/>
    <x v="4"/>
    <x v="30"/>
    <x v="37"/>
  </r>
  <r>
    <s v="KiwiBank"/>
    <s v="Loan"/>
    <s v="38-9016-xxxx-06"/>
    <d v="2023-12-15T00:00:00"/>
    <s v="AP#18495353 FROM S TAEBI ;Transfer from S TAEBI - 00"/>
    <n v="523.61"/>
    <x v="4"/>
    <x v="30"/>
    <x v="36"/>
  </r>
  <r>
    <s v="KiwiBank"/>
    <s v="Loan"/>
    <s v="38-9016-xxxx-06"/>
    <d v="2023-12-15T00:00:00"/>
    <s v="LOAN INTEREST ;"/>
    <n v="-484.32"/>
    <x v="4"/>
    <x v="30"/>
    <x v="37"/>
  </r>
  <r>
    <s v="KiwiBank"/>
    <s v="Loan"/>
    <s v="38-9016-xxxx-06"/>
    <d v="2023-12-29T00:00:00"/>
    <s v="AP#18495353 FROM S TAEBI ;Transfer from S TAEBI - 00"/>
    <n v="601.51"/>
    <x v="4"/>
    <x v="30"/>
    <x v="36"/>
  </r>
  <r>
    <s v="KiwiBank"/>
    <s v="Loan"/>
    <s v="38-9016-xxxx-06"/>
    <d v="2023-12-29T00:00:00"/>
    <s v="LOAN INTEREST ;"/>
    <n v="-760.17"/>
    <x v="4"/>
    <x v="30"/>
    <x v="37"/>
  </r>
  <r>
    <s v="KiwiBank"/>
    <s v="Loan"/>
    <s v="38-9016-xxxx-06"/>
    <d v="2024-01-12T00:00:00"/>
    <s v="AP#18495353 FROM S TAEBI ;Transfer from S TAEBI - 00"/>
    <n v="383.12"/>
    <x v="4"/>
    <x v="30"/>
    <x v="36"/>
  </r>
  <r>
    <s v="KiwiBank"/>
    <s v="Loan"/>
    <s v="38-9016-xxxx-06"/>
    <d v="2024-01-12T00:00:00"/>
    <s v="LOAN INTEREST ;"/>
    <n v="-843.16"/>
    <x v="4"/>
    <x v="30"/>
    <x v="37"/>
  </r>
  <r>
    <s v="KiwiBank"/>
    <s v="Loan"/>
    <s v="38-9016-xxxx-06"/>
    <d v="2024-01-26T00:00:00"/>
    <s v="AP#18495353 FROM S TAEBI ;Transfer from S TAEBI - 00"/>
    <n v="844.32"/>
    <x v="4"/>
    <x v="30"/>
    <x v="36"/>
  </r>
  <r>
    <s v="KiwiBank"/>
    <s v="Loan"/>
    <s v="38-9016-xxxx-06"/>
    <d v="2024-01-26T00:00:00"/>
    <s v="LOAN INTEREST ;"/>
    <n v="-750.54"/>
    <x v="4"/>
    <x v="30"/>
    <x v="37"/>
  </r>
  <r>
    <s v="KiwiBank"/>
    <s v="Loan"/>
    <s v="38-9016-xxxx-06"/>
    <d v="2024-02-09T00:00:00"/>
    <s v="AP#18495353 FROM S TAEBI ;Transfer from S TAEBI - 00"/>
    <n v="421.79"/>
    <x v="4"/>
    <x v="30"/>
    <x v="36"/>
  </r>
  <r>
    <s v="KiwiBank"/>
    <s v="Loan"/>
    <s v="38-9016-xxxx-06"/>
    <d v="2024-02-09T00:00:00"/>
    <s v="LOAN INTEREST ;"/>
    <n v="-236.76"/>
    <x v="4"/>
    <x v="30"/>
    <x v="37"/>
  </r>
  <r>
    <s v="KiwiBank"/>
    <s v="Loan"/>
    <s v="38-9016-xxxx-06"/>
    <d v="2024-02-15T00:00:00"/>
    <s v="Rate 8.500% (V) loaded ;"/>
    <n v="0"/>
    <x v="4"/>
    <x v="30"/>
    <x v="36"/>
  </r>
  <r>
    <s v="KiwiBank"/>
    <s v="Loan"/>
    <s v="38-9016-xxxx-06"/>
    <d v="2024-02-15T00:00:00"/>
    <s v="From 8.500% (V) to 6.540% (F) ;"/>
    <n v="0"/>
    <x v="4"/>
    <x v="30"/>
    <x v="36"/>
  </r>
  <r>
    <s v="KiwiBank"/>
    <s v="Loan"/>
    <s v="38-9016-xxxx-06"/>
    <d v="2024-02-16T00:00:00"/>
    <s v="From 6.140% (F) to 6.540% (F) ;"/>
    <n v="0"/>
    <x v="4"/>
    <x v="30"/>
    <x v="36"/>
  </r>
  <r>
    <s v="KiwiBank"/>
    <s v="Loan"/>
    <s v="38-9016-xxxx-06"/>
    <d v="2024-02-16T00:00:00"/>
    <s v="From 1372.65 to 1424.98 due 23FEB2024 ;"/>
    <n v="0"/>
    <x v="4"/>
    <x v="30"/>
    <x v="36"/>
  </r>
  <r>
    <s v="KiwiBank"/>
    <s v="Loan"/>
    <s v="38-9016-xxxx-06"/>
    <d v="2024-02-23T00:00:00"/>
    <s v="AP#18495353 FROM S TAEBI ;Transfer from S TAEBI - 00"/>
    <n v="223.56"/>
    <x v="4"/>
    <x v="30"/>
    <x v="36"/>
  </r>
  <r>
    <s v="KiwiBank"/>
    <s v="Loan"/>
    <s v="38-9016-xxxx-06"/>
    <d v="2024-02-23T00:00:00"/>
    <s v="LOAN INTEREST ;"/>
    <n v="-341.17"/>
    <x v="4"/>
    <x v="30"/>
    <x v="37"/>
  </r>
  <r>
    <s v="KiwiBank"/>
    <s v="Loan"/>
    <s v="38-9016-xxxx-06"/>
    <d v="2024-03-08T00:00:00"/>
    <s v="AP#18495353 FROM S TAEBI ;Transfer from S TAEBI - 00"/>
    <n v="1960.6"/>
    <x v="4"/>
    <x v="30"/>
    <x v="36"/>
  </r>
  <r>
    <s v="KiwiBank"/>
    <s v="Loan"/>
    <s v="38-9016-xxxx-06"/>
    <d v="2024-03-08T00:00:00"/>
    <s v="LOAN INTEREST ;"/>
    <n v="-1460.43"/>
    <x v="4"/>
    <x v="30"/>
    <x v="37"/>
  </r>
  <r>
    <s v="KiwiBank"/>
    <s v="Loan"/>
    <s v="38-9016-xxxx-06"/>
    <d v="2024-03-22T00:00:00"/>
    <s v="AP#18495353 FROM S TAEBI ;Transfer from S TAEBI - 00"/>
    <n v="1896.33"/>
    <x v="4"/>
    <x v="30"/>
    <x v="36"/>
  </r>
  <r>
    <s v="KiwiBank"/>
    <s v="Loan"/>
    <s v="38-9016-xxxx-06"/>
    <d v="2024-03-22T00:00:00"/>
    <s v="LOAN INTEREST ;"/>
    <n v="-1727.02"/>
    <x v="4"/>
    <x v="30"/>
    <x v="37"/>
  </r>
  <r>
    <s v="KiwiBank"/>
    <s v="Loan"/>
    <s v="38-9016-xxxx-07"/>
    <d v="2023-04-07T00:00:00"/>
    <s v="LOAN INTEREST ;"/>
    <n v="-1176.08"/>
    <x v="4"/>
    <x v="30"/>
    <x v="37"/>
  </r>
  <r>
    <s v="KiwiBank"/>
    <s v="Loan"/>
    <s v="38-9016-xxxx-07"/>
    <d v="2023-04-11T00:00:00"/>
    <s v="AP#18495354 FROM S TAEBI ;Transfer from S TAEBI - 00"/>
    <n v="64.319999999999993"/>
    <x v="4"/>
    <x v="30"/>
    <x v="36"/>
  </r>
  <r>
    <s v="KiwiBank"/>
    <s v="Loan"/>
    <s v="38-9016-xxxx-07"/>
    <d v="2023-04-21T00:00:00"/>
    <s v="AP#18495354 FROM S TAEBI ;Transfer from S TAEBI - 00"/>
    <n v="618.91999999999996"/>
    <x v="4"/>
    <x v="30"/>
    <x v="36"/>
  </r>
  <r>
    <s v="KiwiBank"/>
    <s v="Loan"/>
    <s v="38-9016-xxxx-07"/>
    <d v="2023-04-21T00:00:00"/>
    <s v="LOAN INTEREST ;"/>
    <n v="-603.13"/>
    <x v="4"/>
    <x v="30"/>
    <x v="37"/>
  </r>
  <r>
    <s v="KiwiBank"/>
    <s v="Loan"/>
    <s v="38-9016-xxxx-07"/>
    <d v="2023-05-05T00:00:00"/>
    <s v="AP#18495354 FROM S TAEBI ;Transfer from S TAEBI - 00"/>
    <n v="775.69"/>
    <x v="4"/>
    <x v="30"/>
    <x v="36"/>
  </r>
  <r>
    <s v="KiwiBank"/>
    <s v="Loan"/>
    <s v="38-9016-xxxx-07"/>
    <d v="2023-05-05T00:00:00"/>
    <s v="LOAN INTEREST ;"/>
    <n v="-246.4"/>
    <x v="4"/>
    <x v="30"/>
    <x v="37"/>
  </r>
  <r>
    <s v="KiwiBank"/>
    <s v="Loan"/>
    <s v="38-9016-xxxx-07"/>
    <d v="2023-05-19T00:00:00"/>
    <s v="AP#18495354 FROM S TAEBI ;Transfer from S TAEBI - 00"/>
    <n v="1013.42"/>
    <x v="4"/>
    <x v="30"/>
    <x v="36"/>
  </r>
  <r>
    <s v="KiwiBank"/>
    <s v="Loan"/>
    <s v="38-9016-xxxx-07"/>
    <d v="2023-05-19T00:00:00"/>
    <s v="LOAN INTEREST ;"/>
    <n v="-424.25"/>
    <x v="4"/>
    <x v="30"/>
    <x v="37"/>
  </r>
  <r>
    <s v="KiwiBank"/>
    <s v="Loan"/>
    <s v="38-9016-xxxx-07"/>
    <d v="2023-06-02T00:00:00"/>
    <s v="AP#18495354 FROM S TAEBI ;Transfer from S TAEBI - 00"/>
    <n v="1726.36"/>
    <x v="4"/>
    <x v="30"/>
    <x v="36"/>
  </r>
  <r>
    <s v="KiwiBank"/>
    <s v="Loan"/>
    <s v="38-9016-xxxx-07"/>
    <d v="2023-06-02T00:00:00"/>
    <s v="LOAN INTEREST ;"/>
    <n v="-1136.8699999999999"/>
    <x v="4"/>
    <x v="30"/>
    <x v="37"/>
  </r>
  <r>
    <s v="KiwiBank"/>
    <s v="Loan"/>
    <s v="38-9016-xxxx-07"/>
    <d v="2023-06-16T00:00:00"/>
    <s v="AP#18495354 FROM S TAEBI ;Transfer from S TAEBI - 00"/>
    <n v="1995.96"/>
    <x v="4"/>
    <x v="30"/>
    <x v="36"/>
  </r>
  <r>
    <s v="KiwiBank"/>
    <s v="Loan"/>
    <s v="38-9016-xxxx-07"/>
    <d v="2023-06-16T00:00:00"/>
    <s v="LOAN INTEREST ;"/>
    <n v="-1160.3499999999999"/>
    <x v="4"/>
    <x v="30"/>
    <x v="37"/>
  </r>
  <r>
    <s v="KiwiBank"/>
    <s v="Loan"/>
    <s v="38-9016-xxxx-07"/>
    <d v="2023-06-21T00:00:00"/>
    <s v="REMEDIATION NOT TOWARDS 5% NA ;"/>
    <n v="717.73"/>
    <x v="4"/>
    <x v="30"/>
    <x v="36"/>
  </r>
  <r>
    <s v="KiwiBank"/>
    <s v="Loan"/>
    <s v="38-9016-xxxx-07"/>
    <d v="2023-06-30T00:00:00"/>
    <s v="AP#18495354 FROM S TAEBI ;Transfer from S TAEBI - 00"/>
    <n v="1563.97"/>
    <x v="4"/>
    <x v="30"/>
    <x v="36"/>
  </r>
  <r>
    <s v="KiwiBank"/>
    <s v="Loan"/>
    <s v="38-9016-xxxx-07"/>
    <d v="2023-06-30T00:00:00"/>
    <s v="LOAN INTEREST ;"/>
    <n v="-266.11"/>
    <x v="4"/>
    <x v="30"/>
    <x v="37"/>
  </r>
  <r>
    <s v="KiwiBank"/>
    <s v="Loan"/>
    <s v="38-9016-xxxx-07"/>
    <d v="2023-07-14T00:00:00"/>
    <s v="AP#18495354 FROM S TAEBI ;Transfer from S TAEBI - 00"/>
    <n v="1206.74"/>
    <x v="4"/>
    <x v="30"/>
    <x v="36"/>
  </r>
  <r>
    <s v="KiwiBank"/>
    <s v="Loan"/>
    <s v="38-9016-xxxx-07"/>
    <d v="2023-07-14T00:00:00"/>
    <s v="LOAN INTEREST ;"/>
    <n v="-1506.9"/>
    <x v="4"/>
    <x v="30"/>
    <x v="37"/>
  </r>
  <r>
    <s v="KiwiBank"/>
    <s v="Loan"/>
    <s v="38-9016-xxxx-07"/>
    <d v="2023-07-28T00:00:00"/>
    <s v="AP#18495354 FROM S TAEBI ;Transfer from S TAEBI - 00"/>
    <n v="1459.99"/>
    <x v="4"/>
    <x v="30"/>
    <x v="36"/>
  </r>
  <r>
    <s v="KiwiBank"/>
    <s v="Loan"/>
    <s v="38-9016-xxxx-07"/>
    <d v="2023-07-28T00:00:00"/>
    <s v="LOAN INTEREST ;"/>
    <n v="-1282.3"/>
    <x v="4"/>
    <x v="30"/>
    <x v="37"/>
  </r>
  <r>
    <s v="KiwiBank"/>
    <s v="Loan"/>
    <s v="38-9016-xxxx-07"/>
    <d v="2023-08-11T00:00:00"/>
    <s v="AP#18495354 FROM S TAEBI ;Transfer from S TAEBI - 00"/>
    <n v="1844.08"/>
    <x v="4"/>
    <x v="30"/>
    <x v="36"/>
  </r>
  <r>
    <s v="KiwiBank"/>
    <s v="Loan"/>
    <s v="38-9016-xxxx-07"/>
    <d v="2023-08-11T00:00:00"/>
    <s v="LOAN INTEREST ;"/>
    <n v="-1496.12"/>
    <x v="4"/>
    <x v="30"/>
    <x v="37"/>
  </r>
  <r>
    <s v="KiwiBank"/>
    <s v="Loan"/>
    <s v="38-9016-xxxx-07"/>
    <d v="2023-08-25T00:00:00"/>
    <s v="AP#18495354 FROM S TAEBI ;Transfer from S TAEBI - 00"/>
    <n v="1418.8"/>
    <x v="4"/>
    <x v="30"/>
    <x v="36"/>
  </r>
  <r>
    <s v="KiwiBank"/>
    <s v="Loan"/>
    <s v="38-9016-xxxx-07"/>
    <d v="2023-08-25T00:00:00"/>
    <s v="LOAN INTEREST ;"/>
    <n v="-448.15"/>
    <x v="4"/>
    <x v="30"/>
    <x v="37"/>
  </r>
  <r>
    <s v="KiwiBank"/>
    <s v="Loan"/>
    <s v="38-9016-xxxx-07"/>
    <d v="2023-09-08T00:00:00"/>
    <s v="AP#18495354 FROM S TAEBI ;Transfer from S TAEBI - 00"/>
    <n v="633.99"/>
    <x v="4"/>
    <x v="30"/>
    <x v="36"/>
  </r>
  <r>
    <s v="KiwiBank"/>
    <s v="Loan"/>
    <s v="38-9016-xxxx-07"/>
    <d v="2023-09-08T00:00:00"/>
    <s v="LOAN INTEREST ;"/>
    <n v="-401.48"/>
    <x v="4"/>
    <x v="30"/>
    <x v="37"/>
  </r>
  <r>
    <s v="KiwiBank"/>
    <s v="Loan"/>
    <s v="38-9016-xxxx-07"/>
    <d v="2023-09-22T00:00:00"/>
    <s v="AP#18495354 FROM S TAEBI ;Transfer from S TAEBI - 00"/>
    <n v="1083.6300000000001"/>
    <x v="4"/>
    <x v="30"/>
    <x v="36"/>
  </r>
  <r>
    <s v="KiwiBank"/>
    <s v="Loan"/>
    <s v="38-9016-xxxx-07"/>
    <d v="2023-09-22T00:00:00"/>
    <s v="LOAN INTEREST ;"/>
    <n v="-1231.24"/>
    <x v="4"/>
    <x v="30"/>
    <x v="37"/>
  </r>
  <r>
    <s v="KiwiBank"/>
    <s v="Loan"/>
    <s v="38-9016-xxxx-07"/>
    <d v="2023-10-06T00:00:00"/>
    <s v="AP#18495354 FROM S TAEBI ;Transfer from S TAEBI - 00"/>
    <n v="1333.79"/>
    <x v="4"/>
    <x v="30"/>
    <x v="36"/>
  </r>
  <r>
    <s v="KiwiBank"/>
    <s v="Loan"/>
    <s v="38-9016-xxxx-07"/>
    <d v="2023-10-06T00:00:00"/>
    <s v="LOAN INTEREST ;"/>
    <n v="-1601.96"/>
    <x v="4"/>
    <x v="30"/>
    <x v="37"/>
  </r>
  <r>
    <s v="KiwiBank"/>
    <s v="Loan"/>
    <s v="38-9016-xxxx-07"/>
    <d v="2023-10-20T00:00:00"/>
    <s v="AP#18495354 FROM S TAEBI ;Transfer from S TAEBI - 00"/>
    <n v="1387.96"/>
    <x v="4"/>
    <x v="30"/>
    <x v="36"/>
  </r>
  <r>
    <s v="KiwiBank"/>
    <s v="Loan"/>
    <s v="38-9016-xxxx-07"/>
    <d v="2023-10-20T00:00:00"/>
    <s v="LOAN INTEREST ;"/>
    <n v="-1494.75"/>
    <x v="4"/>
    <x v="30"/>
    <x v="37"/>
  </r>
  <r>
    <s v="KiwiBank"/>
    <s v="Loan"/>
    <s v="38-9016-xxxx-07"/>
    <d v="2023-11-03T00:00:00"/>
    <s v="AP#18495354 FROM S TAEBI ;Transfer from S TAEBI - 00"/>
    <n v="1912.29"/>
    <x v="4"/>
    <x v="30"/>
    <x v="36"/>
  </r>
  <r>
    <s v="KiwiBank"/>
    <s v="Loan"/>
    <s v="38-9016-xxxx-07"/>
    <d v="2023-11-03T00:00:00"/>
    <s v="LOAN INTEREST ;"/>
    <n v="-1318.63"/>
    <x v="4"/>
    <x v="30"/>
    <x v="37"/>
  </r>
  <r>
    <s v="KiwiBank"/>
    <s v="Loan"/>
    <s v="38-9016-xxxx-07"/>
    <d v="2023-11-17T00:00:00"/>
    <s v="AP#18495354 FROM S TAEBI ;Transfer from S TAEBI - 00"/>
    <n v="1555.88"/>
    <x v="4"/>
    <x v="30"/>
    <x v="36"/>
  </r>
  <r>
    <s v="KiwiBank"/>
    <s v="Loan"/>
    <s v="38-9016-xxxx-07"/>
    <d v="2023-11-17T00:00:00"/>
    <s v="LOAN INTEREST ;"/>
    <n v="-248.12"/>
    <x v="4"/>
    <x v="30"/>
    <x v="37"/>
  </r>
  <r>
    <s v="KiwiBank"/>
    <s v="Loan"/>
    <s v="38-9016-xxxx-07"/>
    <d v="2023-12-01T00:00:00"/>
    <s v="AP#18495354 FROM S TAEBI ;Transfer from S TAEBI - 00"/>
    <n v="1113.79"/>
    <x v="4"/>
    <x v="30"/>
    <x v="36"/>
  </r>
  <r>
    <s v="KiwiBank"/>
    <s v="Loan"/>
    <s v="38-9016-xxxx-07"/>
    <d v="2023-12-01T00:00:00"/>
    <s v="LOAN INTEREST ;"/>
    <n v="-565.54999999999995"/>
    <x v="4"/>
    <x v="30"/>
    <x v="37"/>
  </r>
  <r>
    <s v="KiwiBank"/>
    <s v="Loan"/>
    <s v="38-9016-xxxx-07"/>
    <d v="2023-12-15T00:00:00"/>
    <s v="AP#18495354 FROM S TAEBI ;Transfer from S TAEBI - 00"/>
    <n v="578.36"/>
    <x v="4"/>
    <x v="30"/>
    <x v="36"/>
  </r>
  <r>
    <s v="KiwiBank"/>
    <s v="Loan"/>
    <s v="38-9016-xxxx-07"/>
    <d v="2023-12-15T00:00:00"/>
    <s v="LOAN INTEREST ;"/>
    <n v="-373.51"/>
    <x v="4"/>
    <x v="30"/>
    <x v="37"/>
  </r>
  <r>
    <s v="KiwiBank"/>
    <s v="Loan"/>
    <s v="38-9016-xxxx-07"/>
    <d v="2023-12-29T00:00:00"/>
    <s v="AP#18495354 FROM S TAEBI ;Transfer from S TAEBI - 00"/>
    <n v="869.77"/>
    <x v="4"/>
    <x v="30"/>
    <x v="36"/>
  </r>
  <r>
    <s v="KiwiBank"/>
    <s v="Loan"/>
    <s v="38-9016-xxxx-07"/>
    <d v="2023-12-29T00:00:00"/>
    <s v="LOAN INTEREST ;"/>
    <n v="-724.75"/>
    <x v="4"/>
    <x v="30"/>
    <x v="37"/>
  </r>
  <r>
    <s v="KiwiBank"/>
    <s v="Loan"/>
    <s v="38-9016-xxxx-07"/>
    <d v="2024-01-12T00:00:00"/>
    <s v="AP#18495354 FROM S TAEBI ;Transfer from S TAEBI - 00"/>
    <n v="1116.71"/>
    <x v="4"/>
    <x v="30"/>
    <x v="36"/>
  </r>
  <r>
    <s v="KiwiBank"/>
    <s v="Loan"/>
    <s v="38-9016-xxxx-07"/>
    <d v="2024-01-12T00:00:00"/>
    <s v="LOAN INTEREST ;"/>
    <n v="-759.61"/>
    <x v="4"/>
    <x v="30"/>
    <x v="37"/>
  </r>
  <r>
    <s v="KiwiBank"/>
    <s v="Loan"/>
    <s v="38-9016-xxxx-07"/>
    <d v="2024-01-26T00:00:00"/>
    <s v="AP#18495354 FROM S TAEBI ;Transfer from S TAEBI - 00"/>
    <n v="126.16"/>
    <x v="4"/>
    <x v="30"/>
    <x v="36"/>
  </r>
  <r>
    <s v="KiwiBank"/>
    <s v="Loan"/>
    <s v="38-9016-xxxx-07"/>
    <d v="2024-01-26T00:00:00"/>
    <s v="LOAN INTEREST ;"/>
    <n v="-771.41"/>
    <x v="4"/>
    <x v="30"/>
    <x v="37"/>
  </r>
  <r>
    <s v="KiwiBank"/>
    <s v="Loan"/>
    <s v="38-9016-xxxx-07"/>
    <d v="2024-02-09T00:00:00"/>
    <s v="AP#18495354 FROM S TAEBI ;Transfer from S TAEBI - 00"/>
    <n v="970.01"/>
    <x v="4"/>
    <x v="30"/>
    <x v="36"/>
  </r>
  <r>
    <s v="KiwiBank"/>
    <s v="Loan"/>
    <s v="38-9016-xxxx-07"/>
    <d v="2024-02-09T00:00:00"/>
    <s v="LOAN INTEREST ;"/>
    <n v="-443.19"/>
    <x v="4"/>
    <x v="30"/>
    <x v="37"/>
  </r>
  <r>
    <s v="KiwiBank"/>
    <s v="Loan"/>
    <s v="38-9016-xxxx-07"/>
    <d v="2024-02-15T00:00:00"/>
    <s v="Rate 8.500% (V) loaded ;"/>
    <n v="0"/>
    <x v="4"/>
    <x v="30"/>
    <x v="36"/>
  </r>
  <r>
    <s v="KiwiBank"/>
    <s v="Loan"/>
    <s v="38-9016-xxxx-07"/>
    <d v="2024-02-15T00:00:00"/>
    <s v="From 8.500% (V) to 6.540% (F) ;"/>
    <n v="0"/>
    <x v="4"/>
    <x v="30"/>
    <x v="36"/>
  </r>
  <r>
    <s v="KiwiBank"/>
    <s v="Loan"/>
    <s v="38-9016-xxxx-07"/>
    <d v="2024-02-16T00:00:00"/>
    <s v="From 6.140% (F) to 6.540% (F) ;"/>
    <n v="0"/>
    <x v="4"/>
    <x v="30"/>
    <x v="36"/>
  </r>
  <r>
    <s v="KiwiBank"/>
    <s v="Loan"/>
    <s v="38-9016-xxxx-07"/>
    <d v="2024-02-16T00:00:00"/>
    <s v="From 1372.65 to 1424.98 due 23FEB2024 ;"/>
    <n v="0"/>
    <x v="4"/>
    <x v="30"/>
    <x v="36"/>
  </r>
  <r>
    <s v="KiwiBank"/>
    <s v="Loan"/>
    <s v="38-9016-xxxx-07"/>
    <d v="2024-02-23T00:00:00"/>
    <s v="AP#18495354 FROM S TAEBI ;Transfer from S TAEBI - 00"/>
    <n v="370.29"/>
    <x v="4"/>
    <x v="30"/>
    <x v="36"/>
  </r>
  <r>
    <s v="KiwiBank"/>
    <s v="Loan"/>
    <s v="38-9016-xxxx-07"/>
    <d v="2024-02-23T00:00:00"/>
    <s v="LOAN INTEREST ;"/>
    <n v="-1460.19"/>
    <x v="4"/>
    <x v="30"/>
    <x v="37"/>
  </r>
  <r>
    <s v="KiwiBank"/>
    <s v="Loan"/>
    <s v="38-9016-xxxx-07"/>
    <d v="2024-03-08T00:00:00"/>
    <s v="AP#18495354 FROM S TAEBI ;Transfer from S TAEBI - 00"/>
    <n v="687.28"/>
    <x v="4"/>
    <x v="30"/>
    <x v="36"/>
  </r>
  <r>
    <s v="KiwiBank"/>
    <s v="Loan"/>
    <s v="38-9016-xxxx-07"/>
    <d v="2024-03-08T00:00:00"/>
    <s v="LOAN INTEREST ;"/>
    <n v="-1260.76"/>
    <x v="4"/>
    <x v="30"/>
    <x v="37"/>
  </r>
  <r>
    <s v="KiwiBank"/>
    <s v="Loan"/>
    <s v="38-9016-xxxx-07"/>
    <d v="2024-03-22T00:00:00"/>
    <s v="AP#18495354 FROM S TAEBI ;Transfer from S TAEBI - 00"/>
    <n v="1540.48"/>
    <x v="4"/>
    <x v="30"/>
    <x v="36"/>
  </r>
  <r>
    <s v="KiwiBank"/>
    <s v="Loan"/>
    <s v="38-9016-xxxx-07"/>
    <d v="2024-03-22T00:00:00"/>
    <s v="LOAN INTEREST ;"/>
    <n v="-718.76"/>
    <x v="4"/>
    <x v="30"/>
    <x v="37"/>
  </r>
  <r>
    <s v="KiwiBank"/>
    <s v="Loan"/>
    <s v="38-9016-xxxx-08"/>
    <d v="2023-04-07T00:00:00"/>
    <s v="LOAN INTEREST ;"/>
    <n v="-328.55"/>
    <x v="4"/>
    <x v="30"/>
    <x v="37"/>
  </r>
  <r>
    <s v="KiwiBank"/>
    <s v="Loan"/>
    <s v="38-9016-xxxx-08"/>
    <d v="2023-04-11T00:00:00"/>
    <s v="AP#20595693 FROM S TAEBI ;Transfer from S TAEBI - 00"/>
    <n v="371.51"/>
    <x v="4"/>
    <x v="30"/>
    <x v="36"/>
  </r>
  <r>
    <s v="KiwiBank"/>
    <s v="Loan"/>
    <s v="38-9016-xxxx-08"/>
    <d v="2023-04-21T00:00:00"/>
    <s v="AP#20595693 FROM S TAEBI ;Transfer from S TAEBI - 00"/>
    <n v="364.76"/>
    <x v="4"/>
    <x v="30"/>
    <x v="36"/>
  </r>
  <r>
    <s v="KiwiBank"/>
    <s v="Loan"/>
    <s v="38-9016-xxxx-08"/>
    <d v="2023-04-21T00:00:00"/>
    <s v="LOAN INTEREST ;"/>
    <n v="-289.98"/>
    <x v="4"/>
    <x v="30"/>
    <x v="37"/>
  </r>
  <r>
    <s v="KiwiBank"/>
    <s v="Loan"/>
    <s v="38-9016-xxxx-08"/>
    <d v="2023-05-05T00:00:00"/>
    <s v="AP#20595693 FROM S TAEBI ;Transfer from S TAEBI - 00"/>
    <n v="317.14999999999998"/>
    <x v="4"/>
    <x v="30"/>
    <x v="36"/>
  </r>
  <r>
    <s v="KiwiBank"/>
    <s v="Loan"/>
    <s v="38-9016-xxxx-08"/>
    <d v="2023-05-05T00:00:00"/>
    <s v="LOAN INTEREST ;"/>
    <n v="-160.03"/>
    <x v="4"/>
    <x v="30"/>
    <x v="37"/>
  </r>
  <r>
    <s v="KiwiBank"/>
    <s v="Loan"/>
    <s v="38-9016-xxxx-08"/>
    <d v="2023-05-19T00:00:00"/>
    <s v="AP#20595693 FROM S TAEBI ;Transfer from S TAEBI - 00"/>
    <n v="31.3"/>
    <x v="4"/>
    <x v="30"/>
    <x v="36"/>
  </r>
  <r>
    <s v="KiwiBank"/>
    <s v="Loan"/>
    <s v="38-9016-xxxx-08"/>
    <d v="2023-05-19T00:00:00"/>
    <s v="LOAN INTEREST ;"/>
    <n v="-222.61"/>
    <x v="4"/>
    <x v="30"/>
    <x v="37"/>
  </r>
  <r>
    <s v="KiwiBank"/>
    <s v="Loan"/>
    <s v="38-9016-xxxx-08"/>
    <d v="2023-06-02T00:00:00"/>
    <s v="AP#20595693 FROM S TAEBI ;Transfer from S TAEBI - 00"/>
    <n v="5.67"/>
    <x v="4"/>
    <x v="30"/>
    <x v="36"/>
  </r>
  <r>
    <s v="KiwiBank"/>
    <s v="Loan"/>
    <s v="38-9016-xxxx-08"/>
    <d v="2023-06-02T00:00:00"/>
    <s v="LOAN INTEREST ;"/>
    <n v="-389.27"/>
    <x v="4"/>
    <x v="30"/>
    <x v="37"/>
  </r>
  <r>
    <s v="KiwiBank"/>
    <s v="Loan"/>
    <s v="38-9016-xxxx-08"/>
    <d v="2023-06-16T00:00:00"/>
    <s v="AP#20595693 FROM S TAEBI ;Transfer from S TAEBI - 00"/>
    <n v="474.45"/>
    <x v="4"/>
    <x v="30"/>
    <x v="36"/>
  </r>
  <r>
    <s v="KiwiBank"/>
    <s v="Loan"/>
    <s v="38-9016-xxxx-08"/>
    <d v="2023-06-16T00:00:00"/>
    <s v="LOAN INTEREST ;"/>
    <n v="-227.99"/>
    <x v="4"/>
    <x v="30"/>
    <x v="37"/>
  </r>
  <r>
    <s v="KiwiBank"/>
    <s v="Loan"/>
    <s v="38-9016-xxxx-08"/>
    <d v="2023-06-30T00:00:00"/>
    <s v="AP#20595693 FROM S TAEBI ;Transfer from S TAEBI - 00"/>
    <n v="303.69"/>
    <x v="4"/>
    <x v="30"/>
    <x v="36"/>
  </r>
  <r>
    <s v="KiwiBank"/>
    <s v="Loan"/>
    <s v="38-9016-xxxx-08"/>
    <d v="2023-06-30T00:00:00"/>
    <s v="LOAN INTEREST ;"/>
    <n v="-14.58"/>
    <x v="4"/>
    <x v="30"/>
    <x v="37"/>
  </r>
  <r>
    <s v="KiwiBank"/>
    <s v="Loan"/>
    <s v="38-9016-xxxx-08"/>
    <d v="2023-07-14T00:00:00"/>
    <s v="AP#20595693 FROM S TAEBI ;Transfer from S TAEBI - 00"/>
    <n v="450.43"/>
    <x v="4"/>
    <x v="30"/>
    <x v="36"/>
  </r>
  <r>
    <s v="KiwiBank"/>
    <s v="Loan"/>
    <s v="38-9016-xxxx-08"/>
    <d v="2023-07-14T00:00:00"/>
    <s v="LOAN INTEREST ;"/>
    <n v="-123.55"/>
    <x v="4"/>
    <x v="30"/>
    <x v="37"/>
  </r>
  <r>
    <s v="KiwiBank"/>
    <s v="Loan"/>
    <s v="38-9016-xxxx-08"/>
    <d v="2023-07-28T00:00:00"/>
    <s v="AP#20595693 FROM S TAEBI ;Transfer from S TAEBI - 00"/>
    <n v="321.18"/>
    <x v="4"/>
    <x v="30"/>
    <x v="36"/>
  </r>
  <r>
    <s v="KiwiBank"/>
    <s v="Loan"/>
    <s v="38-9016-xxxx-08"/>
    <d v="2023-07-28T00:00:00"/>
    <s v="LOAN INTEREST ;"/>
    <n v="-420.55"/>
    <x v="4"/>
    <x v="30"/>
    <x v="37"/>
  </r>
  <r>
    <s v="KiwiBank"/>
    <s v="Loan"/>
    <s v="38-9016-xxxx-08"/>
    <d v="2023-08-11T00:00:00"/>
    <s v="AP#20595693 FROM S TAEBI ;Transfer from S TAEBI - 00"/>
    <n v="10.54"/>
    <x v="4"/>
    <x v="30"/>
    <x v="36"/>
  </r>
  <r>
    <s v="KiwiBank"/>
    <s v="Loan"/>
    <s v="38-9016-xxxx-08"/>
    <d v="2023-08-11T00:00:00"/>
    <s v="LOAN INTEREST ;"/>
    <n v="-96.17"/>
    <x v="4"/>
    <x v="30"/>
    <x v="37"/>
  </r>
  <r>
    <s v="KiwiBank"/>
    <s v="Loan"/>
    <s v="38-9016-xxxx-08"/>
    <d v="2023-08-25T00:00:00"/>
    <s v="AP#20595693 FROM S TAEBI ;Transfer from S TAEBI - 00"/>
    <n v="323.13"/>
    <x v="4"/>
    <x v="30"/>
    <x v="36"/>
  </r>
  <r>
    <s v="KiwiBank"/>
    <s v="Loan"/>
    <s v="38-9016-xxxx-08"/>
    <d v="2023-08-25T00:00:00"/>
    <s v="LOAN INTEREST ;"/>
    <n v="-67.42"/>
    <x v="4"/>
    <x v="30"/>
    <x v="37"/>
  </r>
  <r>
    <s v="KiwiBank"/>
    <s v="Loan"/>
    <s v="38-9016-xxxx-08"/>
    <d v="2023-09-08T00:00:00"/>
    <s v="AP#20595693 FROM S TAEBI ;Transfer from S TAEBI - 00"/>
    <n v="501.42"/>
    <x v="4"/>
    <x v="30"/>
    <x v="36"/>
  </r>
  <r>
    <s v="KiwiBank"/>
    <s v="Loan"/>
    <s v="38-9016-xxxx-08"/>
    <d v="2023-09-08T00:00:00"/>
    <s v="LOAN INTEREST ;"/>
    <n v="-326.31"/>
    <x v="4"/>
    <x v="30"/>
    <x v="37"/>
  </r>
  <r>
    <s v="KiwiBank"/>
    <s v="Loan"/>
    <s v="38-9016-xxxx-08"/>
    <d v="2023-09-22T00:00:00"/>
    <s v="AP#20595693 FROM S TAEBI ;Transfer from S TAEBI - 00"/>
    <n v="266.64999999999998"/>
    <x v="4"/>
    <x v="30"/>
    <x v="36"/>
  </r>
  <r>
    <s v="KiwiBank"/>
    <s v="Loan"/>
    <s v="38-9016-xxxx-08"/>
    <d v="2023-09-22T00:00:00"/>
    <s v="LOAN INTEREST ;"/>
    <n v="-86.15"/>
    <x v="4"/>
    <x v="30"/>
    <x v="37"/>
  </r>
  <r>
    <s v="KiwiBank"/>
    <s v="Loan"/>
    <s v="38-9016-xxxx-08"/>
    <d v="2023-10-06T00:00:00"/>
    <s v="AP#20595693 FROM S TAEBI ;Transfer from S TAEBI - 00"/>
    <n v="416.02"/>
    <x v="4"/>
    <x v="30"/>
    <x v="36"/>
  </r>
  <r>
    <s v="KiwiBank"/>
    <s v="Loan"/>
    <s v="38-9016-xxxx-08"/>
    <d v="2023-10-06T00:00:00"/>
    <s v="LOAN INTEREST ;"/>
    <n v="-425.68"/>
    <x v="4"/>
    <x v="30"/>
    <x v="37"/>
  </r>
  <r>
    <s v="KiwiBank"/>
    <s v="Loan"/>
    <s v="38-9016-xxxx-08"/>
    <d v="2023-10-20T00:00:00"/>
    <s v="AP#20595693 FROM S TAEBI ;Transfer from S TAEBI - 00"/>
    <n v="283.98"/>
    <x v="4"/>
    <x v="30"/>
    <x v="36"/>
  </r>
  <r>
    <s v="KiwiBank"/>
    <s v="Loan"/>
    <s v="38-9016-xxxx-08"/>
    <d v="2023-10-20T00:00:00"/>
    <s v="LOAN INTEREST ;"/>
    <n v="-344.95"/>
    <x v="4"/>
    <x v="30"/>
    <x v="37"/>
  </r>
  <r>
    <s v="KiwiBank"/>
    <s v="Loan"/>
    <s v="38-9016-xxxx-08"/>
    <d v="2023-11-03T00:00:00"/>
    <s v="AP#20595693 FROM S TAEBI ;Transfer from S TAEBI - 00"/>
    <n v="47.98"/>
    <x v="4"/>
    <x v="30"/>
    <x v="36"/>
  </r>
  <r>
    <s v="KiwiBank"/>
    <s v="Loan"/>
    <s v="38-9016-xxxx-08"/>
    <d v="2023-11-03T00:00:00"/>
    <s v="LOAN INTEREST ;"/>
    <n v="-250.03"/>
    <x v="4"/>
    <x v="30"/>
    <x v="37"/>
  </r>
  <r>
    <s v="KiwiBank"/>
    <s v="Loan"/>
    <s v="38-9016-xxxx-08"/>
    <d v="2023-11-17T00:00:00"/>
    <s v="AP#20595693 FROM S TAEBI ;Transfer from S TAEBI - 00"/>
    <n v="447.22"/>
    <x v="4"/>
    <x v="30"/>
    <x v="36"/>
  </r>
  <r>
    <s v="KiwiBank"/>
    <s v="Loan"/>
    <s v="38-9016-xxxx-08"/>
    <d v="2023-11-17T00:00:00"/>
    <s v="LOAN INTEREST ;"/>
    <n v="-423.68"/>
    <x v="4"/>
    <x v="30"/>
    <x v="37"/>
  </r>
  <r>
    <s v="KiwiBank"/>
    <s v="Loan"/>
    <s v="38-9016-xxxx-08"/>
    <d v="2023-12-01T00:00:00"/>
    <s v="AP#20595693 FROM S TAEBI ;Transfer from S TAEBI - 00"/>
    <n v="214.77"/>
    <x v="4"/>
    <x v="30"/>
    <x v="36"/>
  </r>
  <r>
    <s v="KiwiBank"/>
    <s v="Loan"/>
    <s v="38-9016-xxxx-08"/>
    <d v="2023-12-01T00:00:00"/>
    <s v="LOAN INTEREST ;"/>
    <n v="-112.19"/>
    <x v="4"/>
    <x v="30"/>
    <x v="37"/>
  </r>
  <r>
    <s v="KiwiBank"/>
    <s v="Loan"/>
    <s v="38-9016-xxxx-08"/>
    <d v="2023-12-15T00:00:00"/>
    <s v="AP#20595693 FROM S TAEBI ;Transfer from S TAEBI - 00"/>
    <n v="408.46"/>
    <x v="4"/>
    <x v="30"/>
    <x v="36"/>
  </r>
  <r>
    <s v="KiwiBank"/>
    <s v="Loan"/>
    <s v="38-9016-xxxx-08"/>
    <d v="2023-12-15T00:00:00"/>
    <s v="LOAN INTEREST ;"/>
    <n v="-249.67"/>
    <x v="4"/>
    <x v="30"/>
    <x v="37"/>
  </r>
  <r>
    <s v="KiwiBank"/>
    <s v="Loan"/>
    <s v="38-9016-xxxx-08"/>
    <d v="2023-12-29T00:00:00"/>
    <s v="AP#20595693 FROM S TAEBI ;Transfer from S TAEBI - 00"/>
    <n v="409.5"/>
    <x v="4"/>
    <x v="30"/>
    <x v="36"/>
  </r>
  <r>
    <s v="KiwiBank"/>
    <s v="Loan"/>
    <s v="38-9016-xxxx-08"/>
    <d v="2023-12-29T00:00:00"/>
    <s v="LOAN INTEREST ;"/>
    <n v="-185.55"/>
    <x v="4"/>
    <x v="30"/>
    <x v="37"/>
  </r>
  <r>
    <s v="KiwiBank"/>
    <s v="Loan"/>
    <s v="38-9016-xxxx-08"/>
    <d v="2024-01-12T00:00:00"/>
    <s v="AP#20595693 FROM S TAEBI ;Transfer from S TAEBI - 00"/>
    <n v="337.63"/>
    <x v="4"/>
    <x v="30"/>
    <x v="36"/>
  </r>
  <r>
    <s v="KiwiBank"/>
    <s v="Loan"/>
    <s v="38-9016-xxxx-08"/>
    <d v="2024-01-12T00:00:00"/>
    <s v="LOAN INTEREST ;"/>
    <n v="-189.97"/>
    <x v="4"/>
    <x v="30"/>
    <x v="37"/>
  </r>
  <r>
    <s v="KiwiBank"/>
    <s v="Loan"/>
    <s v="38-9016-xxxx-08"/>
    <d v="2024-01-26T00:00:00"/>
    <s v="AP#20595693 FROM S TAEBI ;Transfer from S TAEBI - 00"/>
    <n v="310.81"/>
    <x v="4"/>
    <x v="30"/>
    <x v="36"/>
  </r>
  <r>
    <s v="KiwiBank"/>
    <s v="Loan"/>
    <s v="38-9016-xxxx-08"/>
    <d v="2024-01-26T00:00:00"/>
    <s v="LOAN INTEREST ;"/>
    <n v="-170.51"/>
    <x v="4"/>
    <x v="30"/>
    <x v="37"/>
  </r>
  <r>
    <s v="KiwiBank"/>
    <s v="Loan"/>
    <s v="38-9016-xxxx-08"/>
    <d v="2024-02-09T00:00:00"/>
    <s v="AP#20595693 FROM S TAEBI ;Transfer from S TAEBI - 00"/>
    <n v="515.19000000000005"/>
    <x v="4"/>
    <x v="30"/>
    <x v="36"/>
  </r>
  <r>
    <s v="KiwiBank"/>
    <s v="Loan"/>
    <s v="38-9016-xxxx-08"/>
    <d v="2024-02-09T00:00:00"/>
    <s v="LOAN INTEREST ;"/>
    <n v="-151.81"/>
    <x v="4"/>
    <x v="30"/>
    <x v="37"/>
  </r>
  <r>
    <s v="KiwiBank"/>
    <s v="Loan"/>
    <s v="38-9016-xxxx-08"/>
    <d v="2024-02-23T00:00:00"/>
    <s v="AP#20595693 FROM S TAEBI ;Transfer from S TAEBI - 00"/>
    <n v="429.27"/>
    <x v="4"/>
    <x v="30"/>
    <x v="36"/>
  </r>
  <r>
    <s v="KiwiBank"/>
    <s v="Loan"/>
    <s v="38-9016-xxxx-08"/>
    <d v="2024-02-23T00:00:00"/>
    <s v="LOAN INTEREST ;"/>
    <n v="-285.14999999999998"/>
    <x v="4"/>
    <x v="30"/>
    <x v="37"/>
  </r>
  <r>
    <s v="KiwiBank"/>
    <s v="Loan"/>
    <s v="38-9016-xxxx-08"/>
    <d v="2024-03-08T00:00:00"/>
    <s v="AP#20595693 FROM S TAEBI ;Transfer from S TAEBI - 00"/>
    <n v="221.79"/>
    <x v="4"/>
    <x v="30"/>
    <x v="36"/>
  </r>
  <r>
    <s v="KiwiBank"/>
    <s v="Loan"/>
    <s v="38-9016-xxxx-08"/>
    <d v="2024-03-08T00:00:00"/>
    <s v="LOAN INTEREST ;"/>
    <n v="-353.07"/>
    <x v="4"/>
    <x v="30"/>
    <x v="37"/>
  </r>
  <r>
    <s v="KiwiBank"/>
    <s v="Loan"/>
    <s v="38-9016-xxxx-08"/>
    <d v="2024-03-22T00:00:00"/>
    <s v="AP#20595693 FROM S TAEBI ;Transfer from S TAEBI - 00"/>
    <n v="311.17"/>
    <x v="4"/>
    <x v="30"/>
    <x v="36"/>
  </r>
  <r>
    <s v="KiwiBank"/>
    <s v="Loan"/>
    <s v="38-9016-xxxx-08"/>
    <d v="2024-03-22T00:00:00"/>
    <s v="LOAN INTEREST ;"/>
    <n v="-70.36"/>
    <x v="4"/>
    <x v="30"/>
    <x v="37"/>
  </r>
  <r>
    <s v="KiwiBank"/>
    <s v="Loan"/>
    <s v="38-9016-xxxx-10"/>
    <d v="2023-11-09T00:00:00"/>
    <s v="6.540% P.A. ;"/>
    <n v="0"/>
    <x v="12"/>
    <x v="30"/>
    <x v="36"/>
  </r>
  <r>
    <s v="KiwiBank"/>
    <s v="Loan"/>
    <s v="38-9016-xxxx-10"/>
    <d v="2023-11-09T00:00:00"/>
    <s v="TFR TO 1068S94.3 ;"/>
    <n v="-124799.81"/>
    <x v="15"/>
    <x v="32"/>
    <x v="47"/>
  </r>
  <r>
    <s v="KiwiBank"/>
    <s v="Loan"/>
    <s v="38-9016-xxxx-10"/>
    <d v="2023-11-16T00:00:00"/>
    <s v="AP#22653655 FROM S M ALAVI  S TAEBI ;Payment from S M ALAVI  S TAEBI"/>
    <n v="1167.69"/>
    <x v="12"/>
    <x v="30"/>
    <x v="36"/>
  </r>
  <r>
    <s v="KiwiBank"/>
    <s v="Loan"/>
    <s v="38-9016-xxxx-10"/>
    <d v="2023-11-16T00:00:00"/>
    <s v="LOAN INTEREST ;"/>
    <n v="-831.09"/>
    <x v="12"/>
    <x v="30"/>
    <x v="37"/>
  </r>
  <r>
    <s v="KiwiBank"/>
    <s v="Loan"/>
    <s v="38-9016-xxxx-10"/>
    <d v="2023-11-23T00:00:00"/>
    <s v="AP#22653655 FROM S M ALAVI  S TAEBI ;Payment from S M ALAVI  S TAEBI"/>
    <n v="1136.3900000000001"/>
    <x v="12"/>
    <x v="30"/>
    <x v="36"/>
  </r>
  <r>
    <s v="KiwiBank"/>
    <s v="Loan"/>
    <s v="38-9016-xxxx-10"/>
    <d v="2023-11-23T00:00:00"/>
    <s v="LOAN INTEREST ;"/>
    <n v="-288.88"/>
    <x v="12"/>
    <x v="30"/>
    <x v="37"/>
  </r>
  <r>
    <s v="KiwiBank"/>
    <s v="Loan"/>
    <s v="38-9016-xxxx-10"/>
    <d v="2023-11-30T00:00:00"/>
    <s v="AP#22653655 FROM S M ALAVI  S TAEBI ;Payment from S M ALAVI  S TAEBI"/>
    <n v="1264.27"/>
    <x v="12"/>
    <x v="30"/>
    <x v="36"/>
  </r>
  <r>
    <s v="KiwiBank"/>
    <s v="Loan"/>
    <s v="38-9016-xxxx-10"/>
    <d v="2023-11-30T00:00:00"/>
    <s v="LOAN INTEREST ;"/>
    <n v="-498.46"/>
    <x v="12"/>
    <x v="30"/>
    <x v="37"/>
  </r>
  <r>
    <s v="KiwiBank"/>
    <s v="Loan"/>
    <s v="38-9016-xxxx-10"/>
    <d v="2023-12-07T00:00:00"/>
    <s v="AP#22653655 FROM S M ALAVI  S TAEBI ;Payment from S M ALAVI  S TAEBI"/>
    <n v="554.21"/>
    <x v="12"/>
    <x v="30"/>
    <x v="36"/>
  </r>
  <r>
    <s v="KiwiBank"/>
    <s v="Loan"/>
    <s v="38-9016-xxxx-10"/>
    <d v="2023-12-07T00:00:00"/>
    <s v="LOAN INTEREST ;"/>
    <n v="-821.24"/>
    <x v="12"/>
    <x v="30"/>
    <x v="37"/>
  </r>
  <r>
    <s v="KiwiBank"/>
    <s v="Loan"/>
    <s v="38-9016-xxxx-10"/>
    <d v="2023-12-14T00:00:00"/>
    <s v="AP#22653655 FROM S M ALAVI  S TAEBI ;Payment from S M ALAVI  S TAEBI"/>
    <n v="496.39"/>
    <x v="12"/>
    <x v="30"/>
    <x v="36"/>
  </r>
  <r>
    <s v="KiwiBank"/>
    <s v="Loan"/>
    <s v="38-9016-xxxx-10"/>
    <d v="2023-12-14T00:00:00"/>
    <s v="LOAN INTEREST ;"/>
    <n v="-517.39"/>
    <x v="12"/>
    <x v="30"/>
    <x v="37"/>
  </r>
  <r>
    <s v="KiwiBank"/>
    <s v="Loan"/>
    <s v="38-9016-xxxx-10"/>
    <d v="2023-12-21T00:00:00"/>
    <s v="AP#22653655 FROM S M ALAVI  S TAEBI ;Payment from S M ALAVI  S TAEBI"/>
    <n v="716.55"/>
    <x v="12"/>
    <x v="30"/>
    <x v="36"/>
  </r>
  <r>
    <s v="KiwiBank"/>
    <s v="Loan"/>
    <s v="38-9016-xxxx-10"/>
    <d v="2023-12-21T00:00:00"/>
    <s v="LOAN INTEREST ;"/>
    <n v="-536.91999999999996"/>
    <x v="12"/>
    <x v="30"/>
    <x v="37"/>
  </r>
  <r>
    <s v="KiwiBank"/>
    <s v="Loan"/>
    <s v="38-9016-xxxx-10"/>
    <d v="2023-12-28T00:00:00"/>
    <s v="AP#22653655 FROM S M ALAVI  S TAEBI ;Payment from S M ALAVI  S TAEBI"/>
    <n v="216.65"/>
    <x v="12"/>
    <x v="30"/>
    <x v="36"/>
  </r>
  <r>
    <s v="KiwiBank"/>
    <s v="Loan"/>
    <s v="38-9016-xxxx-10"/>
    <d v="2023-12-28T00:00:00"/>
    <s v="LOAN INTEREST ;"/>
    <n v="-639.14"/>
    <x v="12"/>
    <x v="30"/>
    <x v="37"/>
  </r>
  <r>
    <s v="KiwiBank"/>
    <s v="Loan"/>
    <s v="38-9016-xxxx-10"/>
    <d v="2024-01-04T00:00:00"/>
    <s v="AP#22653655 FROM S M ALAVI  S TAEBI ;Payment from S M ALAVI  S TAEBI"/>
    <n v="686.57"/>
    <x v="12"/>
    <x v="30"/>
    <x v="36"/>
  </r>
  <r>
    <s v="KiwiBank"/>
    <s v="Loan"/>
    <s v="38-9016-xxxx-10"/>
    <d v="2024-01-04T00:00:00"/>
    <s v="LOAN INTEREST ;"/>
    <n v="-397.16"/>
    <x v="12"/>
    <x v="30"/>
    <x v="37"/>
  </r>
  <r>
    <s v="KiwiBank"/>
    <s v="Loan"/>
    <s v="38-9016-xxxx-10"/>
    <d v="2024-01-11T00:00:00"/>
    <s v="AP#22653655 FROM S M ALAVI  S TAEBI ;Payment from S M ALAVI  S TAEBI"/>
    <n v="856.32"/>
    <x v="12"/>
    <x v="30"/>
    <x v="36"/>
  </r>
  <r>
    <s v="KiwiBank"/>
    <s v="Loan"/>
    <s v="38-9016-xxxx-10"/>
    <d v="2024-01-11T00:00:00"/>
    <s v="LOAN INTEREST ;"/>
    <n v="-850.74"/>
    <x v="12"/>
    <x v="30"/>
    <x v="37"/>
  </r>
  <r>
    <s v="KiwiBank"/>
    <s v="Loan"/>
    <s v="38-9016-xxxx-10"/>
    <d v="2024-01-18T00:00:00"/>
    <s v="AP#22653655 FROM S M ALAVI  S TAEBI ;Payment from S M ALAVI  S TAEBI"/>
    <n v="306.39999999999998"/>
    <x v="12"/>
    <x v="30"/>
    <x v="36"/>
  </r>
  <r>
    <s v="KiwiBank"/>
    <s v="Loan"/>
    <s v="38-9016-xxxx-10"/>
    <d v="2024-01-18T00:00:00"/>
    <s v="LOAN INTEREST ;"/>
    <n v="-963.08"/>
    <x v="12"/>
    <x v="30"/>
    <x v="37"/>
  </r>
  <r>
    <s v="KiwiBank"/>
    <s v="Loan"/>
    <s v="38-9016-xxxx-10"/>
    <d v="2024-01-25T00:00:00"/>
    <s v="AP#22653655 FROM S M ALAVI  S TAEBI ;Payment from S M ALAVI  S TAEBI"/>
    <n v="848.38"/>
    <x v="12"/>
    <x v="30"/>
    <x v="36"/>
  </r>
  <r>
    <s v="KiwiBank"/>
    <s v="Loan"/>
    <s v="38-9016-xxxx-10"/>
    <d v="2024-01-25T00:00:00"/>
    <s v="LOAN INTEREST ;"/>
    <n v="-155.41999999999999"/>
    <x v="12"/>
    <x v="30"/>
    <x v="37"/>
  </r>
  <r>
    <s v="KiwiBank"/>
    <s v="Loan"/>
    <s v="38-9016-xxxx-10"/>
    <d v="2024-02-01T00:00:00"/>
    <s v="AP#22653655 FROM S M ALAVI  S TAEBI ;Payment from S M ALAVI  S TAEBI"/>
    <n v="1021.13"/>
    <x v="12"/>
    <x v="30"/>
    <x v="36"/>
  </r>
  <r>
    <s v="KiwiBank"/>
    <s v="Loan"/>
    <s v="38-9016-xxxx-10"/>
    <d v="2024-02-01T00:00:00"/>
    <s v="LOAN INTEREST ;"/>
    <n v="-393.13"/>
    <x v="12"/>
    <x v="30"/>
    <x v="37"/>
  </r>
  <r>
    <s v="KiwiBank"/>
    <s v="Loan"/>
    <s v="38-9016-xxxx-10"/>
    <d v="2024-02-08T00:00:00"/>
    <s v="AP#22653655 FROM S M ALAVI  S TAEBI ;Payment from S M ALAVI  S TAEBI"/>
    <n v="107.52"/>
    <x v="12"/>
    <x v="30"/>
    <x v="36"/>
  </r>
  <r>
    <s v="KiwiBank"/>
    <s v="Loan"/>
    <s v="38-9016-xxxx-10"/>
    <d v="2024-02-08T00:00:00"/>
    <s v="LOAN INTEREST ;"/>
    <n v="-816.44"/>
    <x v="12"/>
    <x v="30"/>
    <x v="37"/>
  </r>
  <r>
    <s v="KiwiBank"/>
    <s v="Loan"/>
    <s v="38-9016-xxxx-10"/>
    <d v="2024-02-15T00:00:00"/>
    <s v="AP#22653655 FROM S M ALAVI  S TAEBI ;Payment from S M ALAVI  S TAEBI"/>
    <n v="802.64"/>
    <x v="12"/>
    <x v="30"/>
    <x v="36"/>
  </r>
  <r>
    <s v="KiwiBank"/>
    <s v="Loan"/>
    <s v="38-9016-xxxx-10"/>
    <d v="2024-02-15T00:00:00"/>
    <s v="LOAN INTEREST ;"/>
    <n v="-79.930000000000007"/>
    <x v="12"/>
    <x v="30"/>
    <x v="37"/>
  </r>
  <r>
    <s v="KiwiBank"/>
    <s v="Loan"/>
    <s v="38-9016-xxxx-10"/>
    <d v="2024-02-22T00:00:00"/>
    <s v="AP#22653655 FROM S M ALAVI  S TAEBI ;Payment from S M ALAVI  S TAEBI"/>
    <n v="956.92"/>
    <x v="12"/>
    <x v="30"/>
    <x v="36"/>
  </r>
  <r>
    <s v="KiwiBank"/>
    <s v="Loan"/>
    <s v="38-9016-xxxx-10"/>
    <d v="2024-02-22T00:00:00"/>
    <s v="LOAN INTEREST ;"/>
    <n v="-588.78"/>
    <x v="12"/>
    <x v="30"/>
    <x v="37"/>
  </r>
  <r>
    <s v="KiwiBank"/>
    <s v="Loan"/>
    <s v="38-9016-xxxx-10"/>
    <d v="2024-02-29T00:00:00"/>
    <s v="AP#22653655 FROM S M ALAVI  S TAEBI ;Payment from S M ALAVI  S TAEBI"/>
    <n v="493.92"/>
    <x v="12"/>
    <x v="30"/>
    <x v="36"/>
  </r>
  <r>
    <s v="KiwiBank"/>
    <s v="Loan"/>
    <s v="38-9016-xxxx-10"/>
    <d v="2024-02-29T00:00:00"/>
    <s v="LOAN INTEREST ;"/>
    <n v="-809.43"/>
    <x v="12"/>
    <x v="30"/>
    <x v="37"/>
  </r>
  <r>
    <s v="KiwiBank"/>
    <s v="Loan"/>
    <s v="38-9016-xxxx-10"/>
    <d v="2024-03-07T00:00:00"/>
    <s v="AP#22653655 FROM S M ALAVI  S TAEBI ;Payment from S M ALAVI  S TAEBI"/>
    <n v="324.79000000000002"/>
    <x v="12"/>
    <x v="30"/>
    <x v="36"/>
  </r>
  <r>
    <s v="KiwiBank"/>
    <s v="Loan"/>
    <s v="38-9016-xxxx-10"/>
    <d v="2024-03-07T00:00:00"/>
    <s v="LOAN INTEREST ;"/>
    <n v="-700.1"/>
    <x v="12"/>
    <x v="30"/>
    <x v="37"/>
  </r>
  <r>
    <s v="KiwiBank"/>
    <s v="Loan"/>
    <s v="38-9016-xxxx-10"/>
    <d v="2024-03-14T00:00:00"/>
    <s v="AP#22653655 FROM S M ALAVI  S TAEBI ;Payment from S M ALAVI  S TAEBI"/>
    <n v="193.25"/>
    <x v="12"/>
    <x v="30"/>
    <x v="36"/>
  </r>
  <r>
    <s v="KiwiBank"/>
    <s v="Loan"/>
    <s v="38-9016-xxxx-10"/>
    <d v="2024-03-14T00:00:00"/>
    <s v="LOAN INTEREST ;"/>
    <n v="-390.68"/>
    <x v="12"/>
    <x v="30"/>
    <x v="37"/>
  </r>
  <r>
    <s v="KiwiBank"/>
    <s v="Loan"/>
    <s v="38-9016-xxxx-10"/>
    <d v="2024-03-21T00:00:00"/>
    <s v="AP#22653655 FROM S M ALAVI  S TAEBI ;Payment from S M ALAVI  S TAEBI"/>
    <n v="132.35"/>
    <x v="12"/>
    <x v="30"/>
    <x v="36"/>
  </r>
  <r>
    <s v="KiwiBank"/>
    <s v="Loan"/>
    <s v="38-9016-xxxx-10"/>
    <d v="2024-03-21T00:00:00"/>
    <s v="LOAN INTEREST ;"/>
    <n v="-730.42"/>
    <x v="12"/>
    <x v="30"/>
    <x v="37"/>
  </r>
  <r>
    <s v="KiwiBank"/>
    <s v="Loan"/>
    <s v="38-9016-xxxx-10"/>
    <d v="2024-03-28T00:00:00"/>
    <s v="AP#22653655 FROM S M ALAVI  S TAEBI ;Payment from S M ALAVI  S TAEBI"/>
    <n v="673.49"/>
    <x v="12"/>
    <x v="30"/>
    <x v="36"/>
  </r>
  <r>
    <s v="KiwiBank"/>
    <s v="Loan"/>
    <s v="38-9016-xxxx-10"/>
    <d v="2024-03-28T00:00:00"/>
    <s v="LOAN INTEREST ;"/>
    <n v="-190.16"/>
    <x v="12"/>
    <x v="30"/>
    <x v="37"/>
  </r>
  <r>
    <s v="KiwiBank"/>
    <s v="Credit"/>
    <s v="4327-42__-____-5015"/>
    <d v="2023-04-06T00:00:00"/>
    <s v="HESARI BAKERY LIMITED AUCKLAND "/>
    <n v="-3.83"/>
    <x v="0"/>
    <x v="0"/>
    <x v="0"/>
  </r>
  <r>
    <s v="KiwiBank"/>
    <s v="Credit"/>
    <s v="4327-42__-____-5015"/>
    <d v="2023-04-06T00:00:00"/>
    <s v="PAYMENT THANKYOU . "/>
    <n v="2.98"/>
    <x v="1"/>
    <x v="24"/>
    <x v="1"/>
  </r>
  <r>
    <s v="KiwiBank"/>
    <s v="Credit"/>
    <s v="4327-42__-____-5015"/>
    <d v="2023-05-08T00:00:00"/>
    <s v="PAYMENT THANKYOU . "/>
    <n v="35.26"/>
    <x v="1"/>
    <x v="24"/>
    <x v="1"/>
  </r>
  <r>
    <s v="KiwiBank"/>
    <s v="Credit"/>
    <s v="4327-42__-____-5015"/>
    <d v="2023-05-08T00:00:00"/>
    <s v="BUOY CAFE &amp; EATERY AUCKLAND "/>
    <n v="-27.75"/>
    <x v="3"/>
    <x v="8"/>
    <x v="8"/>
  </r>
  <r>
    <s v="KiwiBank"/>
    <s v="Credit"/>
    <s v="4327-42__-____-5015"/>
    <d v="2023-05-19T00:00:00"/>
    <s v="HESARI BAKERY LIMITED AUCKLAND "/>
    <n v="-15.42"/>
    <x v="0"/>
    <x v="0"/>
    <x v="0"/>
  </r>
  <r>
    <s v="KiwiBank"/>
    <s v="Credit"/>
    <s v="4327-42__-____-5015"/>
    <d v="2023-05-19T00:00:00"/>
    <s v="HESARISUPERMARKETPANMURE AUCKLAND "/>
    <n v="-31.68"/>
    <x v="0"/>
    <x v="0"/>
    <x v="0"/>
  </r>
  <r>
    <s v="KiwiBank"/>
    <s v="Credit"/>
    <s v="4327-42__-____-5015"/>
    <d v="2023-05-19T00:00:00"/>
    <s v="PAYMENT THANKYOU . "/>
    <n v="52.7"/>
    <x v="1"/>
    <x v="24"/>
    <x v="1"/>
  </r>
  <r>
    <s v="KiwiBank"/>
    <s v="Credit"/>
    <s v="4327-42__-____-5015"/>
    <d v="2023-08-16T00:00:00"/>
    <s v="PAYMENT THANKYOU . "/>
    <n v="4.38"/>
    <x v="1"/>
    <x v="24"/>
    <x v="1"/>
  </r>
  <r>
    <s v="KiwiBank"/>
    <s v="Credit"/>
    <s v="4327-42__-____-5015"/>
    <d v="2023-08-17T00:00:00"/>
    <s v="LE PETITE FOURCHETTE AUCKLAND "/>
    <n v="-13.41"/>
    <x v="3"/>
    <x v="8"/>
    <x v="8"/>
  </r>
  <r>
    <s v="KiwiBank"/>
    <s v="Credit"/>
    <s v="4327-42__-____-5015"/>
    <d v="2023-08-17T00:00:00"/>
    <s v="COUNTDOWN HALSE/100 HALSE HALSEY STREET "/>
    <n v="-1.43"/>
    <x v="0"/>
    <x v="0"/>
    <x v="0"/>
  </r>
  <r>
    <s v="KiwiBank"/>
    <s v="Credit"/>
    <s v="4833-48__-____-1032"/>
    <d v="2023-04-03T00:00:00"/>
    <s v="PAK N SAVE SYLVIA PARK AUCKLAND "/>
    <n v="-358.26"/>
    <x v="0"/>
    <x v="0"/>
    <x v="0"/>
  </r>
  <r>
    <s v="KiwiBank"/>
    <s v="Credit"/>
    <s v="4833-48__-____-1032"/>
    <d v="2023-04-03T00:00:00"/>
    <s v="PAYMENT THANKYOU . "/>
    <n v="232.95"/>
    <x v="1"/>
    <x v="24"/>
    <x v="1"/>
  </r>
  <r>
    <s v="KiwiBank"/>
    <s v="Credit"/>
    <s v="4833-48__-____-1032"/>
    <d v="2023-04-03T00:00:00"/>
    <s v="PAYMENT THANKYOU . "/>
    <n v="5.33"/>
    <x v="1"/>
    <x v="24"/>
    <x v="1"/>
  </r>
  <r>
    <s v="KiwiBank"/>
    <s v="Credit"/>
    <s v="4833-48__-____-1032"/>
    <d v="2023-04-03T00:00:00"/>
    <s v="OPEN CAFE AND CATERING AUCKLAND "/>
    <n v="-2.5"/>
    <x v="3"/>
    <x v="8"/>
    <x v="8"/>
  </r>
  <r>
    <s v="KiwiBank"/>
    <s v="Credit"/>
    <s v="4833-48__-____-1032"/>
    <d v="2023-04-03T00:00:00"/>
    <s v="PAYMENT THANKYOU . "/>
    <n v="16.43"/>
    <x v="1"/>
    <x v="24"/>
    <x v="1"/>
  </r>
  <r>
    <s v="KiwiBank"/>
    <s v="Credit"/>
    <s v="4833-48__-____-1032"/>
    <d v="2023-04-03T00:00:00"/>
    <s v="AKL AIRPORT CARPARK AUCKLAND "/>
    <n v="-1.95"/>
    <x v="6"/>
    <x v="9"/>
    <x v="21"/>
  </r>
  <r>
    <s v="KiwiBank"/>
    <s v="Credit"/>
    <s v="4833-48__-____-1032"/>
    <d v="2023-04-03T00:00:00"/>
    <s v="Bistro Box Auckland "/>
    <n v="-5.57"/>
    <x v="3"/>
    <x v="8"/>
    <x v="8"/>
  </r>
  <r>
    <s v="KiwiBank"/>
    <s v="Credit"/>
    <s v="4833-48__-____-1032"/>
    <d v="2023-04-06T00:00:00"/>
    <s v="PITA HOUSE PAKURANGA AUCKLAND "/>
    <n v="-52.36"/>
    <x v="0"/>
    <x v="0"/>
    <x v="0"/>
  </r>
  <r>
    <s v="KiwiBank"/>
    <s v="Credit"/>
    <s v="4833-48__-____-1032"/>
    <d v="2023-04-06T00:00:00"/>
    <s v="HESARISUPERMARKETPANMURE AUCKLAND "/>
    <n v="-29.61"/>
    <x v="0"/>
    <x v="0"/>
    <x v="0"/>
  </r>
  <r>
    <s v="KiwiBank"/>
    <s v="Credit"/>
    <s v="4833-48__-____-1032"/>
    <d v="2023-04-06T00:00:00"/>
    <s v="TAIPING ASIAN SUPERMARKET AUCKLAND "/>
    <n v="-65.77"/>
    <x v="0"/>
    <x v="0"/>
    <x v="0"/>
  </r>
  <r>
    <s v="KiwiBank"/>
    <s v="Credit"/>
    <s v="4833-48__-____-1032"/>
    <d v="2023-04-06T00:00:00"/>
    <s v="PAYMENT THANKYOU . "/>
    <n v="282.47000000000003"/>
    <x v="1"/>
    <x v="24"/>
    <x v="1"/>
  </r>
  <r>
    <s v="KiwiBank"/>
    <s v="Credit"/>
    <s v="4833-48__-____-1032"/>
    <d v="2023-04-11T00:00:00"/>
    <s v="Nandos Auckland "/>
    <n v="-54.25"/>
    <x v="3"/>
    <x v="3"/>
    <x v="26"/>
  </r>
  <r>
    <s v="KiwiBank"/>
    <s v="Credit"/>
    <s v="4833-48__-____-1032"/>
    <d v="2023-04-11T00:00:00"/>
    <s v="PAYMENT THANKYOU . "/>
    <n v="66.45"/>
    <x v="1"/>
    <x v="24"/>
    <x v="1"/>
  </r>
  <r>
    <s v="KiwiBank"/>
    <s v="Credit"/>
    <s v="4833-48__-____-1032"/>
    <d v="2023-04-11T00:00:00"/>
    <s v="COUNTDOWN PAKURANGA AUCKLAND "/>
    <n v="-20.329999999999998"/>
    <x v="0"/>
    <x v="0"/>
    <x v="0"/>
  </r>
  <r>
    <s v="KiwiBank"/>
    <s v="Credit"/>
    <s v="4833-48__-____-1032"/>
    <d v="2023-04-11T00:00:00"/>
    <s v="PITA HOUSE PAKURANGA AUCKLAND "/>
    <n v="-16.899999999999999"/>
    <x v="0"/>
    <x v="0"/>
    <x v="0"/>
  </r>
  <r>
    <s v="KiwiBank"/>
    <s v="Credit"/>
    <s v="4833-48__-____-1032"/>
    <d v="2023-04-11T00:00:00"/>
    <s v="TAIPING ASIAN SUPERMARKET AUCKLAND "/>
    <n v="-7.65"/>
    <x v="0"/>
    <x v="0"/>
    <x v="0"/>
  </r>
  <r>
    <s v="KiwiBank"/>
    <s v="Credit"/>
    <s v="4833-48__-____-1032"/>
    <d v="2023-04-11T00:00:00"/>
    <s v="ARCHIE BROTHERS AUCKLAND "/>
    <n v="-15.5"/>
    <x v="3"/>
    <x v="3"/>
    <x v="3"/>
  </r>
  <r>
    <s v="KiwiBank"/>
    <s v="Credit"/>
    <s v="4833-48__-____-1032"/>
    <d v="2023-04-11T00:00:00"/>
    <s v="NEW WORLD STONEFIELDS AUCKLAND NZ "/>
    <n v="-10.3"/>
    <x v="0"/>
    <x v="0"/>
    <x v="0"/>
  </r>
  <r>
    <s v="KiwiBank"/>
    <s v="Credit"/>
    <s v="4833-48__-____-1032"/>
    <d v="2023-04-11T00:00:00"/>
    <s v="Briscoes Panmure Mt Wellington "/>
    <n v="-37.9"/>
    <x v="4"/>
    <x v="12"/>
    <x v="12"/>
  </r>
  <r>
    <s v="KiwiBank"/>
    <s v="Credit"/>
    <s v="4833-48__-____-1032"/>
    <d v="2023-04-12T00:00:00"/>
    <s v="PAYMENT THANKYOU . "/>
    <n v="17.850000000000001"/>
    <x v="1"/>
    <x v="24"/>
    <x v="1"/>
  </r>
  <r>
    <s v="KiwiBank"/>
    <s v="Credit"/>
    <s v="4833-48__-____-1032"/>
    <d v="2023-04-14T00:00:00"/>
    <s v="PAK N SAVE SYLVIA PARK AUCKLAND "/>
    <n v="-181.58"/>
    <x v="0"/>
    <x v="0"/>
    <x v="0"/>
  </r>
  <r>
    <s v="KiwiBank"/>
    <s v="Credit"/>
    <s v="4833-48__-____-1032"/>
    <d v="2023-04-17T00:00:00"/>
    <s v="PAYMENT THANKYOU . "/>
    <n v="280.16000000000003"/>
    <x v="1"/>
    <x v="24"/>
    <x v="1"/>
  </r>
  <r>
    <s v="KiwiBank"/>
    <s v="Credit"/>
    <s v="4833-48__-____-1032"/>
    <d v="2023-04-17T00:00:00"/>
    <s v="PAYMENT THANKYOU . "/>
    <n v="68.36"/>
    <x v="1"/>
    <x v="24"/>
    <x v="1"/>
  </r>
  <r>
    <s v="KiwiBank"/>
    <s v="Credit"/>
    <s v="4833-48__-____-1032"/>
    <d v="2023-04-17T00:00:00"/>
    <s v="GULL REEVES ROAD AUCKLAND "/>
    <n v="-127.63"/>
    <x v="6"/>
    <x v="9"/>
    <x v="14"/>
  </r>
  <r>
    <s v="KiwiBank"/>
    <s v="Credit"/>
    <s v="4833-48__-____-1032"/>
    <d v="2023-04-17T00:00:00"/>
    <s v="The Warehouse 114 Pakuranga "/>
    <n v="-13.64"/>
    <x v="4"/>
    <x v="12"/>
    <x v="12"/>
  </r>
  <r>
    <s v="KiwiBank"/>
    <s v="Credit"/>
    <s v="4833-48__-____-1032"/>
    <d v="2023-04-17T00:00:00"/>
    <s v="PITA HOUSE PAKURANGA AUCKLAND "/>
    <n v="-38.06"/>
    <x v="0"/>
    <x v="0"/>
    <x v="0"/>
  </r>
  <r>
    <s v="KiwiBank"/>
    <s v="Credit"/>
    <s v="4833-48__-____-1032"/>
    <d v="2023-04-17T00:00:00"/>
    <s v="FIRST MILLENIUM HAIR DSGN AUCKLAND "/>
    <n v="-16.95"/>
    <x v="9"/>
    <x v="29"/>
    <x v="44"/>
  </r>
  <r>
    <s v="KiwiBank"/>
    <s v="Credit"/>
    <s v="4833-48__-____-1032"/>
    <d v="2023-04-17T00:00:00"/>
    <s v="NEW WORLD STONEFIELDS AUCKLAND NZ "/>
    <n v="-41.04"/>
    <x v="0"/>
    <x v="0"/>
    <x v="0"/>
  </r>
  <r>
    <s v="KiwiBank"/>
    <s v="Credit"/>
    <s v="4833-48__-____-1032"/>
    <d v="2023-04-17T00:00:00"/>
    <s v="MITRE 10 MEGA MT WTGN MOUNT WELLING "/>
    <n v="-4.21"/>
    <x v="4"/>
    <x v="12"/>
    <x v="12"/>
  </r>
  <r>
    <s v="KiwiBank"/>
    <s v="Credit"/>
    <s v="4833-48__-____-1032"/>
    <d v="2023-04-18T00:00:00"/>
    <s v="LE PETITE FOURCHETTE AUCKLAND "/>
    <n v="-4.57"/>
    <x v="0"/>
    <x v="0"/>
    <x v="0"/>
  </r>
  <r>
    <s v="KiwiBank"/>
    <s v="Credit"/>
    <s v="4833-48__-____-1032"/>
    <d v="2023-04-19T00:00:00"/>
    <s v="PAK N SAVE SYLVIA PARK AUCKLAND "/>
    <n v="-13.5"/>
    <x v="0"/>
    <x v="0"/>
    <x v="0"/>
  </r>
  <r>
    <s v="KiwiBank"/>
    <s v="Credit"/>
    <s v="4833-48__-____-1032"/>
    <d v="2023-04-19T00:00:00"/>
    <s v="SHAHJI SPICES LTD AUCKLAND "/>
    <n v="-2.3199999999999998"/>
    <x v="0"/>
    <x v="0"/>
    <x v="0"/>
  </r>
  <r>
    <s v="KiwiBank"/>
    <s v="Credit"/>
    <s v="4833-48__-____-1032"/>
    <d v="2023-04-19T00:00:00"/>
    <s v="PAYMENT THANKYOU . "/>
    <n v="12.06"/>
    <x v="1"/>
    <x v="24"/>
    <x v="1"/>
  </r>
  <r>
    <s v="KiwiBank"/>
    <s v="Credit"/>
    <s v="4833-48__-____-1032"/>
    <d v="2023-04-19T00:00:00"/>
    <s v="PAYMENT THANKYOU . "/>
    <n v="16.29"/>
    <x v="1"/>
    <x v="24"/>
    <x v="1"/>
  </r>
  <r>
    <s v="KiwiBank"/>
    <s v="Credit"/>
    <s v="4833-48__-____-1032"/>
    <d v="2023-04-26T00:00:00"/>
    <s v="PITA HOUSE PAKURANGA AUCKLAND "/>
    <n v="-38.39"/>
    <x v="0"/>
    <x v="0"/>
    <x v="0"/>
  </r>
  <r>
    <s v="KiwiBank"/>
    <s v="Credit"/>
    <s v="4833-48__-____-1032"/>
    <d v="2023-04-26T00:00:00"/>
    <s v="HESARISUPERMARKETPANMURE AUCKLAND "/>
    <n v="-17.63"/>
    <x v="0"/>
    <x v="0"/>
    <x v="0"/>
  </r>
  <r>
    <s v="KiwiBank"/>
    <s v="Credit"/>
    <s v="4833-48__-____-1032"/>
    <d v="2023-04-26T00:00:00"/>
    <s v="TAIPING ASIAN SUPERMARKET AUCKLAND "/>
    <n v="-14.99"/>
    <x v="0"/>
    <x v="0"/>
    <x v="0"/>
  </r>
  <r>
    <s v="KiwiBank"/>
    <s v="Credit"/>
    <s v="4833-48__-____-1032"/>
    <d v="2023-05-01T00:00:00"/>
    <s v="FOREIGN CURRENCY TXN FEE  "/>
    <n v="-6.24"/>
    <x v="5"/>
    <x v="7"/>
    <x v="7"/>
  </r>
  <r>
    <s v="KiwiBank"/>
    <s v="Credit"/>
    <s v="4833-48__-____-1032"/>
    <d v="2023-05-01T00:00:00"/>
    <s v="CURRENCY CONV ASSESSMENT  "/>
    <n v="-1.93"/>
    <x v="5"/>
    <x v="7"/>
    <x v="7"/>
  </r>
  <r>
    <s v="KiwiBank"/>
    <s v="Credit"/>
    <s v="4833-48__-____-1032"/>
    <d v="2023-05-01T00:00:00"/>
    <s v="AIR CAN*    0142171375713 AIRCANADA.COM MB;540.66 CANADIAN DOLLAR at 0.8304"/>
    <n v="-468.44"/>
    <x v="3"/>
    <x v="6"/>
    <x v="6"/>
  </r>
  <r>
    <s v="KiwiBank"/>
    <s v="Credit"/>
    <s v="4833-48__-____-1032"/>
    <d v="2023-05-01T00:00:00"/>
    <s v="FOREIGN CURRENCY TXN FEE  "/>
    <n v="-3.89"/>
    <x v="5"/>
    <x v="7"/>
    <x v="7"/>
  </r>
  <r>
    <s v="KiwiBank"/>
    <s v="Credit"/>
    <s v="4833-48__-____-1032"/>
    <d v="2023-05-01T00:00:00"/>
    <s v="CURRENCY CONV ASSESSMENT  "/>
    <n v="-9.51"/>
    <x v="5"/>
    <x v="7"/>
    <x v="7"/>
  </r>
  <r>
    <s v="KiwiBank"/>
    <s v="Credit"/>
    <s v="4833-48__-____-1032"/>
    <d v="2023-05-01T00:00:00"/>
    <s v="AIR CAN*    0142171375712 AIRCANADA.COM MB;540.66 CANADIAN DOLLAR at 0.8304"/>
    <n v="-425.41"/>
    <x v="3"/>
    <x v="6"/>
    <x v="6"/>
  </r>
  <r>
    <s v="KiwiBank"/>
    <s v="Credit"/>
    <s v="4833-48__-____-1032"/>
    <d v="2023-04-26T00:00:00"/>
    <s v="PAYMENT THANKYOU . "/>
    <n v="26.4"/>
    <x v="1"/>
    <x v="24"/>
    <x v="1"/>
  </r>
  <r>
    <s v="KiwiBank"/>
    <s v="Credit"/>
    <s v="4833-48__-____-1032"/>
    <d v="2023-04-26T00:00:00"/>
    <s v="PAYMENT THANKYOU . "/>
    <n v="3.53"/>
    <x v="1"/>
    <x v="24"/>
    <x v="1"/>
  </r>
  <r>
    <s v="KiwiBank"/>
    <s v="Credit"/>
    <s v="4833-48__-____-1032"/>
    <d v="2023-04-26T00:00:00"/>
    <s v="SNO CAFE AUCKLAND "/>
    <n v="-28.91"/>
    <x v="3"/>
    <x v="8"/>
    <x v="8"/>
  </r>
  <r>
    <s v="KiwiBank"/>
    <s v="Credit"/>
    <s v="4833-48__-____-1032"/>
    <d v="2023-04-27T00:00:00"/>
    <s v="Pak N Save Queenstown Frankton "/>
    <n v="-57.86"/>
    <x v="0"/>
    <x v="0"/>
    <x v="0"/>
  </r>
  <r>
    <s v="KiwiBank"/>
    <s v="Credit"/>
    <s v="4833-48__-____-1032"/>
    <d v="2023-04-28T00:00:00"/>
    <s v="Fergbaker Queenstown "/>
    <n v="-8.2799999999999994"/>
    <x v="3"/>
    <x v="8"/>
    <x v="8"/>
  </r>
  <r>
    <s v="KiwiBank"/>
    <s v="Credit"/>
    <s v="4833-48__-____-1032"/>
    <d v="2023-04-28T00:00:00"/>
    <s v="Mrs Ferg Queenstown "/>
    <n v="-0.3"/>
    <x v="3"/>
    <x v="8"/>
    <x v="8"/>
  </r>
  <r>
    <s v="KiwiBank"/>
    <s v="Credit"/>
    <s v="4833-48__-____-1032"/>
    <d v="2023-04-28T00:00:00"/>
    <s v="Mrs Ferg Queenstown "/>
    <n v="-1.76"/>
    <x v="3"/>
    <x v="8"/>
    <x v="8"/>
  </r>
  <r>
    <s v="KiwiBank"/>
    <s v="Credit"/>
    <s v="4833-48__-____-1032"/>
    <d v="2023-04-27T00:00:00"/>
    <s v="PAYMENT THANKYOU . "/>
    <n v="118.48"/>
    <x v="1"/>
    <x v="24"/>
    <x v="1"/>
  </r>
  <r>
    <s v="KiwiBank"/>
    <s v="Credit"/>
    <s v="4833-48__-____-1032"/>
    <d v="2023-04-27T00:00:00"/>
    <s v="PAYMENT THANKYOU . "/>
    <n v="107.64"/>
    <x v="1"/>
    <x v="24"/>
    <x v="1"/>
  </r>
  <r>
    <s v="KiwiBank"/>
    <s v="Credit"/>
    <s v="4833-48__-____-1032"/>
    <d v="2023-04-27T00:00:00"/>
    <s v="PAYMENT THANKYOU . "/>
    <n v="1766.39"/>
    <x v="1"/>
    <x v="24"/>
    <x v="1"/>
  </r>
  <r>
    <s v="KiwiBank"/>
    <s v="Credit"/>
    <s v="4833-48__-____-1032"/>
    <d v="2023-04-27T00:00:00"/>
    <s v="PAYMENT THANKYOU . "/>
    <n v="33.049999999999997"/>
    <x v="1"/>
    <x v="24"/>
    <x v="1"/>
  </r>
  <r>
    <s v="KiwiBank"/>
    <s v="Credit"/>
    <s v="4833-48__-____-1032"/>
    <d v="2023-05-01T00:00:00"/>
    <s v="PAYMENT THANKYOU . "/>
    <n v="77.39"/>
    <x v="1"/>
    <x v="24"/>
    <x v="1"/>
  </r>
  <r>
    <s v="KiwiBank"/>
    <s v="Credit"/>
    <s v="4833-48__-____-1032"/>
    <d v="2023-05-01T00:00:00"/>
    <s v="Little Blackwood Queenstown "/>
    <n v="-58.31"/>
    <x v="3"/>
    <x v="8"/>
    <x v="8"/>
  </r>
  <r>
    <s v="KiwiBank"/>
    <s v="Credit"/>
    <s v="4833-48__-____-1032"/>
    <d v="2023-05-01T00:00:00"/>
    <s v="Fergburger Queenstown "/>
    <n v="-11.66"/>
    <x v="3"/>
    <x v="8"/>
    <x v="8"/>
  </r>
  <r>
    <s v="KiwiBank"/>
    <s v="Credit"/>
    <s v="4833-48__-____-1032"/>
    <d v="2023-05-01T00:00:00"/>
    <s v="Mrs Ferg Queenstown "/>
    <n v="-1.79"/>
    <x v="3"/>
    <x v="8"/>
    <x v="8"/>
  </r>
  <r>
    <s v="KiwiBank"/>
    <s v="Credit"/>
    <s v="4833-48__-____-1032"/>
    <d v="2023-05-01T00:00:00"/>
    <s v="Fergbaker Queenstown "/>
    <n v="-7.44"/>
    <x v="3"/>
    <x v="8"/>
    <x v="8"/>
  </r>
  <r>
    <s v="KiwiBank"/>
    <s v="Credit"/>
    <s v="4833-48__-____-1032"/>
    <d v="2023-05-01T00:00:00"/>
    <s v="ACCOUNT FEE CREDIT  "/>
    <n v="7.22"/>
    <x v="5"/>
    <x v="7"/>
    <x v="7"/>
  </r>
  <r>
    <s v="KiwiBank"/>
    <s v="Credit"/>
    <s v="4833-48__-____-1032"/>
    <d v="2023-05-01T00:00:00"/>
    <s v=" +ACCOUNT FEE  "/>
    <n v="-31.95"/>
    <x v="5"/>
    <x v="7"/>
    <x v="7"/>
  </r>
  <r>
    <s v="KiwiBank"/>
    <s v="Credit"/>
    <s v="4833-48__-____-1032"/>
    <d v="2023-05-01T00:00:00"/>
    <s v="PAYMENT THANKYOU . "/>
    <n v="36.18"/>
    <x v="1"/>
    <x v="24"/>
    <x v="1"/>
  </r>
  <r>
    <s v="KiwiBank"/>
    <s v="Credit"/>
    <s v="4833-48__-____-1032"/>
    <d v="2023-05-01T00:00:00"/>
    <s v="PAYMENT THANKYOU . "/>
    <n v="2.78"/>
    <x v="1"/>
    <x v="24"/>
    <x v="1"/>
  </r>
  <r>
    <s v="KiwiBank"/>
    <s v="Credit"/>
    <s v="4833-48__-____-1032"/>
    <d v="2023-05-01T00:00:00"/>
    <s v="PAYMENT THANKYOU . "/>
    <n v="21.24"/>
    <x v="1"/>
    <x v="24"/>
    <x v="1"/>
  </r>
  <r>
    <s v="KiwiBank"/>
    <s v="Credit"/>
    <s v="4833-48__-____-1032"/>
    <d v="2023-05-01T00:00:00"/>
    <s v="KMART QUEENSTOWN "/>
    <n v="-4.3899999999999997"/>
    <x v="9"/>
    <x v="18"/>
    <x v="30"/>
  </r>
  <r>
    <s v="KiwiBank"/>
    <s v="Credit"/>
    <s v="4833-48__-____-1032"/>
    <d v="2023-05-01T00:00:00"/>
    <s v="Pak N Save Queenstown Frankton "/>
    <n v="-13.77"/>
    <x v="0"/>
    <x v="0"/>
    <x v="0"/>
  </r>
  <r>
    <s v="KiwiBank"/>
    <s v="Credit"/>
    <s v="4833-48__-____-1032"/>
    <d v="2023-05-01T00:00:00"/>
    <s v="Fergbaker Queenstown "/>
    <n v="-19.260000000000002"/>
    <x v="3"/>
    <x v="8"/>
    <x v="8"/>
  </r>
  <r>
    <s v="KiwiBank"/>
    <s v="Credit"/>
    <s v="4833-48__-____-1032"/>
    <d v="2023-05-01T00:00:00"/>
    <s v="WOLF COFFEE CAFE ARROWTOWN "/>
    <n v="-0.05"/>
    <x v="3"/>
    <x v="8"/>
    <x v="8"/>
  </r>
  <r>
    <s v="KiwiBank"/>
    <s v="Credit"/>
    <s v="4833-48__-____-1032"/>
    <d v="2023-05-01T00:00:00"/>
    <s v="Postmasters Arrowtown "/>
    <n v="-2.48"/>
    <x v="3"/>
    <x v="8"/>
    <x v="8"/>
  </r>
  <r>
    <s v="KiwiBank"/>
    <s v="Credit"/>
    <s v="4833-48__-____-1032"/>
    <d v="2023-05-02T00:00:00"/>
    <s v="DF SOUVENIRS QN.TOWN QUEENSTOWN "/>
    <n v="-18.739999999999998"/>
    <x v="9"/>
    <x v="18"/>
    <x v="30"/>
  </r>
  <r>
    <s v="KiwiBank"/>
    <s v="Credit"/>
    <s v="4833-48__-____-1032"/>
    <d v="2023-05-01T00:00:00"/>
    <s v="PAYMENT THANKYOU . "/>
    <n v="8.42"/>
    <x v="1"/>
    <x v="24"/>
    <x v="1"/>
  </r>
  <r>
    <s v="KiwiBank"/>
    <s v="Credit"/>
    <s v="4833-48__-____-1032"/>
    <d v="2023-05-01T00:00:00"/>
    <s v="MOBIL QUEENSTOWN QUEENSTOWN "/>
    <n v="-30.9"/>
    <x v="6"/>
    <x v="9"/>
    <x v="14"/>
  </r>
  <r>
    <s v="KiwiBank"/>
    <s v="Credit"/>
    <s v="4833-48__-____-1032"/>
    <d v="2023-05-01T00:00:00"/>
    <s v="THE TRADING POST GLENORCHY "/>
    <n v="-5.27"/>
    <x v="3"/>
    <x v="8"/>
    <x v="8"/>
  </r>
  <r>
    <s v="KiwiBank"/>
    <s v="Credit"/>
    <s v="4833-48__-____-1032"/>
    <d v="2023-05-01T00:00:00"/>
    <s v="Qldc Parking Queenstown "/>
    <n v="-6.16"/>
    <x v="6"/>
    <x v="9"/>
    <x v="21"/>
  </r>
  <r>
    <s v="KiwiBank"/>
    <s v="Credit"/>
    <s v="4833-48__-____-1032"/>
    <d v="2023-05-01T00:00:00"/>
    <s v="BOLD PEAK LODGE GLENORCHY "/>
    <n v="-3.61"/>
    <x v="3"/>
    <x v="8"/>
    <x v="8"/>
  </r>
  <r>
    <s v="KiwiBank"/>
    <s v="Credit"/>
    <s v="4833-48__-____-1032"/>
    <d v="2023-05-01T00:00:00"/>
    <s v="BOLD PEAK LODGE GLENORCHY "/>
    <n v="-5.69"/>
    <x v="3"/>
    <x v="8"/>
    <x v="8"/>
  </r>
  <r>
    <s v="KiwiBank"/>
    <s v="Credit"/>
    <s v="4833-48__-____-1032"/>
    <d v="2023-05-03T00:00:00"/>
    <s v="CW Sylvia Park Glen Innes "/>
    <n v="-10.66"/>
    <x v="9"/>
    <x v="18"/>
    <x v="30"/>
  </r>
  <r>
    <s v="KiwiBank"/>
    <s v="Credit"/>
    <s v="4833-48__-____-1032"/>
    <d v="2023-05-02T00:00:00"/>
    <s v="PAYMENT THANKYOU . "/>
    <n v="21.75"/>
    <x v="1"/>
    <x v="24"/>
    <x v="1"/>
  </r>
  <r>
    <s v="KiwiBank"/>
    <s v="Credit"/>
    <s v="4833-48__-____-1032"/>
    <d v="2023-05-04T00:00:00"/>
    <s v="HESARISUPERMARKETPANMURE AUCKLAND "/>
    <n v="-20.100000000000001"/>
    <x v="0"/>
    <x v="0"/>
    <x v="0"/>
  </r>
  <r>
    <s v="KiwiBank"/>
    <s v="Credit"/>
    <s v="4833-48__-____-1032"/>
    <d v="2023-05-03T00:00:00"/>
    <s v="PAYMENT THANKYOU . "/>
    <n v="164.37"/>
    <x v="1"/>
    <x v="24"/>
    <x v="1"/>
  </r>
  <r>
    <s v="KiwiBank"/>
    <s v="Credit"/>
    <s v="4833-48__-____-1032"/>
    <d v="2023-05-08T00:00:00"/>
    <s v="TAIPING ASIAN SUPERMARKET AUCKLAND "/>
    <n v="-10.88"/>
    <x v="0"/>
    <x v="0"/>
    <x v="0"/>
  </r>
  <r>
    <s v="KiwiBank"/>
    <s v="Credit"/>
    <s v="4833-48__-____-1032"/>
    <d v="2023-05-05T00:00:00"/>
    <s v="PAYMENT THANKYOU . "/>
    <n v="237.38"/>
    <x v="1"/>
    <x v="24"/>
    <x v="1"/>
  </r>
  <r>
    <s v="KiwiBank"/>
    <s v="Credit"/>
    <s v="4833-48__-____-1032"/>
    <d v="2023-05-05T00:00:00"/>
    <s v="Fraser Smith Lowe Denti Pakuranga AK "/>
    <n v="-134.12"/>
    <x v="10"/>
    <x v="20"/>
    <x v="27"/>
  </r>
  <r>
    <s v="KiwiBank"/>
    <s v="Credit"/>
    <s v="4833-48__-____-1032"/>
    <d v="2023-05-05T00:00:00"/>
    <s v="PITA HOUSE PAKURANGA AUCKLAND "/>
    <n v="-1.99"/>
    <x v="0"/>
    <x v="0"/>
    <x v="0"/>
  </r>
  <r>
    <s v="KiwiBank"/>
    <s v="Credit"/>
    <s v="4833-48__-____-1032"/>
    <d v="2023-05-08T00:00:00"/>
    <s v="DAPHNES BAR TAVERNA AUCKLAND "/>
    <n v="-4.72"/>
    <x v="3"/>
    <x v="8"/>
    <x v="8"/>
  </r>
  <r>
    <s v="KiwiBank"/>
    <s v="Credit"/>
    <s v="4833-48__-____-1032"/>
    <d v="2023-05-10T00:00:00"/>
    <s v="INLAND REVENUE WELLINGTON "/>
    <n v="-1784.39"/>
    <x v="5"/>
    <x v="7"/>
    <x v="13"/>
  </r>
  <r>
    <s v="KiwiBank"/>
    <s v="Credit"/>
    <s v="4833-48__-____-1032"/>
    <d v="2023-05-10T00:00:00"/>
    <s v="IRD Conv Fee AUCKLAND "/>
    <n v="-16.559999999999999"/>
    <x v="5"/>
    <x v="7"/>
    <x v="13"/>
  </r>
  <r>
    <s v="KiwiBank"/>
    <s v="Credit"/>
    <s v="4833-48__-____-1032"/>
    <d v="2023-05-08T00:00:00"/>
    <s v="NEW WORLD STONEFIELDS AUCKLAND NZ "/>
    <n v="-45"/>
    <x v="0"/>
    <x v="0"/>
    <x v="0"/>
  </r>
  <r>
    <s v="KiwiBank"/>
    <s v="Credit"/>
    <s v="4833-48__-____-1032"/>
    <d v="2023-05-09T00:00:00"/>
    <s v="PAYMENT THANKYOU . "/>
    <n v="6.36"/>
    <x v="1"/>
    <x v="24"/>
    <x v="1"/>
  </r>
  <r>
    <s v="KiwiBank"/>
    <s v="Credit"/>
    <s v="4833-48__-____-1032"/>
    <d v="2023-05-08T00:00:00"/>
    <s v="PAYMENT THANKYOU . "/>
    <n v="43.37"/>
    <x v="1"/>
    <x v="24"/>
    <x v="1"/>
  </r>
  <r>
    <s v="KiwiBank"/>
    <s v="Credit"/>
    <s v="4833-48__-____-1032"/>
    <d v="2023-05-08T00:00:00"/>
    <s v="PAYMENT THANKYOU . "/>
    <n v="2757.42"/>
    <x v="1"/>
    <x v="24"/>
    <x v="1"/>
  </r>
  <r>
    <s v="KiwiBank"/>
    <s v="Credit"/>
    <s v="4833-48__-____-1032"/>
    <d v="2023-05-08T00:00:00"/>
    <s v="CW Wstfield Newmarket Auckland "/>
    <n v="-0.86"/>
    <x v="9"/>
    <x v="18"/>
    <x v="30"/>
  </r>
  <r>
    <s v="KiwiBank"/>
    <s v="Credit"/>
    <s v="4833-48__-____-1032"/>
    <d v="2023-05-09T00:00:00"/>
    <s v="PAYMENT THANKYOU . "/>
    <n v="15.25"/>
    <x v="1"/>
    <x v="24"/>
    <x v="1"/>
  </r>
  <r>
    <s v="KiwiBank"/>
    <s v="Credit"/>
    <s v="4833-48__-____-1032"/>
    <d v="2023-05-09T00:00:00"/>
    <s v="AT Hop Auckland Henderson "/>
    <n v="-14.11"/>
    <x v="6"/>
    <x v="9"/>
    <x v="33"/>
  </r>
  <r>
    <s v="KiwiBank"/>
    <s v="Credit"/>
    <s v="4833-48__-____-1032"/>
    <d v="2023-05-12T00:00:00"/>
    <s v="PAYMENT THANKYOU . "/>
    <n v="12.88"/>
    <x v="1"/>
    <x v="24"/>
    <x v="1"/>
  </r>
  <r>
    <s v="KiwiBank"/>
    <s v="Credit"/>
    <s v="4833-48__-____-1032"/>
    <d v="2023-05-12T00:00:00"/>
    <s v="PAYMENT THANKYOU . "/>
    <n v="7.43"/>
    <x v="1"/>
    <x v="24"/>
    <x v="1"/>
  </r>
  <r>
    <s v="KiwiBank"/>
    <s v="Credit"/>
    <s v="4833-48__-____-1032"/>
    <d v="2023-05-12T00:00:00"/>
    <s v="SKINNY AUCKLAND "/>
    <n v="-0.54"/>
    <x v="7"/>
    <x v="10"/>
    <x v="10"/>
  </r>
  <r>
    <s v="KiwiBank"/>
    <s v="Credit"/>
    <s v="4833-48__-____-1032"/>
    <d v="2023-05-12T00:00:00"/>
    <s v="SKINNY AUCKLAND "/>
    <n v="-7.68"/>
    <x v="7"/>
    <x v="10"/>
    <x v="10"/>
  </r>
  <r>
    <s v="KiwiBank"/>
    <s v="Credit"/>
    <s v="4833-48__-____-1032"/>
    <d v="2023-05-12T00:00:00"/>
    <s v="FOREIGN CURRENCY TXN FEE  "/>
    <n v="-7.0000000000000007E-2"/>
    <x v="5"/>
    <x v="7"/>
    <x v="7"/>
  </r>
  <r>
    <s v="KiwiBank"/>
    <s v="Credit"/>
    <s v="4833-48__-____-1032"/>
    <d v="2023-05-12T00:00:00"/>
    <s v="CURRENCY CONV ASSESSMENT  "/>
    <n v="-7.0000000000000007E-2"/>
    <x v="5"/>
    <x v="7"/>
    <x v="7"/>
  </r>
  <r>
    <s v="KiwiBank"/>
    <s v="Credit"/>
    <s v="4833-48__-____-1032"/>
    <d v="2023-05-12T00:00:00"/>
    <s v="US MOBILE* US MOBILE WWW.USMOBILE. NY;4.34 US DOLLAR  $ at 0.6327"/>
    <n v="-7.42"/>
    <x v="7"/>
    <x v="13"/>
    <x v="15"/>
  </r>
  <r>
    <s v="KiwiBank"/>
    <s v="Credit"/>
    <s v="4833-48__-____-1032"/>
    <d v="2023-05-11T00:00:00"/>
    <s v="PAYMENT THANKYOU . "/>
    <n v="1.86"/>
    <x v="1"/>
    <x v="24"/>
    <x v="1"/>
  </r>
  <r>
    <s v="KiwiBank"/>
    <s v="Credit"/>
    <s v="4833-48__-____-1032"/>
    <d v="2023-05-11T00:00:00"/>
    <s v="PAYMENT THANKYOU . "/>
    <n v="3.59"/>
    <x v="1"/>
    <x v="24"/>
    <x v="1"/>
  </r>
  <r>
    <s v="KiwiBank"/>
    <s v="Credit"/>
    <s v="4833-48__-____-1032"/>
    <d v="2023-05-15T00:00:00"/>
    <s v="PAYMENT THANKYOU . "/>
    <n v="0.04"/>
    <x v="1"/>
    <x v="24"/>
    <x v="1"/>
  </r>
  <r>
    <s v="KiwiBank"/>
    <s v="Credit"/>
    <s v="4833-48__-____-1032"/>
    <d v="2023-05-15T00:00:00"/>
    <s v="Mecca Commercial Bay Auckland "/>
    <n v="-4.96"/>
    <x v="9"/>
    <x v="29"/>
    <x v="48"/>
  </r>
  <r>
    <s v="KiwiBank"/>
    <s v="Credit"/>
    <s v="4833-48__-____-1032"/>
    <d v="2023-05-15T00:00:00"/>
    <s v="PITA HOUSE PAKURANGA AUCKLAND "/>
    <n v="-19.53"/>
    <x v="0"/>
    <x v="0"/>
    <x v="0"/>
  </r>
  <r>
    <s v="KiwiBank"/>
    <s v="Credit"/>
    <s v="4833-48__-____-1032"/>
    <d v="2023-05-15T00:00:00"/>
    <s v="TAIPING ASIAN SUPERMARKET AUCKLAND "/>
    <n v="-13.28"/>
    <x v="0"/>
    <x v="0"/>
    <x v="0"/>
  </r>
  <r>
    <s v="KiwiBank"/>
    <s v="Credit"/>
    <s v="4833-48__-____-1032"/>
    <d v="2023-05-15T00:00:00"/>
    <s v="Downtown Car Park Auckland "/>
    <n v="-5.91"/>
    <x v="6"/>
    <x v="9"/>
    <x v="21"/>
  </r>
  <r>
    <s v="KiwiBank"/>
    <s v="Credit"/>
    <s v="4833-48__-____-1032"/>
    <d v="2023-05-17T00:00:00"/>
    <s v="AIA NEW ZEALAND AUCKLAND "/>
    <n v="-36.119999999999997"/>
    <x v="3"/>
    <x v="6"/>
    <x v="6"/>
  </r>
  <r>
    <s v="KiwiBank"/>
    <s v="Credit"/>
    <s v="4833-48__-____-1032"/>
    <d v="2023-05-16T00:00:00"/>
    <s v="LE PETITE FOURCHETTE AUCKLAND "/>
    <n v="-9.9600000000000009"/>
    <x v="0"/>
    <x v="0"/>
    <x v="0"/>
  </r>
  <r>
    <s v="KiwiBank"/>
    <s v="Credit"/>
    <s v="4833-48__-____-1032"/>
    <d v="2023-05-15T00:00:00"/>
    <s v="PAYMENT THANKYOU . "/>
    <n v="84.74"/>
    <x v="1"/>
    <x v="24"/>
    <x v="1"/>
  </r>
  <r>
    <s v="KiwiBank"/>
    <s v="Credit"/>
    <s v="4833-48__-____-1032"/>
    <d v="2023-05-15T00:00:00"/>
    <s v="PAYMENT THANKYOU . "/>
    <n v="5.94"/>
    <x v="1"/>
    <x v="24"/>
    <x v="1"/>
  </r>
  <r>
    <s v="KiwiBank"/>
    <s v="Credit"/>
    <s v="4833-48__-____-1032"/>
    <d v="2023-05-16T00:00:00"/>
    <s v="PAYMENT THANKYOU . "/>
    <n v="89.15"/>
    <x v="1"/>
    <x v="24"/>
    <x v="1"/>
  </r>
  <r>
    <s v="KiwiBank"/>
    <s v="Credit"/>
    <s v="4833-48__-____-1032"/>
    <d v="2023-05-18T00:00:00"/>
    <s v="CW Wstfield Newmarket Auckland "/>
    <n v="-13.33"/>
    <x v="9"/>
    <x v="18"/>
    <x v="30"/>
  </r>
  <r>
    <s v="KiwiBank"/>
    <s v="Credit"/>
    <s v="4833-48__-____-1032"/>
    <d v="2023-05-18T00:00:00"/>
    <s v="GONG CHA WESTFIELD NEWMAR AUCKLAND "/>
    <n v="-2.4"/>
    <x v="3"/>
    <x v="8"/>
    <x v="8"/>
  </r>
  <r>
    <s v="KiwiBank"/>
    <s v="Credit"/>
    <s v="4833-48__-____-1032"/>
    <d v="2023-05-18T00:00:00"/>
    <s v="TSUJIRI AUCKLAND "/>
    <n v="-21.22"/>
    <x v="0"/>
    <x v="0"/>
    <x v="0"/>
  </r>
  <r>
    <s v="KiwiBank"/>
    <s v="Credit"/>
    <s v="4833-48__-____-1032"/>
    <d v="2023-05-22T00:00:00"/>
    <s v="DBS*Jetts Remuera North Harbour "/>
    <n v="-7.87"/>
    <x v="3"/>
    <x v="14"/>
    <x v="17"/>
  </r>
  <r>
    <s v="KiwiBank"/>
    <s v="Credit"/>
    <s v="4833-48__-____-1032"/>
    <d v="2023-05-19T00:00:00"/>
    <s v="PAK N SAVE SYLVIA PARK AUCKLAND "/>
    <n v="-89.66"/>
    <x v="0"/>
    <x v="0"/>
    <x v="0"/>
  </r>
  <r>
    <s v="KiwiBank"/>
    <s v="Credit"/>
    <s v="4833-48__-____-1032"/>
    <d v="2023-05-19T00:00:00"/>
    <s v="CW Sylvia Park Glen Innes "/>
    <n v="-60.13"/>
    <x v="9"/>
    <x v="18"/>
    <x v="30"/>
  </r>
  <r>
    <s v="KiwiBank"/>
    <s v="Credit"/>
    <s v="4833-48__-____-1032"/>
    <d v="2023-05-19T00:00:00"/>
    <s v="PAYMENT THANKYOU . "/>
    <n v="116.29"/>
    <x v="1"/>
    <x v="24"/>
    <x v="1"/>
  </r>
  <r>
    <s v="KiwiBank"/>
    <s v="Credit"/>
    <s v="4833-48__-____-1032"/>
    <d v="2023-05-22T00:00:00"/>
    <s v="PAYMENT THANKYOU . "/>
    <n v="293.60000000000002"/>
    <x v="1"/>
    <x v="24"/>
    <x v="1"/>
  </r>
  <r>
    <s v="KiwiBank"/>
    <s v="Credit"/>
    <s v="4833-48__-____-1032"/>
    <d v="2023-05-22T00:00:00"/>
    <s v="TOWER INSURANCE - EIS 093692079 "/>
    <n v="-165.59"/>
    <x v="4"/>
    <x v="11"/>
    <x v="11"/>
  </r>
  <r>
    <s v="KiwiBank"/>
    <s v="Credit"/>
    <s v="4833-48__-____-1032"/>
    <d v="2023-05-22T00:00:00"/>
    <s v="TOWER INSURANCE - EIS 093692079 "/>
    <n v="-36.630000000000003"/>
    <x v="2"/>
    <x v="33"/>
    <x v="49"/>
  </r>
  <r>
    <s v="KiwiBank"/>
    <s v="Credit"/>
    <s v="4833-48__-____-1032"/>
    <d v="2023-05-22T00:00:00"/>
    <s v="TOWER INSURANCE - EIS 093692079 "/>
    <n v="-106.6"/>
    <x v="12"/>
    <x v="33"/>
    <x v="49"/>
  </r>
  <r>
    <s v="KiwiBank"/>
    <s v="Credit"/>
    <s v="4833-48__-____-1032"/>
    <d v="2023-05-22T00:00:00"/>
    <s v="PAYMENT THANKYOU . "/>
    <n v="36.92"/>
    <x v="1"/>
    <x v="24"/>
    <x v="1"/>
  </r>
  <r>
    <s v="KiwiBank"/>
    <s v="Credit"/>
    <s v="4833-48__-____-1032"/>
    <d v="2023-05-22T00:00:00"/>
    <s v="FLEXI BIN AUCKLAND "/>
    <n v="-111.38"/>
    <x v="4"/>
    <x v="12"/>
    <x v="12"/>
  </r>
  <r>
    <s v="KiwiBank"/>
    <s v="Credit"/>
    <s v="4833-48__-____-1032"/>
    <d v="2023-05-25T00:00:00"/>
    <s v="PITA HOUSE PAKURANGA AUCKLAND "/>
    <n v="-56.14"/>
    <x v="0"/>
    <x v="0"/>
    <x v="0"/>
  </r>
  <r>
    <s v="KiwiBank"/>
    <s v="Credit"/>
    <s v="4833-48__-____-1032"/>
    <d v="2023-05-25T00:00:00"/>
    <s v="HESARISUPERMARKETPANMURE AUCKLAND "/>
    <n v="-55.14"/>
    <x v="0"/>
    <x v="0"/>
    <x v="0"/>
  </r>
  <r>
    <s v="KiwiBank"/>
    <s v="Credit"/>
    <s v="4833-48__-____-1032"/>
    <d v="2023-05-26T00:00:00"/>
    <s v="DBS*Jetts Remuera North Harbour "/>
    <n v="-1.18"/>
    <x v="3"/>
    <x v="14"/>
    <x v="17"/>
  </r>
  <r>
    <s v="KiwiBank"/>
    <s v="Credit"/>
    <s v="4833-48__-____-1032"/>
    <d v="2023-05-26T00:00:00"/>
    <s v="KMART AUCKLAND "/>
    <n v="-15.32"/>
    <x v="9"/>
    <x v="18"/>
    <x v="30"/>
  </r>
  <r>
    <s v="KiwiBank"/>
    <s v="Credit"/>
    <s v="4833-48__-____-1032"/>
    <d v="2023-05-29T00:00:00"/>
    <s v="AKL COUNCIL ONLINE AUCKLAND "/>
    <n v="-1918.2"/>
    <x v="4"/>
    <x v="28"/>
    <x v="43"/>
  </r>
  <r>
    <s v="KiwiBank"/>
    <s v="Credit"/>
    <s v="4833-48__-____-1032"/>
    <d v="2023-05-29T00:00:00"/>
    <s v="Auckland Council Conv Fee AUCKLAND "/>
    <n v="-55.18"/>
    <x v="12"/>
    <x v="28"/>
    <x v="43"/>
  </r>
  <r>
    <s v="KiwiBank"/>
    <s v="Credit"/>
    <s v="4833-48__-____-1032"/>
    <d v="2023-05-29T00:00:00"/>
    <s v="SKINNY AUCKLAND "/>
    <n v="-6.11"/>
    <x v="7"/>
    <x v="10"/>
    <x v="10"/>
  </r>
  <r>
    <s v="KiwiBank"/>
    <s v="Credit"/>
    <s v="4833-48__-____-1032"/>
    <d v="2023-05-26T00:00:00"/>
    <s v="PAYMENT THANKYOU . "/>
    <n v="98.78"/>
    <x v="1"/>
    <x v="24"/>
    <x v="1"/>
  </r>
  <r>
    <s v="KiwiBank"/>
    <s v="Credit"/>
    <s v="4833-48__-____-1032"/>
    <d v="2023-05-29T00:00:00"/>
    <s v="PAYMENT THANKYOU . "/>
    <n v="2411.77"/>
    <x v="1"/>
    <x v="24"/>
    <x v="1"/>
  </r>
  <r>
    <s v="KiwiBank"/>
    <s v="Credit"/>
    <s v="4833-48__-____-1032"/>
    <d v="2023-05-29T00:00:00"/>
    <s v="PAYMENT THANKYOU . "/>
    <n v="295.75"/>
    <x v="1"/>
    <x v="24"/>
    <x v="1"/>
  </r>
  <r>
    <s v="KiwiBank"/>
    <s v="Credit"/>
    <s v="4833-48__-____-1032"/>
    <d v="2023-05-29T00:00:00"/>
    <s v="Pak N Save Royal Oak Royal Oak "/>
    <n v="-136.78"/>
    <x v="0"/>
    <x v="0"/>
    <x v="0"/>
  </r>
  <r>
    <s v="KiwiBank"/>
    <s v="Credit"/>
    <s v="4833-48__-____-1032"/>
    <d v="2023-05-29T00:00:00"/>
    <s v="NEW WORLD MT ROSKILL AUCKLAND "/>
    <n v="-97.59"/>
    <x v="0"/>
    <x v="0"/>
    <x v="0"/>
  </r>
  <r>
    <s v="KiwiBank"/>
    <s v="Credit"/>
    <s v="4833-48__-____-1032"/>
    <d v="2023-05-29T00:00:00"/>
    <s v="BAKLAWA CAFE AUCKLAND "/>
    <n v="-32.229999999999997"/>
    <x v="3"/>
    <x v="8"/>
    <x v="8"/>
  </r>
  <r>
    <s v="KiwiBank"/>
    <s v="Credit"/>
    <s v="4833-48__-____-1032"/>
    <d v="2023-05-29T00:00:00"/>
    <s v="BAKLAWA CAFE AUCKLAND "/>
    <n v="-51.98"/>
    <x v="3"/>
    <x v="8"/>
    <x v="8"/>
  </r>
  <r>
    <s v="KiwiBank"/>
    <s v="Credit"/>
    <s v="4833-48__-____-1032"/>
    <d v="2023-05-29T00:00:00"/>
    <s v="SKINNY AUCKLAND "/>
    <n v="-10.46"/>
    <x v="7"/>
    <x v="10"/>
    <x v="10"/>
  </r>
  <r>
    <s v="KiwiBank"/>
    <s v="Credit"/>
    <s v="4833-48__-____-1032"/>
    <d v="2023-05-30T00:00:00"/>
    <s v="AA IDP ONLINE AUCKLAND "/>
    <n v="-25.44"/>
    <x v="5"/>
    <x v="7"/>
    <x v="31"/>
  </r>
  <r>
    <s v="KiwiBank"/>
    <s v="Credit"/>
    <s v="4833-48__-____-1032"/>
    <d v="2023-05-30T00:00:00"/>
    <s v="LE PETITE FOURCHETTE AUCKLAND "/>
    <n v="-4.1399999999999997"/>
    <x v="0"/>
    <x v="0"/>
    <x v="0"/>
  </r>
  <r>
    <s v="KiwiBank"/>
    <s v="Credit"/>
    <s v="4833-48__-____-1032"/>
    <d v="2023-06-01T00:00:00"/>
    <s v="FOREIGN CURRENCY TXN FEE  "/>
    <n v="-0.15"/>
    <x v="5"/>
    <x v="7"/>
    <x v="7"/>
  </r>
  <r>
    <s v="KiwiBank"/>
    <s v="Credit"/>
    <s v="4833-48__-____-1032"/>
    <d v="2023-06-01T00:00:00"/>
    <s v="CURRENCY CONV ASSESSMENT  "/>
    <n v="-0.17"/>
    <x v="5"/>
    <x v="7"/>
    <x v="7"/>
  </r>
  <r>
    <s v="KiwiBank"/>
    <s v="Credit"/>
    <s v="4833-48__-____-1032"/>
    <d v="2023-06-01T00:00:00"/>
    <s v="US MOBILE* US MOBILE WWW.USMOBILE. NY;8.57 US DOLLAR  $ at 0.6031"/>
    <n v="-3.58"/>
    <x v="7"/>
    <x v="13"/>
    <x v="15"/>
  </r>
  <r>
    <s v="KiwiBank"/>
    <s v="Credit"/>
    <s v="4833-48__-____-1032"/>
    <d v="2023-05-31T00:00:00"/>
    <s v="FMK EPSOM AUCKLAND "/>
    <n v="-104.29"/>
    <x v="9"/>
    <x v="29"/>
    <x v="44"/>
  </r>
  <r>
    <s v="KiwiBank"/>
    <s v="Credit"/>
    <s v="4833-48__-____-1032"/>
    <d v="2023-05-31T00:00:00"/>
    <s v="CORNWALL PARK CAFE AUCKLAND "/>
    <n v="-10.71"/>
    <x v="3"/>
    <x v="8"/>
    <x v="8"/>
  </r>
  <r>
    <s v="KiwiBank"/>
    <s v="Credit"/>
    <s v="4833-48__-____-1032"/>
    <d v="2023-05-30T00:00:00"/>
    <s v="HESARI BAKERY LIMITED AUCKLAND "/>
    <n v="-27.89"/>
    <x v="0"/>
    <x v="0"/>
    <x v="0"/>
  </r>
  <r>
    <s v="KiwiBank"/>
    <s v="Credit"/>
    <s v="4833-48__-____-1032"/>
    <d v="2023-06-01T00:00:00"/>
    <s v="HESARISUPERMARKETPANMURE AUCKLAND "/>
    <n v="-7.09"/>
    <x v="0"/>
    <x v="0"/>
    <x v="0"/>
  </r>
  <r>
    <s v="KiwiBank"/>
    <s v="Credit"/>
    <s v="4833-48__-____-1032"/>
    <d v="2023-05-31T00:00:00"/>
    <s v="PAYMENT THANKYOU . "/>
    <n v="369.37"/>
    <x v="1"/>
    <x v="24"/>
    <x v="1"/>
  </r>
  <r>
    <s v="KiwiBank"/>
    <s v="Credit"/>
    <s v="4833-48__-____-1032"/>
    <d v="2023-05-31T00:00:00"/>
    <s v="Harris Road Pharmacy Auckland "/>
    <n v="-24.99"/>
    <x v="10"/>
    <x v="20"/>
    <x v="27"/>
  </r>
  <r>
    <s v="KiwiBank"/>
    <s v="Credit"/>
    <s v="4833-48__-____-1032"/>
    <d v="2023-06-02T00:00:00"/>
    <s v="PAK N SAVE SYLVIA PARK AUCKLAND "/>
    <n v="-41.97"/>
    <x v="0"/>
    <x v="0"/>
    <x v="0"/>
  </r>
  <r>
    <s v="KiwiBank"/>
    <s v="Credit"/>
    <s v="4833-48__-____-1032"/>
    <d v="2023-06-02T00:00:00"/>
    <s v="Mecca Sylvia Park Mt Wellington "/>
    <n v="-5.28"/>
    <x v="9"/>
    <x v="29"/>
    <x v="48"/>
  </r>
  <r>
    <s v="KiwiBank"/>
    <s v="Credit"/>
    <s v="4833-48__-____-1032"/>
    <d v="2023-06-02T00:00:00"/>
    <s v="DBS*Jetts Remuera North Harbour "/>
    <n v="-4.78"/>
    <x v="3"/>
    <x v="14"/>
    <x v="17"/>
  </r>
  <r>
    <s v="KiwiBank"/>
    <s v="Credit"/>
    <s v="4833-48__-____-1032"/>
    <d v="2023-06-02T00:00:00"/>
    <s v="CW Sylvia Park Glen Innes "/>
    <n v="-0.1"/>
    <x v="9"/>
    <x v="18"/>
    <x v="30"/>
  </r>
  <r>
    <s v="KiwiBank"/>
    <s v="Credit"/>
    <s v="4833-48__-____-1032"/>
    <d v="2023-06-02T00:00:00"/>
    <s v="WHITCOULLS 284 AUCKLAND "/>
    <n v="-4.83"/>
    <x v="3"/>
    <x v="8"/>
    <x v="8"/>
  </r>
  <r>
    <s v="KiwiBank"/>
    <s v="Credit"/>
    <s v="4833-48__-____-1032"/>
    <d v="2023-06-02T00:00:00"/>
    <s v="PAYMENT THANKYOU . "/>
    <n v="166.71"/>
    <x v="1"/>
    <x v="24"/>
    <x v="1"/>
  </r>
  <r>
    <s v="KiwiBank"/>
    <s v="Credit"/>
    <s v="4833-48__-____-1032"/>
    <d v="2023-06-06T00:00:00"/>
    <s v="PAYMENT THANKYOU . "/>
    <n v="87.07"/>
    <x v="1"/>
    <x v="24"/>
    <x v="1"/>
  </r>
  <r>
    <s v="KiwiBank"/>
    <s v="Credit"/>
    <s v="4833-48__-____-1032"/>
    <d v="2023-06-06T00:00:00"/>
    <s v="PAYMENT THANKYOU . "/>
    <n v="78.989999999999995"/>
    <x v="1"/>
    <x v="24"/>
    <x v="1"/>
  </r>
  <r>
    <s v="KiwiBank"/>
    <s v="Credit"/>
    <s v="4833-48__-____-1032"/>
    <d v="2023-06-06T00:00:00"/>
    <s v="AELIA DUTY FREE DEPARTURE AUCKLAND "/>
    <n v="-44.13"/>
    <x v="3"/>
    <x v="6"/>
    <x v="6"/>
  </r>
  <r>
    <s v="KiwiBank"/>
    <s v="Credit"/>
    <s v="4833-48__-____-1032"/>
    <d v="2023-06-06T00:00:00"/>
    <s v="BETTER BURGER AUCKLAND "/>
    <n v="-29.76"/>
    <x v="3"/>
    <x v="8"/>
    <x v="8"/>
  </r>
  <r>
    <s v="KiwiBank"/>
    <s v="Credit"/>
    <s v="4833-48__-____-1032"/>
    <d v="2023-06-06T00:00:00"/>
    <s v="AELIA DUTY FREE DEPARTURE AUCKLAND "/>
    <n v="-12.23"/>
    <x v="3"/>
    <x v="6"/>
    <x v="6"/>
  </r>
  <r>
    <s v="KiwiBank"/>
    <s v="Credit"/>
    <s v="4833-48__-____-1032"/>
    <d v="2023-06-06T00:00:00"/>
    <s v="SKINNY AUCKLAND "/>
    <n v="-1.24"/>
    <x v="7"/>
    <x v="10"/>
    <x v="10"/>
  </r>
  <r>
    <s v="KiwiBank"/>
    <s v="Credit"/>
    <s v="4833-48__-____-1032"/>
    <d v="2023-06-06T00:00:00"/>
    <s v="OLA HELP.OLA.CO.NZ AUCKLAND "/>
    <n v="-32.33"/>
    <x v="6"/>
    <x v="9"/>
    <x v="33"/>
  </r>
  <r>
    <s v="KiwiBank"/>
    <s v="Credit"/>
    <s v="4833-48__-____-1032"/>
    <d v="2023-06-06T00:00:00"/>
    <s v="UBER   *TRIP HELP.UBER.COM "/>
    <n v="-28.36"/>
    <x v="6"/>
    <x v="9"/>
    <x v="33"/>
  </r>
  <r>
    <s v="KiwiBank"/>
    <s v="Credit"/>
    <s v="4833-48__-____-1032"/>
    <d v="2023-06-06T00:00:00"/>
    <s v="FOREIGN CURRENCY TXN FEE  "/>
    <n v="-0.33"/>
    <x v="5"/>
    <x v="7"/>
    <x v="7"/>
  </r>
  <r>
    <s v="KiwiBank"/>
    <s v="Credit"/>
    <s v="4833-48__-____-1032"/>
    <d v="2023-06-06T00:00:00"/>
    <s v="CURRENCY CONV ASSESSMENT  "/>
    <n v="-0.21"/>
    <x v="5"/>
    <x v="7"/>
    <x v="7"/>
  </r>
  <r>
    <s v="KiwiBank"/>
    <s v="Credit"/>
    <s v="4833-48__-____-1032"/>
    <d v="2023-06-06T00:00:00"/>
    <s v="REX BAKERY North Vancouv BC;25.28 CANADIAN DOLLAR at 0.8077"/>
    <n v="-2.75"/>
    <x v="0"/>
    <x v="0"/>
    <x v="0"/>
  </r>
  <r>
    <s v="KiwiBank"/>
    <s v="Credit"/>
    <s v="4833-48__-____-1032"/>
    <d v="2023-06-06T00:00:00"/>
    <s v="TEA GARDENS AUCKLAND "/>
    <n v="-7.84"/>
    <x v="3"/>
    <x v="8"/>
    <x v="8"/>
  </r>
  <r>
    <s v="KiwiBank"/>
    <s v="Credit"/>
    <s v="4833-48__-____-1032"/>
    <d v="2023-06-06T00:00:00"/>
    <s v="SKINNY AUCKLAND "/>
    <n v="-5.3"/>
    <x v="7"/>
    <x v="10"/>
    <x v="10"/>
  </r>
  <r>
    <s v="KiwiBank"/>
    <s v="Credit"/>
    <s v="4833-48__-____-1032"/>
    <d v="2023-06-07T00:00:00"/>
    <s v="APPLE.COM/BILL SYDNEY "/>
    <n v="-22.36"/>
    <x v="7"/>
    <x v="16"/>
    <x v="19"/>
  </r>
  <r>
    <s v="KiwiBank"/>
    <s v="Credit"/>
    <s v="4833-48__-____-1032"/>
    <d v="2023-06-08T00:00:00"/>
    <s v="FOREIGN CURRENCY TXN FEE  "/>
    <n v="-0.03"/>
    <x v="5"/>
    <x v="7"/>
    <x v="7"/>
  </r>
  <r>
    <s v="KiwiBank"/>
    <s v="Credit"/>
    <s v="4833-48__-____-1032"/>
    <d v="2023-06-08T00:00:00"/>
    <s v="CURRENCY CONV ASSESSMENT  "/>
    <n v="-0.01"/>
    <x v="5"/>
    <x v="7"/>
    <x v="7"/>
  </r>
  <r>
    <s v="KiwiBank"/>
    <s v="Credit"/>
    <s v="4833-48__-____-1032"/>
    <d v="2023-06-08T00:00:00"/>
    <s v="US MOBILE* US MOBILE WWW.USMOBILE. NY;3.50 US DOLLAR  $ at 0.6034"/>
    <n v="-7.88"/>
    <x v="7"/>
    <x v="13"/>
    <x v="15"/>
  </r>
  <r>
    <s v="KiwiBank"/>
    <s v="Credit"/>
    <s v="4833-48__-____-1032"/>
    <d v="2023-06-07T00:00:00"/>
    <s v="TOWER INSURANCE - EIS 093692079 "/>
    <n v="-51.31"/>
    <x v="4"/>
    <x v="34"/>
    <x v="50"/>
  </r>
  <r>
    <s v="KiwiBank"/>
    <s v="Credit"/>
    <s v="4833-48__-____-1032"/>
    <d v="2023-06-07T00:00:00"/>
    <s v="PAYMENT THANKYOU . "/>
    <n v="52.92"/>
    <x v="1"/>
    <x v="24"/>
    <x v="1"/>
  </r>
  <r>
    <s v="KiwiBank"/>
    <s v="Credit"/>
    <s v="4833-48__-____-1032"/>
    <d v="2023-06-12T00:00:00"/>
    <s v="FOREIGN CURRENCY TXN FEE  "/>
    <n v="-0.08"/>
    <x v="5"/>
    <x v="7"/>
    <x v="7"/>
  </r>
  <r>
    <s v="KiwiBank"/>
    <s v="Credit"/>
    <s v="4833-48__-____-1032"/>
    <d v="2023-06-12T00:00:00"/>
    <s v="CURRENCY CONV ASSESSMENT  "/>
    <n v="-0.04"/>
    <x v="5"/>
    <x v="7"/>
    <x v="7"/>
  </r>
  <r>
    <s v="KiwiBank"/>
    <s v="Credit"/>
    <s v="4833-48__-____-1032"/>
    <d v="2023-06-12T00:00:00"/>
    <s v="UBER* TRIP TORONTO ON;7.56 CANADIAN DOLLAR at 0.8025"/>
    <n v="-7.26"/>
    <x v="6"/>
    <x v="9"/>
    <x v="33"/>
  </r>
  <r>
    <s v="KiwiBank"/>
    <s v="Credit"/>
    <s v="4833-48__-____-1032"/>
    <d v="2023-06-09T00:00:00"/>
    <s v="DBS*Jetts Remuera North Harbour "/>
    <n v="-7.29"/>
    <x v="3"/>
    <x v="14"/>
    <x v="17"/>
  </r>
  <r>
    <s v="KiwiBank"/>
    <s v="Credit"/>
    <s v="4833-48__-____-1032"/>
    <d v="2023-06-08T00:00:00"/>
    <s v="PAYMENT THANKYOU . "/>
    <n v="8.23"/>
    <x v="1"/>
    <x v="24"/>
    <x v="1"/>
  </r>
  <r>
    <s v="KiwiBank"/>
    <s v="Credit"/>
    <s v="4833-48__-____-1032"/>
    <d v="2023-06-09T00:00:00"/>
    <s v="PAYMENT THANKYOU . "/>
    <n v="7.0000000000000007E-2"/>
    <x v="1"/>
    <x v="24"/>
    <x v="1"/>
  </r>
  <r>
    <s v="KiwiBank"/>
    <s v="Credit"/>
    <s v="4833-48__-____-1032"/>
    <d v="2023-06-09T00:00:00"/>
    <s v="PAYMENT THANKYOU . "/>
    <n v="4.8099999999999996"/>
    <x v="1"/>
    <x v="24"/>
    <x v="1"/>
  </r>
  <r>
    <s v="KiwiBank"/>
    <s v="Credit"/>
    <s v="4833-48__-____-1032"/>
    <d v="2023-06-14T00:00:00"/>
    <s v="FOREIGN CURRENCY TXN FEE  "/>
    <n v="-0.22"/>
    <x v="5"/>
    <x v="7"/>
    <x v="7"/>
  </r>
  <r>
    <s v="KiwiBank"/>
    <s v="Credit"/>
    <s v="4833-48__-____-1032"/>
    <d v="2023-06-14T00:00:00"/>
    <s v="CURRENCY CONV ASSESSMENT  "/>
    <n v="-0.08"/>
    <x v="5"/>
    <x v="7"/>
    <x v="7"/>
  </r>
  <r>
    <s v="KiwiBank"/>
    <s v="Credit"/>
    <s v="4833-48__-____-1032"/>
    <d v="2023-06-14T00:00:00"/>
    <s v="UBER CANADA/UBERTRIP TORONTO ON;19.12 CANADIAN DOLLAR at 0.8085"/>
    <n v="-30"/>
    <x v="6"/>
    <x v="9"/>
    <x v="33"/>
  </r>
  <r>
    <s v="KiwiBank"/>
    <s v="Credit"/>
    <s v="4833-48__-____-1032"/>
    <d v="2023-06-14T00:00:00"/>
    <s v="FOREIGN CURRENCY TXN FEE  "/>
    <n v="-0.04"/>
    <x v="5"/>
    <x v="7"/>
    <x v="7"/>
  </r>
  <r>
    <s v="KiwiBank"/>
    <s v="Credit"/>
    <s v="4833-48__-____-1032"/>
    <d v="2023-06-14T00:00:00"/>
    <s v="CURRENCY CONV ASSESSMENT  "/>
    <n v="-0.11"/>
    <x v="5"/>
    <x v="7"/>
    <x v="7"/>
  </r>
  <r>
    <s v="KiwiBank"/>
    <s v="Credit"/>
    <s v="4833-48__-____-1032"/>
    <d v="2023-06-14T00:00:00"/>
    <s v="UBER* TRIP TORONTO ON;30.67 CANADIAN DOLLAR at 0.8086"/>
    <n v="-26.73"/>
    <x v="6"/>
    <x v="9"/>
    <x v="33"/>
  </r>
  <r>
    <s v="KiwiBank"/>
    <s v="Credit"/>
    <s v="4833-48__-____-1032"/>
    <d v="2023-06-13T00:00:00"/>
    <s v="PAYMENT THANKYOU . "/>
    <n v="4.8"/>
    <x v="1"/>
    <x v="24"/>
    <x v="1"/>
  </r>
  <r>
    <s v="KiwiBank"/>
    <s v="Credit"/>
    <s v="4833-48__-____-1032"/>
    <d v="2023-06-16T00:00:00"/>
    <s v="AIA NEW ZEALAND AUCKLAND "/>
    <n v="-7.58"/>
    <x v="3"/>
    <x v="6"/>
    <x v="6"/>
  </r>
  <r>
    <s v="KiwiBank"/>
    <s v="Credit"/>
    <s v="4833-48__-____-1032"/>
    <d v="2023-06-16T00:00:00"/>
    <s v="DBS*Jetts Remuera North Harbour "/>
    <n v="-15.11"/>
    <x v="3"/>
    <x v="14"/>
    <x v="17"/>
  </r>
  <r>
    <s v="KiwiBank"/>
    <s v="Credit"/>
    <s v="4833-48__-____-1032"/>
    <d v="2023-06-15T00:00:00"/>
    <s v="PAYMENT THANKYOU . "/>
    <n v="85.29"/>
    <x v="1"/>
    <x v="24"/>
    <x v="1"/>
  </r>
  <r>
    <s v="KiwiBank"/>
    <s v="Credit"/>
    <s v="4833-48__-____-1032"/>
    <d v="2023-06-19T00:00:00"/>
    <s v="FOREIGN CURRENCY TXN FEE  "/>
    <n v="-0.34"/>
    <x v="5"/>
    <x v="7"/>
    <x v="7"/>
  </r>
  <r>
    <s v="KiwiBank"/>
    <s v="Credit"/>
    <s v="4833-48__-____-1032"/>
    <d v="2023-06-19T00:00:00"/>
    <s v="CURRENCY CONV ASSESSMENT  "/>
    <n v="-0.05"/>
    <x v="5"/>
    <x v="7"/>
    <x v="7"/>
  </r>
  <r>
    <s v="KiwiBank"/>
    <s v="Credit"/>
    <s v="4833-48__-____-1032"/>
    <d v="2023-06-19T00:00:00"/>
    <s v="UBER CANADA/UBERTRIP TORONTO ON;23.03 CANADIAN DOLLAR at 0.8146"/>
    <n v="-40.54"/>
    <x v="6"/>
    <x v="9"/>
    <x v="33"/>
  </r>
  <r>
    <s v="KiwiBank"/>
    <s v="Credit"/>
    <s v="4833-48__-____-1032"/>
    <d v="2023-06-15T00:00:00"/>
    <s v="PAYMENT THANKYOU . "/>
    <n v="11.71"/>
    <x v="1"/>
    <x v="24"/>
    <x v="1"/>
  </r>
  <r>
    <s v="KiwiBank"/>
    <s v="Credit"/>
    <s v="4833-48__-____-1032"/>
    <d v="2023-06-20T00:00:00"/>
    <s v="SKINNY AUCKLAND "/>
    <n v="-6.64"/>
    <x v="7"/>
    <x v="10"/>
    <x v="10"/>
  </r>
  <r>
    <s v="KiwiBank"/>
    <s v="Credit"/>
    <s v="4833-48__-____-1032"/>
    <d v="2023-06-21T00:00:00"/>
    <s v="TOWER INSURANCE - EIS 093692079 "/>
    <n v="-29.94"/>
    <x v="4"/>
    <x v="11"/>
    <x v="11"/>
  </r>
  <r>
    <s v="KiwiBank"/>
    <s v="Credit"/>
    <s v="4833-48__-____-1032"/>
    <d v="2023-06-21T00:00:00"/>
    <s v="TOWER INSURANCE - EIS 093692079 "/>
    <n v="-77.78"/>
    <x v="2"/>
    <x v="33"/>
    <x v="49"/>
  </r>
  <r>
    <s v="KiwiBank"/>
    <s v="Credit"/>
    <s v="4833-48__-____-1032"/>
    <d v="2023-06-21T00:00:00"/>
    <s v="TOWER INSURANCE - EIS 093692079 "/>
    <n v="-25.25"/>
    <x v="12"/>
    <x v="33"/>
    <x v="49"/>
  </r>
  <r>
    <s v="KiwiBank"/>
    <s v="Credit"/>
    <s v="4833-48__-____-1032"/>
    <d v="2023-06-20T00:00:00"/>
    <s v="PAYMENT THANKYOU . "/>
    <n v="346.71"/>
    <x v="1"/>
    <x v="24"/>
    <x v="1"/>
  </r>
  <r>
    <s v="KiwiBank"/>
    <s v="Credit"/>
    <s v="4833-48__-____-1032"/>
    <d v="2023-06-23T00:00:00"/>
    <s v="SKINNY AUCKLAND "/>
    <n v="-16.66"/>
    <x v="7"/>
    <x v="10"/>
    <x v="10"/>
  </r>
  <r>
    <s v="KiwiBank"/>
    <s v="Credit"/>
    <s v="4833-48__-____-1032"/>
    <d v="2023-06-23T00:00:00"/>
    <s v="DBS*Jetts Remuera North Harbour "/>
    <n v="-13"/>
    <x v="3"/>
    <x v="14"/>
    <x v="17"/>
  </r>
  <r>
    <s v="KiwiBank"/>
    <s v="Credit"/>
    <s v="4833-48__-____-1032"/>
    <d v="2023-06-23T00:00:00"/>
    <s v="PAYMENT THANKYOU . "/>
    <n v="25.94"/>
    <x v="1"/>
    <x v="24"/>
    <x v="1"/>
  </r>
  <r>
    <s v="KiwiBank"/>
    <s v="Credit"/>
    <s v="4833-48__-____-1032"/>
    <d v="2023-06-26T00:00:00"/>
    <s v="PAYMENT THANKYOU . "/>
    <n v="15.04"/>
    <x v="1"/>
    <x v="24"/>
    <x v="1"/>
  </r>
  <r>
    <s v="KiwiBank"/>
    <s v="Credit"/>
    <s v="4833-48__-____-1032"/>
    <d v="2023-06-26T00:00:00"/>
    <s v="SKINNY AUCKLAND "/>
    <n v="-21.22"/>
    <x v="7"/>
    <x v="10"/>
    <x v="10"/>
  </r>
  <r>
    <s v="KiwiBank"/>
    <s v="Credit"/>
    <s v="4833-48__-____-1032"/>
    <d v="2023-06-28T00:00:00"/>
    <s v="UBER   *TRIP HELP.UBER.COM "/>
    <n v="-21.85"/>
    <x v="6"/>
    <x v="9"/>
    <x v="33"/>
  </r>
  <r>
    <s v="KiwiBank"/>
    <s v="Credit"/>
    <s v="4833-48__-____-1032"/>
    <d v="2023-06-26T00:00:00"/>
    <s v="PAYMENT THANKYOU . "/>
    <n v="51.31"/>
    <x v="1"/>
    <x v="24"/>
    <x v="1"/>
  </r>
  <r>
    <s v="KiwiBank"/>
    <s v="Credit"/>
    <s v="4833-48__-____-1032"/>
    <d v="2023-06-28T00:00:00"/>
    <s v="MARRAM COMMUNITY TRUST WELLINGTON "/>
    <n v="-92.42"/>
    <x v="3"/>
    <x v="6"/>
    <x v="6"/>
  </r>
  <r>
    <s v="KiwiBank"/>
    <s v="Credit"/>
    <s v="4833-48__-____-1032"/>
    <d v="2023-06-28T00:00:00"/>
    <s v="NZ EXHIBITION AND EVENTS AUCKLAND "/>
    <n v="-0.62"/>
    <x v="3"/>
    <x v="3"/>
    <x v="3"/>
  </r>
  <r>
    <s v="KiwiBank"/>
    <s v="Credit"/>
    <s v="4833-48__-____-1032"/>
    <d v="2023-06-27T00:00:00"/>
    <s v="PAYMENT THANKYOU . "/>
    <n v="28.23"/>
    <x v="1"/>
    <x v="24"/>
    <x v="1"/>
  </r>
  <r>
    <s v="KiwiBank"/>
    <s v="Credit"/>
    <s v="4833-48__-____-1032"/>
    <d v="2023-06-27T00:00:00"/>
    <s v="PAYMENT THANKYOU . "/>
    <n v="10.37"/>
    <x v="1"/>
    <x v="24"/>
    <x v="1"/>
  </r>
  <r>
    <s v="KiwiBank"/>
    <s v="Credit"/>
    <s v="4833-48__-____-1032"/>
    <d v="2023-06-30T00:00:00"/>
    <s v="FOREIGN CURRENCY TXN FEE  "/>
    <n v="-0.16"/>
    <x v="5"/>
    <x v="7"/>
    <x v="7"/>
  </r>
  <r>
    <s v="KiwiBank"/>
    <s v="Credit"/>
    <s v="4833-48__-____-1032"/>
    <d v="2023-06-30T00:00:00"/>
    <s v="CURRENCY CONV ASSESSMENT  "/>
    <n v="-0.18"/>
    <x v="5"/>
    <x v="7"/>
    <x v="7"/>
  </r>
  <r>
    <s v="KiwiBank"/>
    <s v="Credit"/>
    <s v="4833-48__-____-1032"/>
    <d v="2023-06-30T00:00:00"/>
    <s v="US MOBILE* US MOBILE WWW.USMOBILE. NY;8.57 US DOLLAR  $ at 0.6135"/>
    <n v="-15.06"/>
    <x v="7"/>
    <x v="13"/>
    <x v="15"/>
  </r>
  <r>
    <s v="KiwiBank"/>
    <s v="Credit"/>
    <s v="4833-48__-____-1032"/>
    <d v="2023-06-30T00:00:00"/>
    <s v="DBS*Jetts Remuera North Harbour "/>
    <n v="-7.71"/>
    <x v="3"/>
    <x v="14"/>
    <x v="17"/>
  </r>
  <r>
    <s v="KiwiBank"/>
    <s v="Credit"/>
    <s v="4833-48__-____-1032"/>
    <d v="2023-06-30T00:00:00"/>
    <s v="MAJESTICTEABARSYLVIAPARK AUCKLAND "/>
    <n v="-0.53"/>
    <x v="0"/>
    <x v="0"/>
    <x v="0"/>
  </r>
  <r>
    <s v="KiwiBank"/>
    <s v="Credit"/>
    <s v="4833-48__-____-1032"/>
    <d v="2023-06-29T00:00:00"/>
    <s v="PAYMENT THANKYOU . "/>
    <n v="6.66"/>
    <x v="1"/>
    <x v="24"/>
    <x v="1"/>
  </r>
  <r>
    <s v="KiwiBank"/>
    <s v="Credit"/>
    <s v="4833-48__-____-1032"/>
    <d v="2023-06-30T00:00:00"/>
    <s v="PAYMENT THANKYOU . "/>
    <n v="1292.6099999999999"/>
    <x v="1"/>
    <x v="24"/>
    <x v="1"/>
  </r>
  <r>
    <s v="KiwiBank"/>
    <s v="Credit"/>
    <s v="4833-48__-____-1032"/>
    <d v="2023-07-03T00:00:00"/>
    <s v="ZARA AUCKLAND "/>
    <n v="-146.34"/>
    <x v="9"/>
    <x v="18"/>
    <x v="30"/>
  </r>
  <r>
    <s v="KiwiBank"/>
    <s v="Credit"/>
    <s v="4833-48__-____-1032"/>
    <d v="2023-07-03T00:00:00"/>
    <s v="QANTAS AIR  0812339490666 NSW "/>
    <n v="-1199.8900000000001"/>
    <x v="3"/>
    <x v="6"/>
    <x v="6"/>
  </r>
  <r>
    <s v="KiwiBank"/>
    <s v="Credit"/>
    <s v="4833-48__-____-1032"/>
    <d v="2023-07-03T00:00:00"/>
    <s v="QANTAS AIR  0812339490665 NSW "/>
    <n v="-983.92"/>
    <x v="3"/>
    <x v="6"/>
    <x v="6"/>
  </r>
  <r>
    <s v="KiwiBank"/>
    <s v="Credit"/>
    <s v="4833-48__-____-1032"/>
    <d v="2023-07-03T00:00:00"/>
    <s v="VICTORY CHRISTIAN CHURCH AUCKLAND "/>
    <n v="-1.07"/>
    <x v="6"/>
    <x v="9"/>
    <x v="21"/>
  </r>
  <r>
    <s v="KiwiBank"/>
    <s v="Credit"/>
    <s v="4833-48__-____-1032"/>
    <d v="2023-07-03T00:00:00"/>
    <s v="PAYMENT THANKYOU . "/>
    <n v="0.15"/>
    <x v="1"/>
    <x v="24"/>
    <x v="1"/>
  </r>
  <r>
    <s v="KiwiBank"/>
    <s v="Credit"/>
    <s v="4833-48__-____-1032"/>
    <d v="2023-07-03T00:00:00"/>
    <s v="PAYMENT THANKYOU . "/>
    <n v="143.46"/>
    <x v="1"/>
    <x v="24"/>
    <x v="1"/>
  </r>
  <r>
    <s v="KiwiBank"/>
    <s v="Credit"/>
    <s v="4833-48__-____-1032"/>
    <d v="2023-07-03T00:00:00"/>
    <s v="PAK N SAVE SYLVIA PARK AUCKLAND "/>
    <n v="-307.02999999999997"/>
    <x v="0"/>
    <x v="0"/>
    <x v="0"/>
  </r>
  <r>
    <s v="KiwiBank"/>
    <s v="Credit"/>
    <s v="4833-48__-____-1032"/>
    <d v="2023-07-03T00:00:00"/>
    <s v="JAPAN MART SYLVIA PARK AUCKLAND "/>
    <n v="-2.5499999999999998"/>
    <x v="0"/>
    <x v="0"/>
    <x v="0"/>
  </r>
  <r>
    <s v="KiwiBank"/>
    <s v="Credit"/>
    <s v="4833-48__-____-1032"/>
    <d v="2023-07-03T00:00:00"/>
    <s v="PAYMENT THANKYOU . "/>
    <n v="23.73"/>
    <x v="1"/>
    <x v="24"/>
    <x v="1"/>
  </r>
  <r>
    <s v="KiwiBank"/>
    <s v="Credit"/>
    <s v="4833-48__-____-1032"/>
    <d v="2023-07-03T00:00:00"/>
    <s v="Themarket.Com Takapuna "/>
    <n v="-41.47"/>
    <x v="9"/>
    <x v="18"/>
    <x v="30"/>
  </r>
  <r>
    <s v="KiwiBank"/>
    <s v="Credit"/>
    <s v="4833-48__-____-1032"/>
    <d v="2023-07-03T00:00:00"/>
    <s v="VICTORY CHRISTIAN CHURCH AUCKLAND "/>
    <n v="-13.24"/>
    <x v="6"/>
    <x v="9"/>
    <x v="21"/>
  </r>
  <r>
    <s v="KiwiBank"/>
    <s v="Credit"/>
    <s v="4833-48__-____-1032"/>
    <d v="2023-07-04T00:00:00"/>
    <s v="BLOSSOM COURT AUCKLAND "/>
    <n v="-64.900000000000006"/>
    <x v="3"/>
    <x v="8"/>
    <x v="8"/>
  </r>
  <r>
    <s v="KiwiBank"/>
    <s v="Credit"/>
    <s v="4833-48__-____-1032"/>
    <d v="2023-07-03T00:00:00"/>
    <s v="PAYMENT THANKYOU . "/>
    <n v="19.59"/>
    <x v="1"/>
    <x v="24"/>
    <x v="1"/>
  </r>
  <r>
    <s v="KiwiBank"/>
    <s v="Credit"/>
    <s v="4833-48__-____-1032"/>
    <d v="2023-07-03T00:00:00"/>
    <s v="PAYMENT THANKYOU . "/>
    <n v="81.52"/>
    <x v="1"/>
    <x v="24"/>
    <x v="1"/>
  </r>
  <r>
    <s v="KiwiBank"/>
    <s v="Credit"/>
    <s v="4833-48__-____-1032"/>
    <d v="2023-07-07T00:00:00"/>
    <s v="DBS*Jetts Remuera North Harbour "/>
    <n v="-4.1500000000000004"/>
    <x v="3"/>
    <x v="14"/>
    <x v="17"/>
  </r>
  <r>
    <s v="KiwiBank"/>
    <s v="Credit"/>
    <s v="4833-48__-____-1032"/>
    <d v="2023-07-06T00:00:00"/>
    <s v="PAYMENT THANKYOU . "/>
    <n v="177.02"/>
    <x v="1"/>
    <x v="24"/>
    <x v="1"/>
  </r>
  <r>
    <s v="KiwiBank"/>
    <s v="Credit"/>
    <s v="4833-48__-____-1032"/>
    <d v="2023-07-06T00:00:00"/>
    <s v="PAK N SAVE SYLVIA PARK AUCKLAND "/>
    <n v="-41.04"/>
    <x v="0"/>
    <x v="0"/>
    <x v="0"/>
  </r>
  <r>
    <s v="KiwiBank"/>
    <s v="Credit"/>
    <s v="4833-48__-____-1032"/>
    <d v="2023-07-06T00:00:00"/>
    <s v="CW Sylvia Park Glen Innes "/>
    <n v="-6.59"/>
    <x v="9"/>
    <x v="18"/>
    <x v="30"/>
  </r>
  <r>
    <s v="KiwiBank"/>
    <s v="Credit"/>
    <s v="4833-48__-____-1032"/>
    <d v="2023-07-06T00:00:00"/>
    <s v="KMART AUCKLAND "/>
    <n v="-56.64"/>
    <x v="4"/>
    <x v="12"/>
    <x v="12"/>
  </r>
  <r>
    <s v="KiwiBank"/>
    <s v="Credit"/>
    <s v="4833-48__-____-1032"/>
    <d v="2023-07-10T00:00:00"/>
    <s v="APPLE.COM/BILL SYDNEY "/>
    <n v="-2.65"/>
    <x v="7"/>
    <x v="16"/>
    <x v="19"/>
  </r>
  <r>
    <s v="KiwiBank"/>
    <s v="Credit"/>
    <s v="4833-48__-____-1032"/>
    <d v="2023-07-07T00:00:00"/>
    <s v="TOWER INSURANCE - EIS 093692079 "/>
    <n v="-25.51"/>
    <x v="4"/>
    <x v="34"/>
    <x v="50"/>
  </r>
  <r>
    <s v="KiwiBank"/>
    <s v="Credit"/>
    <s v="4833-48__-____-1032"/>
    <d v="2023-07-06T00:00:00"/>
    <s v="PAYMENT THANKYOU . "/>
    <n v="15.54"/>
    <x v="1"/>
    <x v="24"/>
    <x v="1"/>
  </r>
  <r>
    <s v="KiwiBank"/>
    <s v="Credit"/>
    <s v="4833-48__-____-1032"/>
    <d v="2023-07-06T00:00:00"/>
    <s v="PAYMENT THANKYOU . "/>
    <n v="5.27"/>
    <x v="1"/>
    <x v="24"/>
    <x v="1"/>
  </r>
  <r>
    <s v="KiwiBank"/>
    <s v="Credit"/>
    <s v="4833-48__-____-1032"/>
    <d v="2023-07-10T00:00:00"/>
    <s v="THE CONSERVATORY AUCKLAND "/>
    <n v="-11.37"/>
    <x v="3"/>
    <x v="8"/>
    <x v="8"/>
  </r>
  <r>
    <s v="KiwiBank"/>
    <s v="Credit"/>
    <s v="4833-48__-____-1032"/>
    <d v="2023-07-10T00:00:00"/>
    <s v="LE PETITE FOURCHETTE AUCKLAND "/>
    <n v="-0.65"/>
    <x v="0"/>
    <x v="0"/>
    <x v="0"/>
  </r>
  <r>
    <s v="KiwiBank"/>
    <s v="Credit"/>
    <s v="4833-48__-____-1032"/>
    <d v="2023-07-07T00:00:00"/>
    <s v="PAYMENT THANKYOU . "/>
    <n v="2.89"/>
    <x v="1"/>
    <x v="24"/>
    <x v="1"/>
  </r>
  <r>
    <s v="KiwiBank"/>
    <s v="Credit"/>
    <s v="4833-48__-____-1032"/>
    <d v="2023-07-10T00:00:00"/>
    <s v="PAYMENT THANKYOU . "/>
    <n v="235.92"/>
    <x v="1"/>
    <x v="24"/>
    <x v="1"/>
  </r>
  <r>
    <s v="KiwiBank"/>
    <s v="Credit"/>
    <s v="4833-48__-____-1032"/>
    <d v="2023-07-10T00:00:00"/>
    <s v="PAK N SAVE SYLVIA PARK AUCKLAND "/>
    <n v="-31.34"/>
    <x v="0"/>
    <x v="0"/>
    <x v="0"/>
  </r>
  <r>
    <s v="KiwiBank"/>
    <s v="Credit"/>
    <s v="4833-48__-____-1032"/>
    <d v="2023-07-10T00:00:00"/>
    <s v="VICTORY CHRISTIAN CHURCH AUCKLAND "/>
    <n v="-22.63"/>
    <x v="6"/>
    <x v="9"/>
    <x v="21"/>
  </r>
  <r>
    <s v="KiwiBank"/>
    <s v="Credit"/>
    <s v="4833-48__-____-1032"/>
    <d v="2023-07-10T00:00:00"/>
    <s v="MARTHA'S BACKYARD GLEN INNES "/>
    <n v="-10.39"/>
    <x v="0"/>
    <x v="0"/>
    <x v="0"/>
  </r>
  <r>
    <s v="KiwiBank"/>
    <s v="Credit"/>
    <s v="4833-48__-____-1032"/>
    <d v="2023-07-10T00:00:00"/>
    <s v="Postie Sylvia Galleria Mt Wellington "/>
    <n v="-5.57"/>
    <x v="9"/>
    <x v="18"/>
    <x v="30"/>
  </r>
  <r>
    <s v="KiwiBank"/>
    <s v="Credit"/>
    <s v="4833-48__-____-1032"/>
    <d v="2023-07-10T00:00:00"/>
    <s v="AT Parking Auckland "/>
    <n v="-2.71"/>
    <x v="6"/>
    <x v="9"/>
    <x v="21"/>
  </r>
  <r>
    <s v="KiwiBank"/>
    <s v="Credit"/>
    <s v="4833-48__-____-1032"/>
    <d v="2023-07-10T00:00:00"/>
    <s v="TART BAKERY AUCKLAND "/>
    <n v="-10.33"/>
    <x v="0"/>
    <x v="0"/>
    <x v="0"/>
  </r>
  <r>
    <s v="KiwiBank"/>
    <s v="Credit"/>
    <s v="4833-48__-____-1032"/>
    <d v="2023-07-11T00:00:00"/>
    <s v="GULL MARUA ROAD AUCKLAND "/>
    <n v="-143.49"/>
    <x v="6"/>
    <x v="9"/>
    <x v="14"/>
  </r>
  <r>
    <s v="KiwiBank"/>
    <s v="Credit"/>
    <s v="4833-48__-____-1032"/>
    <d v="2023-07-17T00:00:00"/>
    <s v="DBS*Jetts Remuera North Harbour "/>
    <n v="-1.54"/>
    <x v="3"/>
    <x v="14"/>
    <x v="17"/>
  </r>
  <r>
    <s v="KiwiBank"/>
    <s v="Credit"/>
    <s v="4833-48__-____-1032"/>
    <d v="2023-07-13T00:00:00"/>
    <s v="CONTACT ENERGY WELLINGTON "/>
    <n v="-64.099999999999994"/>
    <x v="4"/>
    <x v="5"/>
    <x v="5"/>
  </r>
  <r>
    <s v="KiwiBank"/>
    <s v="Credit"/>
    <s v="4833-48__-____-1032"/>
    <d v="2023-07-13T00:00:00"/>
    <s v="Farro Fresh Mt Wellingt Mt Wellington "/>
    <n v="-10.44"/>
    <x v="0"/>
    <x v="0"/>
    <x v="0"/>
  </r>
  <r>
    <s v="KiwiBank"/>
    <s v="Credit"/>
    <s v="4833-48__-____-1032"/>
    <d v="2023-07-13T00:00:00"/>
    <s v="NEW WORLD STONEFIELDS AUCKLAND NZ "/>
    <n v="-20.46"/>
    <x v="0"/>
    <x v="0"/>
    <x v="0"/>
  </r>
  <r>
    <s v="KiwiBank"/>
    <s v="Credit"/>
    <s v="4833-48__-____-1032"/>
    <d v="2023-07-12T00:00:00"/>
    <s v="PAYMENT THANKYOU . "/>
    <n v="85.48"/>
    <x v="1"/>
    <x v="24"/>
    <x v="1"/>
  </r>
  <r>
    <s v="KiwiBank"/>
    <s v="Credit"/>
    <s v="4833-48__-____-1032"/>
    <d v="2023-07-17T00:00:00"/>
    <s v="Iti Drinks and Bites Auckland "/>
    <n v="-17.88"/>
    <x v="3"/>
    <x v="8"/>
    <x v="8"/>
  </r>
  <r>
    <s v="KiwiBank"/>
    <s v="Credit"/>
    <s v="4833-48__-____-1032"/>
    <d v="2023-07-13T00:00:00"/>
    <s v="PAYMENT THANKYOU . "/>
    <n v="16.09"/>
    <x v="1"/>
    <x v="24"/>
    <x v="1"/>
  </r>
  <r>
    <s v="KiwiBank"/>
    <s v="Credit"/>
    <s v="4833-48__-____-1032"/>
    <d v="2023-07-17T00:00:00"/>
    <s v="PAYMENT THANKYOU . "/>
    <n v="43.13"/>
    <x v="1"/>
    <x v="24"/>
    <x v="1"/>
  </r>
  <r>
    <s v="KiwiBank"/>
    <s v="Credit"/>
    <s v="4833-48__-____-1032"/>
    <d v="2023-07-17T00:00:00"/>
    <s v="CW Wstfield Newmarket Auckland "/>
    <n v="-35.79"/>
    <x v="9"/>
    <x v="18"/>
    <x v="30"/>
  </r>
  <r>
    <s v="KiwiBank"/>
    <s v="Credit"/>
    <s v="4833-48__-____-1032"/>
    <d v="2023-07-17T00:00:00"/>
    <s v="COUNTDOWN NEWMA/277 BROAD NEWMARKET "/>
    <n v="-8.86"/>
    <x v="0"/>
    <x v="0"/>
    <x v="0"/>
  </r>
  <r>
    <s v="KiwiBank"/>
    <s v="Credit"/>
    <s v="4833-48__-____-1032"/>
    <d v="2023-07-17T00:00:00"/>
    <s v="PAYMENT THANKYOU . "/>
    <n v="0.26"/>
    <x v="1"/>
    <x v="24"/>
    <x v="1"/>
  </r>
  <r>
    <s v="KiwiBank"/>
    <s v="Credit"/>
    <s v="4833-48__-____-1032"/>
    <d v="2023-07-17T00:00:00"/>
    <s v="PAYMENT THANKYOU . "/>
    <n v="53.92"/>
    <x v="1"/>
    <x v="24"/>
    <x v="1"/>
  </r>
  <r>
    <s v="KiwiBank"/>
    <s v="Credit"/>
    <s v="4833-48__-____-1032"/>
    <d v="2023-07-17T00:00:00"/>
    <s v="PAYMENT THANKYOU . "/>
    <n v="91.4"/>
    <x v="1"/>
    <x v="24"/>
    <x v="1"/>
  </r>
  <r>
    <s v="KiwiBank"/>
    <s v="Credit"/>
    <s v="4833-48__-____-1032"/>
    <d v="2023-07-17T00:00:00"/>
    <s v="GLENGARRY WINES AUCKLAND "/>
    <n v="-42.23"/>
    <x v="3"/>
    <x v="3"/>
    <x v="34"/>
  </r>
  <r>
    <s v="KiwiBank"/>
    <s v="Credit"/>
    <s v="4833-48__-____-1032"/>
    <d v="2023-07-17T00:00:00"/>
    <s v="NEW WORLD VICTORIA PARK AUCKLAND "/>
    <n v="-1.67"/>
    <x v="0"/>
    <x v="0"/>
    <x v="0"/>
  </r>
  <r>
    <s v="KiwiBank"/>
    <s v="Credit"/>
    <s v="4833-48__-____-1032"/>
    <d v="2023-07-19T00:00:00"/>
    <s v="AIA NEW ZEALAND AUCKLAND "/>
    <n v="-64.33"/>
    <x v="3"/>
    <x v="6"/>
    <x v="6"/>
  </r>
  <r>
    <s v="KiwiBank"/>
    <s v="Credit"/>
    <s v="4833-48__-____-1032"/>
    <d v="2023-07-19T00:00:00"/>
    <s v="PAYMENT THANKYOU . "/>
    <n v="7.88"/>
    <x v="1"/>
    <x v="24"/>
    <x v="1"/>
  </r>
  <r>
    <s v="KiwiBank"/>
    <s v="Credit"/>
    <s v="4833-48__-____-1032"/>
    <d v="2023-07-24T00:00:00"/>
    <s v="SKINNY AUCKLAND "/>
    <n v="-4.74"/>
    <x v="7"/>
    <x v="10"/>
    <x v="10"/>
  </r>
  <r>
    <s v="KiwiBank"/>
    <s v="Credit"/>
    <s v="4833-48__-____-1032"/>
    <d v="2023-07-21T00:00:00"/>
    <s v="PAYMENT THANKYOU . "/>
    <n v="8.2100000000000009"/>
    <x v="1"/>
    <x v="24"/>
    <x v="1"/>
  </r>
  <r>
    <s v="KiwiBank"/>
    <s v="Credit"/>
    <s v="4833-48__-____-1032"/>
    <d v="2023-07-21T00:00:00"/>
    <s v="TOWER INSURANCE - EIS 093692079 "/>
    <n v="-191.85"/>
    <x v="4"/>
    <x v="11"/>
    <x v="11"/>
  </r>
  <r>
    <s v="KiwiBank"/>
    <s v="Credit"/>
    <s v="4833-48__-____-1032"/>
    <d v="2023-07-21T00:00:00"/>
    <s v="TOWER INSURANCE - EIS 093692079 "/>
    <n v="-24.68"/>
    <x v="2"/>
    <x v="33"/>
    <x v="49"/>
  </r>
  <r>
    <s v="KiwiBank"/>
    <s v="Credit"/>
    <s v="4833-48__-____-1032"/>
    <d v="2023-07-21T00:00:00"/>
    <s v="TOWER INSURANCE - EIS 093692079 "/>
    <n v="-88.61"/>
    <x v="12"/>
    <x v="33"/>
    <x v="49"/>
  </r>
  <r>
    <s v="KiwiBank"/>
    <s v="Credit"/>
    <s v="4833-48__-____-1032"/>
    <d v="2023-07-21T00:00:00"/>
    <s v="DBS*Jetts Remuera North Harbour "/>
    <n v="-9.0299999999999994"/>
    <x v="3"/>
    <x v="14"/>
    <x v="17"/>
  </r>
  <r>
    <s v="KiwiBank"/>
    <s v="Credit"/>
    <s v="4833-48__-____-1032"/>
    <d v="2023-07-20T00:00:00"/>
    <s v="PAYMENT THANKYOU . "/>
    <n v="42.65"/>
    <x v="1"/>
    <x v="24"/>
    <x v="1"/>
  </r>
  <r>
    <s v="KiwiBank"/>
    <s v="Credit"/>
    <s v="4833-48__-____-1032"/>
    <d v="2023-07-21T00:00:00"/>
    <s v="PAYMENT THANKYOU . "/>
    <n v="25.03"/>
    <x v="1"/>
    <x v="24"/>
    <x v="1"/>
  </r>
  <r>
    <s v="KiwiBank"/>
    <s v="Credit"/>
    <s v="4833-48__-____-1032"/>
    <d v="2023-07-24T00:00:00"/>
    <s v="PAYMENT THANKYOU . "/>
    <n v="1.96"/>
    <x v="1"/>
    <x v="24"/>
    <x v="1"/>
  </r>
  <r>
    <s v="KiwiBank"/>
    <s v="Credit"/>
    <s v="4833-48__-____-1032"/>
    <d v="2023-07-24T00:00:00"/>
    <s v="PAYMENT THANKYOU . "/>
    <n v="258.25"/>
    <x v="1"/>
    <x v="24"/>
    <x v="1"/>
  </r>
  <r>
    <s v="KiwiBank"/>
    <s v="Credit"/>
    <s v="4833-48__-____-1032"/>
    <d v="2023-07-24T00:00:00"/>
    <s v="PAK N SAVE SYLVIA PARK AUCKLAND "/>
    <n v="-32.33"/>
    <x v="0"/>
    <x v="0"/>
    <x v="0"/>
  </r>
  <r>
    <s v="KiwiBank"/>
    <s v="Credit"/>
    <s v="4833-48__-____-1032"/>
    <d v="2023-07-24T00:00:00"/>
    <s v="SKINNY AUCKLAND "/>
    <n v="-7.32"/>
    <x v="7"/>
    <x v="10"/>
    <x v="10"/>
  </r>
  <r>
    <s v="KiwiBank"/>
    <s v="Credit"/>
    <s v="4833-48__-____-1032"/>
    <d v="2023-07-24T00:00:00"/>
    <s v="HESARISUPERMARKETPANMURE AUCKLAND "/>
    <n v="-3.86"/>
    <x v="0"/>
    <x v="0"/>
    <x v="0"/>
  </r>
  <r>
    <s v="KiwiBank"/>
    <s v="Credit"/>
    <s v="4833-48__-____-1032"/>
    <d v="2023-07-24T00:00:00"/>
    <s v="HESARI BAKERY LIMITED AUCKLAND "/>
    <n v="-17.95"/>
    <x v="0"/>
    <x v="0"/>
    <x v="0"/>
  </r>
  <r>
    <s v="KiwiBank"/>
    <s v="Credit"/>
    <s v="4833-48__-____-1032"/>
    <d v="2023-07-24T00:00:00"/>
    <s v="TAIPING ASIAN SUPERMARKET AUCKLAND "/>
    <n v="-9.4"/>
    <x v="0"/>
    <x v="0"/>
    <x v="0"/>
  </r>
  <r>
    <s v="KiwiBank"/>
    <s v="Credit"/>
    <s v="4833-48__-____-1032"/>
    <d v="2023-07-25T00:00:00"/>
    <s v="VICTORY CHRISTIAN CHURCH AUCKLAND "/>
    <n v="-20.79"/>
    <x v="6"/>
    <x v="9"/>
    <x v="21"/>
  </r>
  <r>
    <s v="KiwiBank"/>
    <s v="Credit"/>
    <s v="4833-48__-____-1032"/>
    <d v="2023-07-26T00:00:00"/>
    <s v="UBER   *TRIP HELP.UBER.COM "/>
    <n v="-15.36"/>
    <x v="6"/>
    <x v="9"/>
    <x v="33"/>
  </r>
  <r>
    <s v="KiwiBank"/>
    <s v="Credit"/>
    <s v="4833-48__-____-1032"/>
    <d v="2023-07-25T00:00:00"/>
    <s v="PAYMENT THANKYOU . "/>
    <n v="25.37"/>
    <x v="1"/>
    <x v="24"/>
    <x v="1"/>
  </r>
  <r>
    <s v="KiwiBank"/>
    <s v="Credit"/>
    <s v="4833-48__-____-1032"/>
    <d v="2023-07-25T00:00:00"/>
    <s v="LE PETITE FOURCHETTE AUCKLAND "/>
    <n v="-5.05"/>
    <x v="0"/>
    <x v="0"/>
    <x v="0"/>
  </r>
  <r>
    <s v="KiwiBank"/>
    <s v="Credit"/>
    <s v="4833-48__-____-1032"/>
    <d v="2023-07-27T00:00:00"/>
    <s v="PAK N SAVE SYLVIA PARK AUCKLAND "/>
    <n v="-45.06"/>
    <x v="0"/>
    <x v="0"/>
    <x v="0"/>
  </r>
  <r>
    <s v="KiwiBank"/>
    <s v="Credit"/>
    <s v="4833-48__-____-1032"/>
    <d v="2023-07-27T00:00:00"/>
    <s v="JAPAN MART SYLVIA PARK AUCKLAND "/>
    <n v="-33.29"/>
    <x v="0"/>
    <x v="0"/>
    <x v="0"/>
  </r>
  <r>
    <s v="KiwiBank"/>
    <s v="Credit"/>
    <s v="4833-48__-____-1032"/>
    <d v="2023-07-27T00:00:00"/>
    <s v="KMART AUCKLAND "/>
    <n v="-13.38"/>
    <x v="4"/>
    <x v="12"/>
    <x v="12"/>
  </r>
  <r>
    <s v="KiwiBank"/>
    <s v="Credit"/>
    <s v="4833-48__-____-1032"/>
    <d v="2023-07-27T00:00:00"/>
    <s v="JACQUI E I51 MT WELLINGTON "/>
    <n v="-22.05"/>
    <x v="9"/>
    <x v="18"/>
    <x v="30"/>
  </r>
  <r>
    <s v="KiwiBank"/>
    <s v="Credit"/>
    <s v="4833-48__-____-1032"/>
    <d v="2023-07-26T00:00:00"/>
    <s v="PAYMENT THANKYOU . "/>
    <n v="52.28"/>
    <x v="1"/>
    <x v="24"/>
    <x v="1"/>
  </r>
  <r>
    <s v="KiwiBank"/>
    <s v="Credit"/>
    <s v="4833-48__-____-1032"/>
    <d v="2023-07-28T00:00:00"/>
    <s v="DBS*Jetts Remuera North Harbour "/>
    <n v="-5.0999999999999996"/>
    <x v="3"/>
    <x v="14"/>
    <x v="17"/>
  </r>
  <r>
    <s v="KiwiBank"/>
    <s v="Credit"/>
    <s v="4833-48__-____-1032"/>
    <d v="2023-07-31T00:00:00"/>
    <s v="FOREIGN CURRENCY TXN FEE  "/>
    <n v="-0.18"/>
    <x v="5"/>
    <x v="7"/>
    <x v="7"/>
  </r>
  <r>
    <s v="KiwiBank"/>
    <s v="Credit"/>
    <s v="4833-48__-____-1032"/>
    <d v="2023-07-31T00:00:00"/>
    <s v="CURRENCY CONV ASSESSMENT  "/>
    <n v="-0.17"/>
    <x v="5"/>
    <x v="7"/>
    <x v="7"/>
  </r>
  <r>
    <s v="KiwiBank"/>
    <s v="Credit"/>
    <s v="4833-48__-____-1032"/>
    <d v="2023-07-31T00:00:00"/>
    <s v="US MOBILE* US MOBILE WWW.USMOBILE. NY;8.57 US DOLLAR  $ at 0.6174"/>
    <n v="-10.1"/>
    <x v="7"/>
    <x v="13"/>
    <x v="15"/>
  </r>
  <r>
    <s v="KiwiBank"/>
    <s v="Credit"/>
    <s v="4833-48__-____-1032"/>
    <d v="2023-07-28T00:00:00"/>
    <s v="PAYMENT THANKYOU . "/>
    <n v="0.26"/>
    <x v="1"/>
    <x v="24"/>
    <x v="1"/>
  </r>
  <r>
    <s v="KiwiBank"/>
    <s v="Credit"/>
    <s v="4833-48__-____-1032"/>
    <d v="2023-07-31T00:00:00"/>
    <s v="PAYMENT THANKYOU . "/>
    <n v="17.850000000000001"/>
    <x v="1"/>
    <x v="24"/>
    <x v="1"/>
  </r>
  <r>
    <s v="KiwiBank"/>
    <s v="Credit"/>
    <s v="4833-48__-____-1032"/>
    <d v="2023-07-31T00:00:00"/>
    <s v="PAYMENT THANKYOU . "/>
    <n v="62.79"/>
    <x v="1"/>
    <x v="24"/>
    <x v="1"/>
  </r>
  <r>
    <s v="KiwiBank"/>
    <s v="Credit"/>
    <s v="4833-48__-____-1032"/>
    <d v="2023-07-31T00:00:00"/>
    <s v="Kings Plant Barn Mount Welling "/>
    <n v="-78.62"/>
    <x v="4"/>
    <x v="12"/>
    <x v="12"/>
  </r>
  <r>
    <s v="KiwiBank"/>
    <s v="Credit"/>
    <s v="4833-48__-____-1032"/>
    <d v="2023-07-31T00:00:00"/>
    <s v="GULL MARUA ROAD AUCKLAND "/>
    <n v="-111.65"/>
    <x v="6"/>
    <x v="9"/>
    <x v="14"/>
  </r>
  <r>
    <s v="KiwiBank"/>
    <s v="Credit"/>
    <s v="4833-48__-____-1032"/>
    <d v="2023-07-31T00:00:00"/>
    <s v="MITRE 10 MEGA MT WTGN MOUNT WELLING "/>
    <n v="-16.96"/>
    <x v="4"/>
    <x v="12"/>
    <x v="12"/>
  </r>
  <r>
    <s v="KiwiBank"/>
    <s v="Credit"/>
    <s v="4833-48__-____-1032"/>
    <d v="2023-07-31T00:00:00"/>
    <s v="PAYMENT THANKYOU . "/>
    <n v="16.03"/>
    <x v="1"/>
    <x v="24"/>
    <x v="1"/>
  </r>
  <r>
    <s v="KiwiBank"/>
    <s v="Credit"/>
    <s v="4833-48__-____-1032"/>
    <d v="2023-07-31T00:00:00"/>
    <s v="PASTRAMI &amp; RYE AUCKLAND "/>
    <n v="-1.06"/>
    <x v="0"/>
    <x v="0"/>
    <x v="0"/>
  </r>
  <r>
    <s v="KiwiBank"/>
    <s v="Credit"/>
    <s v="4833-48__-____-1032"/>
    <d v="2023-08-02T00:00:00"/>
    <s v="PAYMENT THANKYOU . "/>
    <n v="0.39"/>
    <x v="1"/>
    <x v="24"/>
    <x v="1"/>
  </r>
  <r>
    <s v="KiwiBank"/>
    <s v="Credit"/>
    <s v="4833-48__-____-1032"/>
    <d v="2023-08-04T00:00:00"/>
    <s v="PAYMENT THANKYOU . "/>
    <n v="77.650000000000006"/>
    <x v="1"/>
    <x v="24"/>
    <x v="1"/>
  </r>
  <r>
    <s v="KiwiBank"/>
    <s v="Credit"/>
    <s v="4833-48__-____-1032"/>
    <d v="2023-08-04T00:00:00"/>
    <s v="WET &amp; FORGET MT WELLING AUCKLAND "/>
    <n v="-135.36000000000001"/>
    <x v="4"/>
    <x v="12"/>
    <x v="12"/>
  </r>
  <r>
    <s v="KiwiBank"/>
    <s v="Credit"/>
    <s v="4833-48__-____-1032"/>
    <d v="2023-08-04T00:00:00"/>
    <s v="DBS*Jetts Remuera North Harbour "/>
    <n v="-6.82"/>
    <x v="3"/>
    <x v="14"/>
    <x v="17"/>
  </r>
  <r>
    <s v="KiwiBank"/>
    <s v="Credit"/>
    <s v="4833-48__-____-1032"/>
    <d v="2023-08-03T00:00:00"/>
    <s v="Farro Fresh Mt Wellingt Mt Wellington "/>
    <n v="-22.76"/>
    <x v="0"/>
    <x v="0"/>
    <x v="0"/>
  </r>
  <r>
    <s v="KiwiBank"/>
    <s v="Credit"/>
    <s v="4833-48__-____-1032"/>
    <d v="2023-08-07T00:00:00"/>
    <s v="GOODFOR LUNN AVE AUCKLAND "/>
    <n v="-15.51"/>
    <x v="0"/>
    <x v="0"/>
    <x v="0"/>
  </r>
  <r>
    <s v="KiwiBank"/>
    <s v="Credit"/>
    <s v="4833-48__-____-1032"/>
    <d v="2023-08-04T00:00:00"/>
    <s v="PAYMENT THANKYOU . "/>
    <n v="2.57"/>
    <x v="1"/>
    <x v="24"/>
    <x v="1"/>
  </r>
  <r>
    <s v="KiwiBank"/>
    <s v="Credit"/>
    <s v="4833-48__-____-1032"/>
    <d v="2023-08-07T00:00:00"/>
    <s v="APPLE.COM/BILL SYDNEY "/>
    <n v="-0.32"/>
    <x v="7"/>
    <x v="16"/>
    <x v="19"/>
  </r>
  <r>
    <s v="KiwiBank"/>
    <s v="Credit"/>
    <s v="4833-48__-____-1032"/>
    <d v="2023-08-08T00:00:00"/>
    <s v="VICTORY CHRISTIAN CHURCH AUCKLAND "/>
    <n v="-13.63"/>
    <x v="6"/>
    <x v="9"/>
    <x v="21"/>
  </r>
  <r>
    <s v="KiwiBank"/>
    <s v="Credit"/>
    <s v="4833-48__-____-1032"/>
    <d v="2023-08-07T00:00:00"/>
    <s v="PAYMENT THANKYOU . "/>
    <n v="56.24"/>
    <x v="1"/>
    <x v="24"/>
    <x v="1"/>
  </r>
  <r>
    <s v="KiwiBank"/>
    <s v="Credit"/>
    <s v="4833-48__-____-1032"/>
    <d v="2023-08-07T00:00:00"/>
    <s v="PAYMENT THANKYOU . "/>
    <n v="21"/>
    <x v="1"/>
    <x v="24"/>
    <x v="1"/>
  </r>
  <r>
    <s v="KiwiBank"/>
    <s v="Credit"/>
    <s v="4833-48__-____-1032"/>
    <d v="2023-08-07T00:00:00"/>
    <s v="PAYMENT THANKYOU . "/>
    <n v="3.59"/>
    <x v="1"/>
    <x v="24"/>
    <x v="1"/>
  </r>
  <r>
    <s v="KiwiBank"/>
    <s v="Credit"/>
    <s v="4833-48__-____-1032"/>
    <d v="2023-08-07T00:00:00"/>
    <s v="TOWER INSURANCE - EIS 093692079 "/>
    <n v="-57.33"/>
    <x v="4"/>
    <x v="34"/>
    <x v="50"/>
  </r>
  <r>
    <s v="KiwiBank"/>
    <s v="Credit"/>
    <s v="4833-48__-____-1032"/>
    <d v="2023-08-07T00:00:00"/>
    <s v="HESARISUPERMARKETPANMURE AUCKLAND "/>
    <n v="-11.33"/>
    <x v="0"/>
    <x v="0"/>
    <x v="0"/>
  </r>
  <r>
    <s v="KiwiBank"/>
    <s v="Credit"/>
    <s v="4833-48__-____-1032"/>
    <d v="2023-08-07T00:00:00"/>
    <s v="GOODFOR LUNN AVE AUCKLAND "/>
    <n v="-18.28"/>
    <x v="0"/>
    <x v="0"/>
    <x v="0"/>
  </r>
  <r>
    <s v="KiwiBank"/>
    <s v="Credit"/>
    <s v="4833-48__-____-1032"/>
    <d v="2023-08-07T00:00:00"/>
    <s v="TAIPING ASIAN SUPERMARKET AUCKLAND "/>
    <n v="-3.21"/>
    <x v="0"/>
    <x v="0"/>
    <x v="0"/>
  </r>
  <r>
    <s v="KiwiBank"/>
    <s v="Credit"/>
    <s v="4833-48__-____-1032"/>
    <d v="2023-08-09T00:00:00"/>
    <s v="QT AUCKLAND AUCKLAND "/>
    <n v="-27.79"/>
    <x v="3"/>
    <x v="8"/>
    <x v="8"/>
  </r>
  <r>
    <s v="KiwiBank"/>
    <s v="Credit"/>
    <s v="4833-48__-____-1032"/>
    <d v="2023-08-09T00:00:00"/>
    <s v="VICTORY CHRISTIAN CHURCH AUCKLAND "/>
    <n v="-1.4"/>
    <x v="6"/>
    <x v="9"/>
    <x v="21"/>
  </r>
  <r>
    <s v="KiwiBank"/>
    <s v="Credit"/>
    <s v="4833-48__-____-1032"/>
    <d v="2023-08-08T00:00:00"/>
    <s v="Sudima AuckCity Restau Auckland "/>
    <n v="-24.26"/>
    <x v="3"/>
    <x v="8"/>
    <x v="8"/>
  </r>
  <r>
    <s v="KiwiBank"/>
    <s v="Credit"/>
    <s v="4833-48__-____-1032"/>
    <d v="2023-08-08T00:00:00"/>
    <s v="LE PETITE FOURCHETTE AUCKLAND "/>
    <n v="-0.33"/>
    <x v="0"/>
    <x v="0"/>
    <x v="0"/>
  </r>
  <r>
    <s v="KiwiBank"/>
    <s v="Credit"/>
    <s v="4833-48__-____-1032"/>
    <d v="2023-08-08T00:00:00"/>
    <s v="PAYMENT THANKYOU . "/>
    <n v="113.37"/>
    <x v="1"/>
    <x v="24"/>
    <x v="1"/>
  </r>
  <r>
    <s v="KiwiBank"/>
    <s v="Credit"/>
    <s v="4833-48__-____-1032"/>
    <d v="2023-08-11T00:00:00"/>
    <s v="PAK N SAVE SYLVIA PARK AUCKLAND "/>
    <n v="-141.96"/>
    <x v="0"/>
    <x v="0"/>
    <x v="0"/>
  </r>
  <r>
    <s v="KiwiBank"/>
    <s v="Credit"/>
    <s v="4833-48__-____-1032"/>
    <d v="2023-08-11T00:00:00"/>
    <s v="Mecca Sylvia Park Mt Wellington "/>
    <n v="-70.25"/>
    <x v="9"/>
    <x v="29"/>
    <x v="48"/>
  </r>
  <r>
    <s v="KiwiBank"/>
    <s v="Credit"/>
    <s v="4833-48__-____-1032"/>
    <d v="2023-08-11T00:00:00"/>
    <s v="IPPUDO Sylvia Park Mount Welling "/>
    <n v="-57.34"/>
    <x v="3"/>
    <x v="8"/>
    <x v="8"/>
  </r>
  <r>
    <s v="KiwiBank"/>
    <s v="Credit"/>
    <s v="4833-48__-____-1032"/>
    <d v="2023-08-11T00:00:00"/>
    <s v="DBS*Jetts Remuera North Harbour "/>
    <n v="-11.24"/>
    <x v="3"/>
    <x v="14"/>
    <x v="17"/>
  </r>
  <r>
    <s v="KiwiBank"/>
    <s v="Credit"/>
    <s v="4833-48__-____-1032"/>
    <d v="2023-08-10T00:00:00"/>
    <s v="PAYMENT THANKYOU . "/>
    <n v="15.94"/>
    <x v="1"/>
    <x v="24"/>
    <x v="1"/>
  </r>
  <r>
    <s v="KiwiBank"/>
    <s v="Credit"/>
    <s v="4833-48__-____-1032"/>
    <d v="2023-08-11T00:00:00"/>
    <s v="PAYMENT THANKYOU . "/>
    <n v="8.5399999999999991"/>
    <x v="1"/>
    <x v="24"/>
    <x v="1"/>
  </r>
  <r>
    <s v="KiwiBank"/>
    <s v="Credit"/>
    <s v="4833-48__-____-1032"/>
    <d v="2023-08-14T00:00:00"/>
    <s v="PAYMENT THANKYOU . "/>
    <n v="95.21"/>
    <x v="1"/>
    <x v="24"/>
    <x v="1"/>
  </r>
  <r>
    <s v="KiwiBank"/>
    <s v="Credit"/>
    <s v="4833-48__-____-1032"/>
    <d v="2023-08-14T00:00:00"/>
    <s v="SP THEA MATCHA HOWICK "/>
    <n v="-51.43"/>
    <x v="0"/>
    <x v="0"/>
    <x v="0"/>
  </r>
  <r>
    <s v="KiwiBank"/>
    <s v="Credit"/>
    <s v="4833-48__-____-1032"/>
    <d v="2023-08-14T00:00:00"/>
    <s v="PARK HYATT PANTRY AUCKLAND "/>
    <n v="-6.75"/>
    <x v="3"/>
    <x v="8"/>
    <x v="8"/>
  </r>
  <r>
    <s v="KiwiBank"/>
    <s v="Credit"/>
    <s v="4833-48__-____-1032"/>
    <d v="2023-08-14T00:00:00"/>
    <s v="TART BAKERY AUCKLAND "/>
    <n v="-17.8"/>
    <x v="0"/>
    <x v="0"/>
    <x v="0"/>
  </r>
  <r>
    <s v="KiwiBank"/>
    <s v="Credit"/>
    <s v="4833-48__-____-1032"/>
    <d v="2023-08-14T00:00:00"/>
    <s v="AT Parking Auckland "/>
    <n v="-0.03"/>
    <x v="6"/>
    <x v="9"/>
    <x v="21"/>
  </r>
  <r>
    <s v="KiwiBank"/>
    <s v="Credit"/>
    <s v="4833-48__-____-1032"/>
    <d v="2023-08-14T00:00:00"/>
    <s v="PAYMENT THANKYOU . "/>
    <n v="139.57"/>
    <x v="1"/>
    <x v="24"/>
    <x v="1"/>
  </r>
  <r>
    <s v="KiwiBank"/>
    <s v="Credit"/>
    <s v="4833-48__-____-1032"/>
    <d v="2023-08-14T00:00:00"/>
    <s v="KMART ONLINE AUCKLAND "/>
    <n v="-61.38"/>
    <x v="4"/>
    <x v="12"/>
    <x v="12"/>
  </r>
  <r>
    <s v="KiwiBank"/>
    <s v="Credit"/>
    <s v="4833-48__-____-1032"/>
    <d v="2023-08-14T00:00:00"/>
    <s v="TSUJIRI AUCKLAND "/>
    <n v="-66.569999999999993"/>
    <x v="0"/>
    <x v="0"/>
    <x v="0"/>
  </r>
  <r>
    <s v="KiwiBank"/>
    <s v="Credit"/>
    <s v="4833-48__-____-1032"/>
    <d v="2023-08-14T00:00:00"/>
    <s v="COUNTDOWN NEWMA/277 BROAD NEWMARKET "/>
    <n v="-2.78"/>
    <x v="0"/>
    <x v="0"/>
    <x v="0"/>
  </r>
  <r>
    <s v="KiwiBank"/>
    <s v="Credit"/>
    <s v="4833-48__-____-1032"/>
    <d v="2023-08-14T00:00:00"/>
    <s v="CW Wstfield Newmarket Auckland "/>
    <n v="-5.79"/>
    <x v="9"/>
    <x v="18"/>
    <x v="30"/>
  </r>
  <r>
    <s v="KiwiBank"/>
    <s v="Credit"/>
    <s v="4833-48__-____-1032"/>
    <d v="2023-08-17T00:00:00"/>
    <s v="AIA NEW ZEALAND AUCKLAND "/>
    <n v="-91.92"/>
    <x v="3"/>
    <x v="6"/>
    <x v="6"/>
  </r>
  <r>
    <s v="KiwiBank"/>
    <s v="Credit"/>
    <s v="4833-48__-____-1032"/>
    <d v="2023-08-15T00:00:00"/>
    <s v="SP THEA MATCHA HOWICK "/>
    <n v="33.11"/>
    <x v="0"/>
    <x v="0"/>
    <x v="0"/>
  </r>
  <r>
    <s v="KiwiBank"/>
    <s v="Credit"/>
    <s v="4833-48__-____-1032"/>
    <d v="2023-08-14T00:00:00"/>
    <s v="PAYMENT THANKYOU . "/>
    <n v="4.6900000000000004"/>
    <x v="1"/>
    <x v="24"/>
    <x v="1"/>
  </r>
  <r>
    <s v="KiwiBank"/>
    <s v="Credit"/>
    <s v="4833-48__-____-1032"/>
    <d v="2023-08-18T00:00:00"/>
    <s v="AUCKLAND STADIUM AUCKLAND "/>
    <n v="-48.26"/>
    <x v="3"/>
    <x v="8"/>
    <x v="8"/>
  </r>
  <r>
    <s v="KiwiBank"/>
    <s v="Credit"/>
    <s v="4833-48__-____-1032"/>
    <d v="2023-08-18T00:00:00"/>
    <s v="VICTORY CHRISTIAN CHURCH AUCKLAND "/>
    <n v="-14.41"/>
    <x v="6"/>
    <x v="9"/>
    <x v="21"/>
  </r>
  <r>
    <s v="KiwiBank"/>
    <s v="Credit"/>
    <s v="4833-48__-____-1032"/>
    <d v="2023-08-18T00:00:00"/>
    <s v="AUCKLAND STADIUM AUCKLAND "/>
    <n v="-9.1"/>
    <x v="3"/>
    <x v="8"/>
    <x v="8"/>
  </r>
  <r>
    <s v="KiwiBank"/>
    <s v="Credit"/>
    <s v="4833-48__-____-1032"/>
    <d v="2023-08-18T00:00:00"/>
    <s v="PAYMENT THANKYOU . "/>
    <n v="0.06"/>
    <x v="1"/>
    <x v="24"/>
    <x v="1"/>
  </r>
  <r>
    <s v="KiwiBank"/>
    <s v="Credit"/>
    <s v="4833-48__-____-1032"/>
    <d v="2023-08-21T00:00:00"/>
    <s v="PAYMENT THANKYOU . "/>
    <n v="267.37"/>
    <x v="1"/>
    <x v="24"/>
    <x v="1"/>
  </r>
  <r>
    <s v="KiwiBank"/>
    <s v="Credit"/>
    <s v="4833-48__-____-1032"/>
    <d v="2023-08-21T00:00:00"/>
    <s v="Chemist Warehouse NZ Onli Auckland "/>
    <n v="-115.44"/>
    <x v="0"/>
    <x v="0"/>
    <x v="0"/>
  </r>
  <r>
    <s v="KiwiBank"/>
    <s v="Credit"/>
    <s v="4833-48__-____-1032"/>
    <d v="2023-08-21T00:00:00"/>
    <s v="COUNTDOWN GREEN/326 GREAT GREENLANE "/>
    <n v="-62.91"/>
    <x v="0"/>
    <x v="0"/>
    <x v="0"/>
  </r>
  <r>
    <s v="KiwiBank"/>
    <s v="Credit"/>
    <s v="4833-48__-____-1032"/>
    <d v="2023-08-21T00:00:00"/>
    <s v="DBS*Jetts Remuera Auckland "/>
    <n v="-14.54"/>
    <x v="3"/>
    <x v="14"/>
    <x v="17"/>
  </r>
  <r>
    <s v="KiwiBank"/>
    <s v="Credit"/>
    <s v="4833-48__-____-1032"/>
    <d v="2023-08-21T00:00:00"/>
    <s v="PAYMENT THANKYOU . "/>
    <n v="195.85"/>
    <x v="1"/>
    <x v="24"/>
    <x v="1"/>
  </r>
  <r>
    <s v="KiwiBank"/>
    <s v="Credit"/>
    <s v="4833-48__-____-1032"/>
    <d v="2023-08-21T00:00:00"/>
    <s v="PAYMENT THANKYOU . "/>
    <n v="0.34"/>
    <x v="1"/>
    <x v="24"/>
    <x v="1"/>
  </r>
  <r>
    <s v="KiwiBank"/>
    <s v="Credit"/>
    <s v="4833-48__-____-1032"/>
    <d v="2023-08-21T00:00:00"/>
    <s v="PAYMENT THANKYOU . "/>
    <n v="41.12"/>
    <x v="1"/>
    <x v="24"/>
    <x v="1"/>
  </r>
  <r>
    <s v="KiwiBank"/>
    <s v="Credit"/>
    <s v="4833-48__-____-1032"/>
    <d v="2023-08-21T00:00:00"/>
    <s v="TOWER INSURANCE - EIS 093692079 "/>
    <n v="-158.22"/>
    <x v="4"/>
    <x v="11"/>
    <x v="11"/>
  </r>
  <r>
    <s v="KiwiBank"/>
    <s v="Credit"/>
    <s v="4833-48__-____-1032"/>
    <d v="2023-08-21T00:00:00"/>
    <s v="TOWER INSURANCE - EIS 093692079 "/>
    <n v="-49.69"/>
    <x v="2"/>
    <x v="33"/>
    <x v="49"/>
  </r>
  <r>
    <s v="KiwiBank"/>
    <s v="Credit"/>
    <s v="4833-48__-____-1032"/>
    <d v="2023-08-21T00:00:00"/>
    <s v="TOWER INSURANCE - EIS 093692079 "/>
    <n v="-25.11"/>
    <x v="12"/>
    <x v="33"/>
    <x v="49"/>
  </r>
  <r>
    <s v="KiwiBank"/>
    <s v="Credit"/>
    <s v="4833-48__-____-1032"/>
    <d v="2023-08-21T00:00:00"/>
    <s v="COUNTDOWN NEWMA/277 BROAD NEWMARKET "/>
    <n v="-12.38"/>
    <x v="0"/>
    <x v="0"/>
    <x v="0"/>
  </r>
  <r>
    <s v="KiwiBank"/>
    <s v="Credit"/>
    <s v="4833-48__-____-1032"/>
    <d v="2023-08-21T00:00:00"/>
    <s v="PAGANI NEWMARKET "/>
    <n v="-14.36"/>
    <x v="9"/>
    <x v="18"/>
    <x v="30"/>
  </r>
  <r>
    <s v="KiwiBank"/>
    <s v="Credit"/>
    <s v="4833-48__-____-1032"/>
    <d v="2023-08-21T00:00:00"/>
    <s v="VICTORY CHRISTIAN CHURCH AUCKLAND "/>
    <n v="-25.29"/>
    <x v="6"/>
    <x v="9"/>
    <x v="21"/>
  </r>
  <r>
    <s v="KiwiBank"/>
    <s v="Credit"/>
    <s v="4833-48__-____-1032"/>
    <d v="2023-08-21T00:00:00"/>
    <s v="FOREIGN CURRENCY TXN FEE  "/>
    <n v="-0.08"/>
    <x v="5"/>
    <x v="7"/>
    <x v="7"/>
  </r>
  <r>
    <s v="KiwiBank"/>
    <s v="Credit"/>
    <s v="4833-48__-____-1032"/>
    <d v="2023-08-21T00:00:00"/>
    <s v="CURRENCY CONV ASSESSMENT  "/>
    <n v="-0.05"/>
    <x v="5"/>
    <x v="7"/>
    <x v="7"/>
  </r>
  <r>
    <s v="KiwiBank"/>
    <s v="Credit"/>
    <s v="4833-48__-____-1032"/>
    <d v="2023-08-21T00:00:00"/>
    <s v="eBay O*16-10431-30868 Toronto ON;8.69 CANADIAN DOLLAR at 0.7987"/>
    <n v="-1.63"/>
    <x v="9"/>
    <x v="18"/>
    <x v="22"/>
  </r>
  <r>
    <s v="KiwiBank"/>
    <s v="Credit"/>
    <s v="4833-48__-____-1032"/>
    <d v="2023-08-21T00:00:00"/>
    <s v="Tai Ping Newmarket Auckland "/>
    <n v="-2.42"/>
    <x v="0"/>
    <x v="0"/>
    <x v="0"/>
  </r>
  <r>
    <s v="KiwiBank"/>
    <s v="Credit"/>
    <s v="4833-48__-____-1032"/>
    <d v="2023-08-23T00:00:00"/>
    <s v="PAYMENT THANKYOU . "/>
    <n v="0.16"/>
    <x v="1"/>
    <x v="24"/>
    <x v="1"/>
  </r>
  <r>
    <s v="KiwiBank"/>
    <s v="Credit"/>
    <s v="4833-48__-____-1032"/>
    <d v="2023-08-31T00:00:00"/>
    <s v="FOREIGN CURRENCY TXN FEE  "/>
    <n v="-0.06"/>
    <x v="5"/>
    <x v="7"/>
    <x v="7"/>
  </r>
  <r>
    <s v="KiwiBank"/>
    <s v="Credit"/>
    <s v="4833-48__-____-1032"/>
    <d v="2023-08-31T00:00:00"/>
    <s v="CURRENCY CONV ASSESSMENT  "/>
    <n v="-0.14000000000000001"/>
    <x v="5"/>
    <x v="7"/>
    <x v="7"/>
  </r>
  <r>
    <s v="KiwiBank"/>
    <s v="Credit"/>
    <s v="4833-48__-____-1032"/>
    <d v="2023-08-31T00:00:00"/>
    <s v="US MOBILE* US MOBILE WWW.USMOBILE. NY;8.57 US DOLLAR  $ at 0.5882"/>
    <n v="-18.809999999999999"/>
    <x v="7"/>
    <x v="13"/>
    <x v="15"/>
  </r>
  <r>
    <s v="KiwiBank"/>
    <s v="Credit"/>
    <s v="4833-48__-____-1032"/>
    <d v="2023-08-30T00:00:00"/>
    <s v="COUNTDOWN HALSE/100 HALSE HALSEY STREET "/>
    <n v="-3.77"/>
    <x v="0"/>
    <x v="0"/>
    <x v="0"/>
  </r>
  <r>
    <s v="KiwiBank"/>
    <s v="Credit"/>
    <s v="4833-48__-____-1032"/>
    <d v="2023-08-31T00:00:00"/>
    <s v="PAYMENT THANKYOU . "/>
    <n v="0.32"/>
    <x v="1"/>
    <x v="24"/>
    <x v="1"/>
  </r>
  <r>
    <s v="KiwiBank"/>
    <s v="Credit"/>
    <s v="4833-48__-____-1032"/>
    <d v="2023-09-04T00:00:00"/>
    <s v="TRYBOOKING* DP ENTERTA AUCKLAND "/>
    <n v="-207.36"/>
    <x v="3"/>
    <x v="3"/>
    <x v="3"/>
  </r>
  <r>
    <s v="KiwiBank"/>
    <s v="Credit"/>
    <s v="4833-48__-____-1032"/>
    <d v="2023-09-01T00:00:00"/>
    <s v="PAYMENT THANKYOU . "/>
    <n v="0.1"/>
    <x v="1"/>
    <x v="24"/>
    <x v="1"/>
  </r>
  <r>
    <s v="KiwiBank"/>
    <s v="Credit"/>
    <s v="4833-48__-____-1032"/>
    <d v="2023-09-04T00:00:00"/>
    <s v="PAYMENT THANKYOU . "/>
    <n v="372.2"/>
    <x v="1"/>
    <x v="24"/>
    <x v="1"/>
  </r>
  <r>
    <s v="KiwiBank"/>
    <s v="Credit"/>
    <s v="4833-48__-____-1032"/>
    <d v="2023-09-04T00:00:00"/>
    <s v="PAYMENT THANKYOU . "/>
    <n v="7.66"/>
    <x v="1"/>
    <x v="24"/>
    <x v="1"/>
  </r>
  <r>
    <s v="KiwiBank"/>
    <s v="Credit"/>
    <s v="4833-48__-____-1032"/>
    <d v="2023-09-04T00:00:00"/>
    <s v="MAISON DES LYS AUCKLAND "/>
    <n v="-4.09"/>
    <x v="0"/>
    <x v="0"/>
    <x v="0"/>
  </r>
  <r>
    <s v="KiwiBank"/>
    <s v="Credit"/>
    <s v="4833-48__-____-1032"/>
    <d v="2023-09-04T00:00:00"/>
    <s v="PAYMENT THANKYOU . "/>
    <n v="108.67"/>
    <x v="1"/>
    <x v="24"/>
    <x v="1"/>
  </r>
  <r>
    <s v="KiwiBank"/>
    <s v="Credit"/>
    <s v="4833-48__-____-1032"/>
    <d v="2023-09-04T00:00:00"/>
    <s v="BAT (NEW ZEALAND) LIMITED VENDOR_INVOIC "/>
    <n v="-68.900000000000006"/>
    <x v="3"/>
    <x v="3"/>
    <x v="28"/>
  </r>
  <r>
    <s v="KiwiBank"/>
    <s v="Credit"/>
    <s v="4833-48__-____-1032"/>
    <d v="2023-09-05T00:00:00"/>
    <s v="Watercare Online Remuera "/>
    <n v="-1.04"/>
    <x v="4"/>
    <x v="4"/>
    <x v="4"/>
  </r>
  <r>
    <s v="KiwiBank"/>
    <s v="Credit"/>
    <s v="4833-48__-____-1032"/>
    <d v="2023-09-05T00:00:00"/>
    <s v="Watercare Services Ltd Remuera "/>
    <n v="-0.04"/>
    <x v="4"/>
    <x v="4"/>
    <x v="4"/>
  </r>
  <r>
    <s v="KiwiBank"/>
    <s v="Credit"/>
    <s v="4833-48__-____-1032"/>
    <d v="2023-09-07T00:00:00"/>
    <s v="APPLE.COM/BILL SYDNEY "/>
    <n v="-21.71"/>
    <x v="7"/>
    <x v="16"/>
    <x v="19"/>
  </r>
  <r>
    <s v="KiwiBank"/>
    <s v="Credit"/>
    <s v="4833-48__-____-1032"/>
    <d v="2023-09-05T00:00:00"/>
    <s v="PAYMENT THANKYOU . "/>
    <n v="22.3"/>
    <x v="1"/>
    <x v="24"/>
    <x v="1"/>
  </r>
  <r>
    <s v="KiwiBank"/>
    <s v="Credit"/>
    <s v="4833-48__-____-1032"/>
    <d v="2023-09-07T00:00:00"/>
    <s v="TOWER INSURANCE - EIS 093692079 "/>
    <n v="-474.67"/>
    <x v="8"/>
    <x v="15"/>
    <x v="18"/>
  </r>
  <r>
    <s v="KiwiBank"/>
    <s v="Credit"/>
    <s v="4833-48__-____-1032"/>
    <d v="2023-09-07T00:00:00"/>
    <s v="TOWER INSURANCE - EIS 093692079 "/>
    <n v="-1.18"/>
    <x v="4"/>
    <x v="34"/>
    <x v="50"/>
  </r>
  <r>
    <s v="KiwiBank"/>
    <s v="Credit"/>
    <s v="4833-48__-____-1032"/>
    <d v="2023-09-08T00:00:00"/>
    <s v="PAYMENT THANKYOU . "/>
    <n v="1591.66"/>
    <x v="1"/>
    <x v="24"/>
    <x v="1"/>
  </r>
  <r>
    <s v="KiwiBank"/>
    <s v="Credit"/>
    <s v="4833-48__-____-1032"/>
    <d v="2023-09-11T00:00:00"/>
    <s v="VIATOR LONDON "/>
    <n v="-118.55"/>
    <x v="3"/>
    <x v="8"/>
    <x v="8"/>
  </r>
  <r>
    <s v="KiwiBank"/>
    <s v="Credit"/>
    <s v="4833-48__-____-1032"/>
    <d v="2023-09-11T00:00:00"/>
    <s v="RUAPEHU ALPINE LIFTS LTD MT RUAPEHU "/>
    <n v="-213.8"/>
    <x v="3"/>
    <x v="3"/>
    <x v="3"/>
  </r>
  <r>
    <s v="KiwiBank"/>
    <s v="Credit"/>
    <s v="4833-48__-____-1032"/>
    <d v="2023-09-11T00:00:00"/>
    <s v="RUAPEHU ALPINE LIFTS LTD MT RUAPEHU "/>
    <n v="-13.81"/>
    <x v="3"/>
    <x v="3"/>
    <x v="3"/>
  </r>
  <r>
    <s v="KiwiBank"/>
    <s v="Credit"/>
    <s v="4833-48__-____-1032"/>
    <d v="2023-09-11T00:00:00"/>
    <s v="RUAPEHU ALPINE LIFTS LTD MT RUAPEHU "/>
    <n v="-2.31"/>
    <x v="3"/>
    <x v="3"/>
    <x v="3"/>
  </r>
  <r>
    <s v="KiwiBank"/>
    <s v="Credit"/>
    <s v="4833-48__-____-1032"/>
    <d v="2023-09-11T00:00:00"/>
    <s v="RUAPEHU ALPINE LIFTS LTD MT RUAPEHU "/>
    <n v="-16.78"/>
    <x v="3"/>
    <x v="3"/>
    <x v="3"/>
  </r>
  <r>
    <s v="KiwiBank"/>
    <s v="Credit"/>
    <s v="4833-48__-____-1032"/>
    <d v="2023-09-08T00:00:00"/>
    <s v="PAYMENT THANKYOU . "/>
    <n v="278.37"/>
    <x v="1"/>
    <x v="24"/>
    <x v="1"/>
  </r>
  <r>
    <s v="KiwiBank"/>
    <s v="Credit"/>
    <s v="4833-48__-____-1032"/>
    <d v="2023-09-11T00:00:00"/>
    <s v="WAIRAKEI TERRACES TAUPO "/>
    <n v="1.51"/>
    <x v="0"/>
    <x v="0"/>
    <x v="0"/>
  </r>
  <r>
    <s v="KiwiBank"/>
    <s v="Credit"/>
    <s v="4833-48__-____-1032"/>
    <d v="2023-09-11T00:00:00"/>
    <s v="PAYMENT THANKYOU . "/>
    <n v="43.89"/>
    <x v="1"/>
    <x v="24"/>
    <x v="1"/>
  </r>
  <r>
    <s v="KiwiBank"/>
    <s v="Credit"/>
    <s v="4833-48__-____-1032"/>
    <d v="2023-09-11T00:00:00"/>
    <s v="PAYMENT THANKYOU . "/>
    <n v="704.59"/>
    <x v="1"/>
    <x v="24"/>
    <x v="1"/>
  </r>
  <r>
    <s v="KiwiBank"/>
    <s v="Credit"/>
    <s v="4833-48__-____-1032"/>
    <d v="2023-09-11T00:00:00"/>
    <s v="MARRAM COMMUNITY TRUST WELLINGTON "/>
    <n v="-368.71"/>
    <x v="3"/>
    <x v="6"/>
    <x v="6"/>
  </r>
  <r>
    <s v="KiwiBank"/>
    <s v="Credit"/>
    <s v="4833-48__-____-1032"/>
    <d v="2023-09-11T00:00:00"/>
    <s v="MARRAM COMMUNITY TRUST WELLINGTON "/>
    <n v="-60.05"/>
    <x v="3"/>
    <x v="6"/>
    <x v="6"/>
  </r>
  <r>
    <s v="KiwiBank"/>
    <s v="Credit"/>
    <s v="4833-48__-____-1032"/>
    <d v="2023-09-11T00:00:00"/>
    <s v="WAIRAKEI TERRACES TAUPO "/>
    <n v="-82.83"/>
    <x v="3"/>
    <x v="8"/>
    <x v="8"/>
  </r>
  <r>
    <s v="KiwiBank"/>
    <s v="Credit"/>
    <s v="4833-48__-____-1032"/>
    <d v="2023-09-11T00:00:00"/>
    <s v="CRATERS OF THE MOON TR TAUPO "/>
    <n v="-2.2599999999999998"/>
    <x v="3"/>
    <x v="6"/>
    <x v="6"/>
  </r>
  <r>
    <s v="KiwiBank"/>
    <s v="Credit"/>
    <s v="4833-48__-____-1032"/>
    <d v="2023-09-11T00:00:00"/>
    <s v="COUNTDOWN TAUPO/SPA ROAD TAUPO "/>
    <n v="-37.01"/>
    <x v="0"/>
    <x v="0"/>
    <x v="0"/>
  </r>
  <r>
    <s v="KiwiBank"/>
    <s v="Credit"/>
    <s v="4833-48__-____-1032"/>
    <d v="2023-09-11T00:00:00"/>
    <s v="PAYMENT THANKYOU . "/>
    <n v="0.2"/>
    <x v="1"/>
    <x v="24"/>
    <x v="1"/>
  </r>
  <r>
    <s v="KiwiBank"/>
    <s v="Credit"/>
    <s v="4833-48__-____-1032"/>
    <d v="2023-09-11T00:00:00"/>
    <s v="PAYMENT THANKYOU . "/>
    <n v="41.82"/>
    <x v="1"/>
    <x v="24"/>
    <x v="1"/>
  </r>
  <r>
    <s v="KiwiBank"/>
    <s v="Credit"/>
    <s v="4833-48__-____-1032"/>
    <d v="2023-09-11T00:00:00"/>
    <s v="PAYMENT THANKYOU . "/>
    <n v="117.68"/>
    <x v="1"/>
    <x v="24"/>
    <x v="1"/>
  </r>
  <r>
    <s v="KiwiBank"/>
    <s v="Credit"/>
    <s v="4833-48__-____-1032"/>
    <d v="2023-09-11T00:00:00"/>
    <s v="BP CONNECT TIRAU TIRAU "/>
    <n v="-11.57"/>
    <x v="6"/>
    <x v="9"/>
    <x v="14"/>
  </r>
  <r>
    <s v="KiwiBank"/>
    <s v="Credit"/>
    <s v="4833-48__-____-1032"/>
    <d v="2023-09-11T00:00:00"/>
    <s v="MYRENT AUCKLAND "/>
    <n v="-60.15"/>
    <x v="2"/>
    <x v="17"/>
    <x v="51"/>
  </r>
  <r>
    <s v="KiwiBank"/>
    <s v="Credit"/>
    <s v="4833-48__-____-1032"/>
    <d v="2023-09-11T00:00:00"/>
    <s v="Watercare Online Remuera "/>
    <n v="-64.33"/>
    <x v="4"/>
    <x v="4"/>
    <x v="4"/>
  </r>
  <r>
    <s v="KiwiBank"/>
    <s v="Credit"/>
    <s v="4833-48__-____-1032"/>
    <d v="2023-09-11T00:00:00"/>
    <s v="Watercare Services Ltd Remuera "/>
    <n v="-0.11"/>
    <x v="4"/>
    <x v="4"/>
    <x v="4"/>
  </r>
  <r>
    <s v="KiwiBank"/>
    <s v="Credit"/>
    <s v="4833-48__-____-1032"/>
    <d v="2023-09-11T00:00:00"/>
    <s v="Cafe Baku Taupo "/>
    <n v="-7.46"/>
    <x v="3"/>
    <x v="8"/>
    <x v="8"/>
  </r>
  <r>
    <s v="KiwiBank"/>
    <s v="Credit"/>
    <s v="4833-48__-____-1032"/>
    <d v="2023-09-13T00:00:00"/>
    <s v="CONTACT ENERGY WELLINGTON "/>
    <n v="-156.54"/>
    <x v="4"/>
    <x v="5"/>
    <x v="5"/>
  </r>
  <r>
    <s v="KiwiBank"/>
    <s v="Credit"/>
    <s v="4833-48__-____-1032"/>
    <d v="2023-09-13T00:00:00"/>
    <s v="THEA LTD AUCKLAND "/>
    <n v="-44.84"/>
    <x v="0"/>
    <x v="0"/>
    <x v="0"/>
  </r>
  <r>
    <s v="KiwiBank"/>
    <s v="Credit"/>
    <s v="4833-48__-____-1032"/>
    <d v="2023-09-12T00:00:00"/>
    <s v="PAYMENT THANKYOU . "/>
    <n v="8.4700000000000006"/>
    <x v="1"/>
    <x v="24"/>
    <x v="1"/>
  </r>
  <r>
    <s v="KiwiBank"/>
    <s v="Credit"/>
    <s v="4833-48__-____-1032"/>
    <d v="2023-09-14T00:00:00"/>
    <s v="PAYMENT THANKYOU . "/>
    <n v="62.67"/>
    <x v="1"/>
    <x v="24"/>
    <x v="1"/>
  </r>
  <r>
    <s v="KiwiBank"/>
    <s v="Credit"/>
    <s v="4833-48__-____-1032"/>
    <d v="2023-09-14T00:00:00"/>
    <s v="COUNTDOWN GREEN/326 GREAT GREENLANE "/>
    <n v="-60.59"/>
    <x v="0"/>
    <x v="0"/>
    <x v="0"/>
  </r>
  <r>
    <s v="KiwiBank"/>
    <s v="Credit"/>
    <s v="4833-48__-____-1032"/>
    <d v="2023-09-13T00:00:00"/>
    <s v="PAYMENT THANKYOU . "/>
    <n v="209.23"/>
    <x v="1"/>
    <x v="24"/>
    <x v="1"/>
  </r>
  <r>
    <s v="KiwiBank"/>
    <s v="Credit"/>
    <s v="4833-48__-____-1032"/>
    <d v="2023-09-18T00:00:00"/>
    <s v="AIA NEW ZEALAND AUCKLAND "/>
    <n v="-64.17"/>
    <x v="3"/>
    <x v="6"/>
    <x v="6"/>
  </r>
  <r>
    <s v="KiwiBank"/>
    <s v="Credit"/>
    <s v="4833-48__-____-1032"/>
    <d v="2023-09-18T00:00:00"/>
    <s v="PAYMENT THANKYOU . "/>
    <n v="174.78"/>
    <x v="1"/>
    <x v="24"/>
    <x v="1"/>
  </r>
  <r>
    <s v="KiwiBank"/>
    <s v="Credit"/>
    <s v="4833-48__-____-1032"/>
    <d v="2023-09-18T00:00:00"/>
    <s v="CW Sylvia Park Glen Innes "/>
    <n v="-171.27"/>
    <x v="9"/>
    <x v="18"/>
    <x v="30"/>
  </r>
  <r>
    <s v="KiwiBank"/>
    <s v="Credit"/>
    <s v="4833-48__-____-1032"/>
    <d v="2023-09-18T00:00:00"/>
    <s v="YUM CHA RESTAURANT AUCKLAND "/>
    <n v="-16.670000000000002"/>
    <x v="3"/>
    <x v="8"/>
    <x v="8"/>
  </r>
  <r>
    <s v="KiwiBank"/>
    <s v="Credit"/>
    <s v="4833-48__-____-1032"/>
    <d v="2023-09-18T00:00:00"/>
    <s v="PAK N SAVE SYLVIA PARK AUCKLAND "/>
    <n v="-106.3"/>
    <x v="0"/>
    <x v="0"/>
    <x v="0"/>
  </r>
  <r>
    <s v="KiwiBank"/>
    <s v="Credit"/>
    <s v="4833-48__-____-1032"/>
    <d v="2023-09-18T00:00:00"/>
    <s v="SKINNY AUCKLAND "/>
    <n v="-17.97"/>
    <x v="7"/>
    <x v="10"/>
    <x v="10"/>
  </r>
  <r>
    <s v="KiwiBank"/>
    <s v="Credit"/>
    <s v="4833-48__-____-1032"/>
    <d v="2023-09-18T00:00:00"/>
    <s v="Postie Sylvia Galleria Mt Wellington "/>
    <n v="-24.88"/>
    <x v="9"/>
    <x v="18"/>
    <x v="30"/>
  </r>
  <r>
    <s v="KiwiBank"/>
    <s v="Credit"/>
    <s v="4833-48__-____-1032"/>
    <d v="2023-09-15T00:00:00"/>
    <s v="PAYMENT THANKYOU . "/>
    <n v="24.01"/>
    <x v="1"/>
    <x v="24"/>
    <x v="1"/>
  </r>
  <r>
    <s v="KiwiBank"/>
    <s v="Credit"/>
    <s v="4833-48__-____-1032"/>
    <d v="2023-09-18T00:00:00"/>
    <s v="PAYMENT THANKYOU . "/>
    <n v="657.15"/>
    <x v="1"/>
    <x v="24"/>
    <x v="1"/>
  </r>
  <r>
    <s v="KiwiBank"/>
    <s v="Credit"/>
    <s v="4833-48__-____-1032"/>
    <d v="2023-09-18T00:00:00"/>
    <s v="SAMSONITE AUSTRALIA PT 1800331690 "/>
    <n v="-496.9"/>
    <x v="4"/>
    <x v="12"/>
    <x v="12"/>
  </r>
  <r>
    <s v="KiwiBank"/>
    <s v="Credit"/>
    <s v="4833-48__-____-1032"/>
    <d v="2023-09-18T00:00:00"/>
    <s v="SKINNY AUCKLAND "/>
    <n v="-1.76"/>
    <x v="7"/>
    <x v="10"/>
    <x v="10"/>
  </r>
  <r>
    <s v="KiwiBank"/>
    <s v="Credit"/>
    <s v="4833-48__-____-1032"/>
    <d v="2023-09-21T00:00:00"/>
    <s v="TOWER INSURANCE - EIS 093692079 "/>
    <n v="-178.03"/>
    <x v="12"/>
    <x v="33"/>
    <x v="49"/>
  </r>
  <r>
    <s v="KiwiBank"/>
    <s v="Credit"/>
    <s v="4833-48__-____-1032"/>
    <d v="2023-09-21T00:00:00"/>
    <s v="TOWER INSURANCE - EIS 093692079 "/>
    <n v="-122.14"/>
    <x v="4"/>
    <x v="11"/>
    <x v="11"/>
  </r>
  <r>
    <s v="KiwiBank"/>
    <s v="Credit"/>
    <s v="4833-48__-____-1032"/>
    <d v="2023-09-21T00:00:00"/>
    <s v="TOWER INSURANCE - EIS 093692079 "/>
    <n v="-46.39"/>
    <x v="2"/>
    <x v="33"/>
    <x v="49"/>
  </r>
  <r>
    <s v="KiwiBank"/>
    <s v="Credit"/>
    <s v="4833-48__-____-1032"/>
    <d v="2023-09-22T00:00:00"/>
    <s v="PAYMENT THANKYOU . "/>
    <n v="15.5"/>
    <x v="1"/>
    <x v="24"/>
    <x v="1"/>
  </r>
  <r>
    <s v="KiwiBank"/>
    <s v="Credit"/>
    <s v="4833-48__-____-1032"/>
    <d v="2023-09-22T00:00:00"/>
    <s v="PAK N SAVE SYLVIA PARK AUCKLAND "/>
    <n v="-20.27"/>
    <x v="0"/>
    <x v="0"/>
    <x v="0"/>
  </r>
  <r>
    <s v="KiwiBank"/>
    <s v="Credit"/>
    <s v="4833-48__-____-1032"/>
    <d v="2023-09-21T00:00:00"/>
    <s v="PAYMENT THANKYOU . "/>
    <n v="492.41"/>
    <x v="1"/>
    <x v="24"/>
    <x v="1"/>
  </r>
  <r>
    <s v="KiwiBank"/>
    <s v="Credit"/>
    <s v="4833-48__-____-1032"/>
    <d v="2023-09-25T00:00:00"/>
    <s v="PAYMENT THANKYOU . "/>
    <n v="9.6199999999999992"/>
    <x v="1"/>
    <x v="24"/>
    <x v="1"/>
  </r>
  <r>
    <s v="KiwiBank"/>
    <s v="Credit"/>
    <s v="4833-48__-____-1032"/>
    <d v="2023-09-25T00:00:00"/>
    <s v="IHERB IHERB.COM PXs2e iherb.com "/>
    <n v="-114.62"/>
    <x v="9"/>
    <x v="18"/>
    <x v="22"/>
  </r>
  <r>
    <s v="KiwiBank"/>
    <s v="Credit"/>
    <s v="4833-48__-____-1032"/>
    <d v="2023-09-25T00:00:00"/>
    <s v="Nike Auckland Onehunga "/>
    <n v="-63.77"/>
    <x v="9"/>
    <x v="18"/>
    <x v="30"/>
  </r>
  <r>
    <s v="KiwiBank"/>
    <s v="Credit"/>
    <s v="4833-48__-____-1032"/>
    <d v="2023-09-25T00:00:00"/>
    <s v="PAYMENT THANKYOU . "/>
    <n v="19.3"/>
    <x v="1"/>
    <x v="24"/>
    <x v="1"/>
  </r>
  <r>
    <s v="KiwiBank"/>
    <s v="Credit"/>
    <s v="4833-48__-____-1032"/>
    <d v="2023-09-26T00:00:00"/>
    <s v="PAYMENT THANKYOU . "/>
    <n v="2.89"/>
    <x v="1"/>
    <x v="24"/>
    <x v="1"/>
  </r>
  <r>
    <s v="KiwiBank"/>
    <s v="Credit"/>
    <s v="4833-48__-____-1032"/>
    <d v="2023-09-26T00:00:00"/>
    <s v="THEA LTD AUCKLAND "/>
    <n v="-67.09"/>
    <x v="0"/>
    <x v="0"/>
    <x v="0"/>
  </r>
  <r>
    <s v="KiwiBank"/>
    <s v="Credit"/>
    <s v="4833-48__-____-1032"/>
    <d v="2023-09-25T00:00:00"/>
    <s v="Unichem Wynyard Pharmcy Auckland "/>
    <n v="-9.4499999999999993"/>
    <x v="10"/>
    <x v="20"/>
    <x v="27"/>
  </r>
  <r>
    <s v="KiwiBank"/>
    <s v="Credit"/>
    <s v="4833-48__-____-1032"/>
    <d v="2023-09-28T00:00:00"/>
    <s v="FOREIGN CURRENCY TXN FEE  "/>
    <n v="-0.02"/>
    <x v="5"/>
    <x v="7"/>
    <x v="7"/>
  </r>
  <r>
    <s v="KiwiBank"/>
    <s v="Credit"/>
    <s v="4833-48__-____-1032"/>
    <d v="2023-09-28T00:00:00"/>
    <s v="CURRENCY CONV ASSESSMENT  "/>
    <n v="-0.19"/>
    <x v="5"/>
    <x v="7"/>
    <x v="7"/>
  </r>
  <r>
    <s v="KiwiBank"/>
    <s v="Credit"/>
    <s v="4833-48__-____-1032"/>
    <d v="2023-09-28T00:00:00"/>
    <s v="US MOBILE* US MOBILE WWW.USMOBILE. NY;8.57 US DOLLAR  $ at 0.5939"/>
    <n v="-20.22"/>
    <x v="7"/>
    <x v="13"/>
    <x v="15"/>
  </r>
  <r>
    <s v="KiwiBank"/>
    <s v="Credit"/>
    <s v="4833-48__-____-1032"/>
    <d v="2023-09-27T00:00:00"/>
    <s v="NEW WORLD STONEFIELDS AUCKLAND NZ "/>
    <n v="-75.849999999999994"/>
    <x v="0"/>
    <x v="0"/>
    <x v="0"/>
  </r>
  <r>
    <s v="KiwiBank"/>
    <s v="Credit"/>
    <s v="4833-48__-____-1032"/>
    <d v="2023-09-26T00:00:00"/>
    <s v="PAYMENT THANKYOU . "/>
    <n v="34.93"/>
    <x v="1"/>
    <x v="24"/>
    <x v="1"/>
  </r>
  <r>
    <s v="KiwiBank"/>
    <s v="Credit"/>
    <s v="4833-48__-____-1032"/>
    <d v="2023-09-26T00:00:00"/>
    <s v="PAYMENT THANKYOU . "/>
    <n v="70.040000000000006"/>
    <x v="1"/>
    <x v="24"/>
    <x v="1"/>
  </r>
  <r>
    <s v="KiwiBank"/>
    <s v="Credit"/>
    <s v="4833-48__-____-1032"/>
    <d v="2023-09-27T00:00:00"/>
    <s v="PAYMENT THANKYOU . "/>
    <n v="15.84"/>
    <x v="1"/>
    <x v="24"/>
    <x v="1"/>
  </r>
  <r>
    <s v="KiwiBank"/>
    <s v="Credit"/>
    <s v="4833-48__-____-1032"/>
    <d v="2023-09-29T00:00:00"/>
    <s v="PAYMENT THANKYOU . "/>
    <n v="0.1"/>
    <x v="1"/>
    <x v="24"/>
    <x v="1"/>
  </r>
  <r>
    <s v="KiwiBank"/>
    <s v="Credit"/>
    <s v="4833-48__-____-1032"/>
    <d v="2023-10-02T00:00:00"/>
    <s v="PAYMENT THANKYOU . "/>
    <n v="18.86"/>
    <x v="1"/>
    <x v="24"/>
    <x v="1"/>
  </r>
  <r>
    <s v="KiwiBank"/>
    <s v="Credit"/>
    <s v="4833-48__-____-1032"/>
    <d v="2023-10-02T00:00:00"/>
    <s v="NEW WORLD STONEFIELDS AUCKLAND NZ "/>
    <n v="-7.76"/>
    <x v="0"/>
    <x v="0"/>
    <x v="0"/>
  </r>
  <r>
    <s v="KiwiBank"/>
    <s v="Credit"/>
    <s v="4833-48__-____-1032"/>
    <d v="2023-10-09T00:00:00"/>
    <s v="APPLE.COM/BILL SYDNEY "/>
    <n v="-4.66"/>
    <x v="7"/>
    <x v="16"/>
    <x v="19"/>
  </r>
  <r>
    <s v="KiwiBank"/>
    <s v="Credit"/>
    <s v="4833-48__-____-1032"/>
    <d v="2023-10-06T00:00:00"/>
    <s v="BUNNINGS ONLINE 3 AUCKLAND "/>
    <n v="300.66000000000003"/>
    <x v="4"/>
    <x v="12"/>
    <x v="12"/>
  </r>
  <r>
    <s v="KiwiBank"/>
    <s v="Credit"/>
    <s v="4833-48__-____-1032"/>
    <d v="2023-10-06T00:00:00"/>
    <s v="BUNNINGS ONLINE 3 AUCKLAND "/>
    <n v="-141.56"/>
    <x v="4"/>
    <x v="12"/>
    <x v="12"/>
  </r>
  <r>
    <s v="KiwiBank"/>
    <s v="Credit"/>
    <s v="4833-48__-____-1032"/>
    <d v="2023-10-06T00:00:00"/>
    <s v="DAVID JONES AUCKLAND "/>
    <n v="-28.48"/>
    <x v="9"/>
    <x v="18"/>
    <x v="30"/>
  </r>
  <r>
    <s v="KiwiBank"/>
    <s v="Credit"/>
    <s v="4833-48__-____-1032"/>
    <d v="2023-10-06T00:00:00"/>
    <s v="Mecca Newmarket Auckland "/>
    <n v="-68.19"/>
    <x v="9"/>
    <x v="29"/>
    <x v="48"/>
  </r>
  <r>
    <s v="KiwiBank"/>
    <s v="Credit"/>
    <s v="4833-48__-____-1032"/>
    <d v="2023-10-06T00:00:00"/>
    <s v="RUMI RESTAURANT AUCKLAND "/>
    <n v="-28.79"/>
    <x v="3"/>
    <x v="8"/>
    <x v="8"/>
  </r>
  <r>
    <s v="KiwiBank"/>
    <s v="Credit"/>
    <s v="4833-48__-____-1032"/>
    <d v="2023-10-05T00:00:00"/>
    <s v="PAYMENT THANKYOU . "/>
    <n v="286.17"/>
    <x v="1"/>
    <x v="24"/>
    <x v="1"/>
  </r>
  <r>
    <s v="KiwiBank"/>
    <s v="Credit"/>
    <s v="4833-48__-____-1032"/>
    <d v="2023-10-05T00:00:00"/>
    <s v="PAYMENT THANKYOU . "/>
    <n v="5.04"/>
    <x v="1"/>
    <x v="24"/>
    <x v="1"/>
  </r>
  <r>
    <s v="KiwiBank"/>
    <s v="Credit"/>
    <s v="4833-48__-____-1032"/>
    <d v="2023-10-05T00:00:00"/>
    <s v="AT Hop Auckland Henderson "/>
    <n v="-16.71"/>
    <x v="6"/>
    <x v="9"/>
    <x v="33"/>
  </r>
  <r>
    <s v="KiwiBank"/>
    <s v="Credit"/>
    <s v="4833-48__-____-1032"/>
    <d v="2023-10-09T00:00:00"/>
    <s v="TOWER INSURANCE - EIS 093692079 "/>
    <n v="-46.33"/>
    <x v="4"/>
    <x v="34"/>
    <x v="50"/>
  </r>
  <r>
    <s v="KiwiBank"/>
    <s v="Credit"/>
    <s v="4833-48__-____-1032"/>
    <d v="2023-10-06T00:00:00"/>
    <s v="PAYMENT THANKYOU . "/>
    <n v="134.49"/>
    <x v="1"/>
    <x v="24"/>
    <x v="1"/>
  </r>
  <r>
    <s v="KiwiBank"/>
    <s v="Credit"/>
    <s v="4833-48__-____-1032"/>
    <d v="2023-10-09T00:00:00"/>
    <s v="PAYMENT THANKYOU . "/>
    <n v="140.13999999999999"/>
    <x v="1"/>
    <x v="24"/>
    <x v="1"/>
  </r>
  <r>
    <s v="KiwiBank"/>
    <s v="Credit"/>
    <s v="4833-48__-____-1032"/>
    <d v="2023-10-09T00:00:00"/>
    <s v="PAYMENT THANKYOU . "/>
    <n v="98.65"/>
    <x v="1"/>
    <x v="24"/>
    <x v="1"/>
  </r>
  <r>
    <s v="KiwiBank"/>
    <s v="Credit"/>
    <s v="4833-48__-____-1032"/>
    <d v="2023-10-09T00:00:00"/>
    <s v="PAYMENT THANKYOU . "/>
    <n v="24.78"/>
    <x v="1"/>
    <x v="24"/>
    <x v="1"/>
  </r>
  <r>
    <s v="KiwiBank"/>
    <s v="Credit"/>
    <s v="4833-48__-____-1032"/>
    <d v="2023-10-09T00:00:00"/>
    <s v="TD AKL SHOWROOM AUCKLAND "/>
    <n v="-35.340000000000003"/>
    <x v="3"/>
    <x v="3"/>
    <x v="3"/>
  </r>
  <r>
    <s v="KiwiBank"/>
    <s v="Credit"/>
    <s v="4833-48__-____-1032"/>
    <d v="2023-10-09T00:00:00"/>
    <s v="H&amp;M AUCKLAND "/>
    <n v="-58.96"/>
    <x v="9"/>
    <x v="18"/>
    <x v="30"/>
  </r>
  <r>
    <s v="KiwiBank"/>
    <s v="Credit"/>
    <s v="4833-48__-____-1032"/>
    <d v="2023-10-09T00:00:00"/>
    <s v="PAK N SAVE SYLVIA PARK AUCKLAND "/>
    <n v="-2.19"/>
    <x v="0"/>
    <x v="0"/>
    <x v="0"/>
  </r>
  <r>
    <s v="KiwiBank"/>
    <s v="Credit"/>
    <s v="4833-48__-____-1032"/>
    <d v="2023-10-09T00:00:00"/>
    <s v="JAPAN MART SYLVIA PARK AUCKLAND "/>
    <n v="-18.12"/>
    <x v="0"/>
    <x v="0"/>
    <x v="0"/>
  </r>
  <r>
    <s v="KiwiBank"/>
    <s v="Credit"/>
    <s v="4833-48__-____-1032"/>
    <d v="2023-10-10T00:00:00"/>
    <s v="Marketplace WWW.ALIEXPRES "/>
    <n v="-6.64"/>
    <x v="9"/>
    <x v="18"/>
    <x v="22"/>
  </r>
  <r>
    <s v="KiwiBank"/>
    <s v="Credit"/>
    <s v="4833-48__-____-1032"/>
    <d v="2023-10-09T00:00:00"/>
    <s v="GULL MARUA ROAD AUCKLAND "/>
    <n v="-46.16"/>
    <x v="6"/>
    <x v="9"/>
    <x v="14"/>
  </r>
  <r>
    <s v="KiwiBank"/>
    <s v="Credit"/>
    <s v="4833-48__-____-1032"/>
    <d v="2023-10-09T00:00:00"/>
    <s v="MITRE 10 MEGA MT WTGN MOUNT WELLING "/>
    <n v="-0.17"/>
    <x v="4"/>
    <x v="12"/>
    <x v="12"/>
  </r>
  <r>
    <s v="KiwiBank"/>
    <s v="Credit"/>
    <s v="4833-48__-____-1032"/>
    <d v="2023-10-11T00:00:00"/>
    <s v="MYRENT AUCKLAND "/>
    <n v="-11.2"/>
    <x v="2"/>
    <x v="17"/>
    <x v="51"/>
  </r>
  <r>
    <s v="KiwiBank"/>
    <s v="Credit"/>
    <s v="4833-48__-____-1032"/>
    <d v="2023-10-12T00:00:00"/>
    <s v="CONTACT ENERGY WELLINGTON "/>
    <n v="-134.86000000000001"/>
    <x v="4"/>
    <x v="5"/>
    <x v="5"/>
  </r>
  <r>
    <s v="KiwiBank"/>
    <s v="Credit"/>
    <s v="4833-48__-____-1032"/>
    <d v="2023-10-11T00:00:00"/>
    <s v="PAYMENT THANKYOU . "/>
    <n v="286.64"/>
    <x v="1"/>
    <x v="24"/>
    <x v="1"/>
  </r>
  <r>
    <s v="KiwiBank"/>
    <s v="Credit"/>
    <s v="4833-48__-____-1032"/>
    <d v="2023-10-11T00:00:00"/>
    <s v="PAYMENT THANKYOU . "/>
    <n v="202.03"/>
    <x v="1"/>
    <x v="24"/>
    <x v="1"/>
  </r>
  <r>
    <s v="KiwiBank"/>
    <s v="Credit"/>
    <s v="4833-48__-____-1032"/>
    <d v="2023-10-16T00:00:00"/>
    <s v="MINISO AUCKLAND "/>
    <n v="-1.03"/>
    <x v="0"/>
    <x v="0"/>
    <x v="0"/>
  </r>
  <r>
    <s v="KiwiBank"/>
    <s v="Credit"/>
    <s v="4833-48__-____-1032"/>
    <d v="2023-10-13T00:00:00"/>
    <s v="TD AKL SHOWROOM AUCKLAND "/>
    <n v="136.44"/>
    <x v="3"/>
    <x v="3"/>
    <x v="3"/>
  </r>
  <r>
    <s v="KiwiBank"/>
    <s v="Credit"/>
    <s v="4833-48__-____-1032"/>
    <d v="2023-10-13T00:00:00"/>
    <s v="PAK N SAVE SYLVIA PARK AUCKLAND "/>
    <n v="-82.91"/>
    <x v="0"/>
    <x v="0"/>
    <x v="0"/>
  </r>
  <r>
    <s v="KiwiBank"/>
    <s v="Credit"/>
    <s v="4833-48__-____-1032"/>
    <d v="2023-10-13T00:00:00"/>
    <s v="Washpod 06 Mt Wellington "/>
    <n v="-17.190000000000001"/>
    <x v="0"/>
    <x v="0"/>
    <x v="0"/>
  </r>
  <r>
    <s v="KiwiBank"/>
    <s v="Credit"/>
    <s v="4833-48__-____-1032"/>
    <d v="2023-10-16T00:00:00"/>
    <s v="MITRE 10 MEGA MT WTGN MOUNT WELLING "/>
    <n v="-77.319999999999993"/>
    <x v="4"/>
    <x v="12"/>
    <x v="12"/>
  </r>
  <r>
    <s v="KiwiBank"/>
    <s v="Credit"/>
    <s v="4833-48__-____-1032"/>
    <d v="2023-10-16T00:00:00"/>
    <s v="SKINNY AUCKLAND "/>
    <n v="-7.21"/>
    <x v="7"/>
    <x v="10"/>
    <x v="10"/>
  </r>
  <r>
    <s v="KiwiBank"/>
    <s v="Credit"/>
    <s v="4833-48__-____-1032"/>
    <d v="2023-10-16T00:00:00"/>
    <s v="SKINNY AUCKLAND "/>
    <n v="-14.8"/>
    <x v="7"/>
    <x v="10"/>
    <x v="10"/>
  </r>
  <r>
    <s v="KiwiBank"/>
    <s v="Credit"/>
    <s v="4833-48__-____-1032"/>
    <d v="2023-10-18T00:00:00"/>
    <s v="AIA NEW ZEALAND AUCKLAND "/>
    <n v="-40.93"/>
    <x v="3"/>
    <x v="6"/>
    <x v="6"/>
  </r>
  <r>
    <s v="KiwiBank"/>
    <s v="Credit"/>
    <s v="4833-48__-____-1032"/>
    <d v="2023-10-20T00:00:00"/>
    <s v="NEW WORLD STONEFIELDS AUCKLAND NZ "/>
    <n v="-156.80000000000001"/>
    <x v="0"/>
    <x v="0"/>
    <x v="0"/>
  </r>
  <r>
    <s v="KiwiBank"/>
    <s v="Credit"/>
    <s v="4833-48__-____-1032"/>
    <d v="2023-10-19T00:00:00"/>
    <s v="MITRE 10 MEGA MT WTGN MOUNT WELLING "/>
    <n v="-3.85"/>
    <x v="4"/>
    <x v="12"/>
    <x v="12"/>
  </r>
  <r>
    <s v="KiwiBank"/>
    <s v="Credit"/>
    <s v="4833-48__-____-1032"/>
    <d v="2023-10-24T00:00:00"/>
    <s v="TOWER INSURANCE - EIS 093692079 "/>
    <n v="-32.03"/>
    <x v="12"/>
    <x v="33"/>
    <x v="49"/>
  </r>
  <r>
    <s v="KiwiBank"/>
    <s v="Credit"/>
    <s v="4833-48__-____-1032"/>
    <d v="2023-10-24T00:00:00"/>
    <s v="TOWER INSURANCE - EIS 093692079 "/>
    <n v="-101.37"/>
    <x v="2"/>
    <x v="33"/>
    <x v="49"/>
  </r>
  <r>
    <s v="KiwiBank"/>
    <s v="Credit"/>
    <s v="4833-48__-____-1032"/>
    <d v="2023-10-20T00:00:00"/>
    <s v="PAYMENT THANKYOU . "/>
    <n v="131.96"/>
    <x v="1"/>
    <x v="24"/>
    <x v="1"/>
  </r>
  <r>
    <s v="KiwiBank"/>
    <s v="Credit"/>
    <s v="4833-48__-____-1032"/>
    <d v="2023-10-24T00:00:00"/>
    <s v="PAYMENT THANKYOU . "/>
    <n v="186.89"/>
    <x v="1"/>
    <x v="24"/>
    <x v="1"/>
  </r>
  <r>
    <s v="KiwiBank"/>
    <s v="Credit"/>
    <s v="4833-48__-____-1032"/>
    <d v="2023-10-24T00:00:00"/>
    <s v="PAYMENT THANKYOU . "/>
    <n v="7.94"/>
    <x v="1"/>
    <x v="24"/>
    <x v="1"/>
  </r>
  <r>
    <s v="KiwiBank"/>
    <s v="Credit"/>
    <s v="4833-48__-____-1032"/>
    <d v="2023-10-24T00:00:00"/>
    <s v="TOWER INSURANCE - EIS AUCKLAND "/>
    <n v="-40.049999999999997"/>
    <x v="4"/>
    <x v="11"/>
    <x v="11"/>
  </r>
  <r>
    <s v="KiwiBank"/>
    <s v="Credit"/>
    <s v="4833-48__-____-1032"/>
    <d v="2023-10-24T00:00:00"/>
    <s v="MAISON DES LYS AUCKLAND "/>
    <n v="-20.2"/>
    <x v="0"/>
    <x v="0"/>
    <x v="0"/>
  </r>
  <r>
    <s v="KiwiBank"/>
    <s v="Credit"/>
    <s v="4833-48__-____-1032"/>
    <d v="2023-10-24T00:00:00"/>
    <s v="PAYMENT THANKYOU . "/>
    <n v="413.88"/>
    <x v="1"/>
    <x v="24"/>
    <x v="1"/>
  </r>
  <r>
    <s v="KiwiBank"/>
    <s v="Credit"/>
    <s v="4833-48__-____-1032"/>
    <d v="2023-10-24T00:00:00"/>
    <s v="Briscoes Panmure Mt Wellington "/>
    <n v="-355.48"/>
    <x v="4"/>
    <x v="12"/>
    <x v="12"/>
  </r>
  <r>
    <s v="KiwiBank"/>
    <s v="Credit"/>
    <s v="4833-48__-____-1032"/>
    <d v="2023-10-24T00:00:00"/>
    <s v="MARTHA'S BACKYARD GLEN INNES "/>
    <n v="-13.05"/>
    <x v="0"/>
    <x v="0"/>
    <x v="0"/>
  </r>
  <r>
    <s v="KiwiBank"/>
    <s v="Credit"/>
    <s v="4833-48__-____-1032"/>
    <d v="2023-10-24T00:00:00"/>
    <s v="PAYMENT THANKYOU . "/>
    <n v="117.77"/>
    <x v="1"/>
    <x v="24"/>
    <x v="1"/>
  </r>
  <r>
    <s v="KiwiBank"/>
    <s v="Credit"/>
    <s v="4833-48__-____-1032"/>
    <d v="2023-10-24T00:00:00"/>
    <s v="Modere New Zealand Lim 64 09 828 901 "/>
    <n v="-139.59"/>
    <x v="10"/>
    <x v="20"/>
    <x v="27"/>
  </r>
  <r>
    <s v="KiwiBank"/>
    <s v="Credit"/>
    <s v="4833-48__-____-1032"/>
    <d v="2023-10-24T00:00:00"/>
    <s v="Chemist Warehouse NZ Onli Auckland "/>
    <n v="-34.15"/>
    <x v="0"/>
    <x v="0"/>
    <x v="0"/>
  </r>
  <r>
    <s v="KiwiBank"/>
    <s v="Credit"/>
    <s v="4833-48__-____-1032"/>
    <d v="2023-10-25T00:00:00"/>
    <s v="PAYMENT THANKYOU . "/>
    <n v="30.9"/>
    <x v="1"/>
    <x v="24"/>
    <x v="1"/>
  </r>
  <r>
    <s v="KiwiBank"/>
    <s v="Credit"/>
    <s v="4833-48__-____-1032"/>
    <d v="2023-10-25T00:00:00"/>
    <s v="Good George NW North Wharf "/>
    <n v="-2.34"/>
    <x v="3"/>
    <x v="8"/>
    <x v="8"/>
  </r>
  <r>
    <s v="KiwiBank"/>
    <s v="Credit"/>
    <s v="4833-48__-____-1032"/>
    <d v="2023-10-26T00:00:00"/>
    <s v="YUM CHA RESTAURANT AUCKLAND "/>
    <n v="-106.96"/>
    <x v="3"/>
    <x v="8"/>
    <x v="8"/>
  </r>
  <r>
    <s v="KiwiBank"/>
    <s v="Credit"/>
    <s v="4833-48__-____-1032"/>
    <d v="2023-10-26T00:00:00"/>
    <s v="THEA LTD AUCKLAND "/>
    <n v="-31.08"/>
    <x v="0"/>
    <x v="0"/>
    <x v="0"/>
  </r>
  <r>
    <s v="KiwiBank"/>
    <s v="Credit"/>
    <s v="4833-48__-____-1032"/>
    <d v="2023-10-25T00:00:00"/>
    <s v="PAYMENT THANKYOU . "/>
    <n v="79.290000000000006"/>
    <x v="1"/>
    <x v="24"/>
    <x v="1"/>
  </r>
  <r>
    <s v="KiwiBank"/>
    <s v="Credit"/>
    <s v="4833-48__-____-1032"/>
    <d v="2023-10-25T00:00:00"/>
    <s v="PAYMENT THANKYOU . "/>
    <n v="5.76"/>
    <x v="1"/>
    <x v="24"/>
    <x v="1"/>
  </r>
  <r>
    <s v="KiwiBank"/>
    <s v="Credit"/>
    <s v="4833-48__-____-1032"/>
    <d v="2023-10-25T00:00:00"/>
    <s v="PAK N SAVE SYLVIA PARK AUCKLAND "/>
    <n v="-98.22"/>
    <x v="0"/>
    <x v="0"/>
    <x v="0"/>
  </r>
  <r>
    <s v="KiwiBank"/>
    <s v="Credit"/>
    <s v="4833-48__-____-1032"/>
    <d v="2023-10-30T00:00:00"/>
    <s v="FOREIGN CURRENCY TXN FEE  "/>
    <n v="-0.04"/>
    <x v="5"/>
    <x v="7"/>
    <x v="7"/>
  </r>
  <r>
    <s v="KiwiBank"/>
    <s v="Credit"/>
    <s v="4833-48__-____-1032"/>
    <d v="2023-10-30T00:00:00"/>
    <s v="CURRENCY CONV ASSESSMENT  "/>
    <n v="-0.03"/>
    <x v="5"/>
    <x v="7"/>
    <x v="7"/>
  </r>
  <r>
    <s v="KiwiBank"/>
    <s v="Credit"/>
    <s v="4833-48__-____-1032"/>
    <d v="2023-10-30T00:00:00"/>
    <s v="US MOBILE* US MOBILE WWW.USMOBILE. NY;8.57 US DOLLAR  $ at 0.5798"/>
    <n v="-5.25"/>
    <x v="7"/>
    <x v="13"/>
    <x v="15"/>
  </r>
  <r>
    <s v="KiwiBank"/>
    <s v="Credit"/>
    <s v="4833-48__-____-1032"/>
    <d v="2023-10-30T00:00:00"/>
    <s v="COUNTDOWN GREEN/326 GREAT GREENLANE "/>
    <n v="-117.64"/>
    <x v="0"/>
    <x v="0"/>
    <x v="0"/>
  </r>
  <r>
    <s v="KiwiBank"/>
    <s v="Credit"/>
    <s v="4833-48__-____-1032"/>
    <d v="2023-10-27T00:00:00"/>
    <s v="PAYMENT THANKYOU . "/>
    <n v="13.24"/>
    <x v="1"/>
    <x v="24"/>
    <x v="1"/>
  </r>
  <r>
    <s v="KiwiBank"/>
    <s v="Credit"/>
    <s v="4833-48__-____-1032"/>
    <d v="2023-10-27T00:00:00"/>
    <s v="PAYMENT THANKYOU . "/>
    <n v="107.72"/>
    <x v="1"/>
    <x v="24"/>
    <x v="1"/>
  </r>
  <r>
    <s v="KiwiBank"/>
    <s v="Credit"/>
    <s v="4833-48__-____-1032"/>
    <d v="2023-10-30T00:00:00"/>
    <s v="PAYMENT THANKYOU . "/>
    <n v="49.16"/>
    <x v="1"/>
    <x v="24"/>
    <x v="1"/>
  </r>
  <r>
    <s v="KiwiBank"/>
    <s v="Credit"/>
    <s v="4833-48__-____-1032"/>
    <d v="2023-10-30T00:00:00"/>
    <s v="BP CONNECT BOULEVARD AUCKLAND "/>
    <n v="-199.44"/>
    <x v="6"/>
    <x v="9"/>
    <x v="14"/>
  </r>
  <r>
    <s v="KiwiBank"/>
    <s v="Credit"/>
    <s v="4833-48__-____-1032"/>
    <d v="2023-10-30T00:00:00"/>
    <s v="Global Beverages Nz Li Taupo "/>
    <n v="-24.12"/>
    <x v="3"/>
    <x v="3"/>
    <x v="34"/>
  </r>
  <r>
    <s v="KiwiBank"/>
    <s v="Credit"/>
    <s v="4833-48__-____-1032"/>
    <d v="2023-10-30T00:00:00"/>
    <s v="WHOLESALE PRODUCE AUCKLAND "/>
    <n v="-12.58"/>
    <x v="0"/>
    <x v="0"/>
    <x v="0"/>
  </r>
  <r>
    <s v="KiwiBank"/>
    <s v="Credit"/>
    <s v="4833-48__-____-1032"/>
    <d v="2023-11-01T00:00:00"/>
    <s v="ACCOUNT FEE CREDIT  "/>
    <n v="112.45"/>
    <x v="5"/>
    <x v="7"/>
    <x v="7"/>
  </r>
  <r>
    <s v="KiwiBank"/>
    <s v="Credit"/>
    <s v="4833-48__-____-1032"/>
    <d v="2023-11-01T00:00:00"/>
    <s v=" +ACCOUNT FEE  "/>
    <n v="-115.96"/>
    <x v="5"/>
    <x v="7"/>
    <x v="7"/>
  </r>
  <r>
    <s v="KiwiBank"/>
    <s v="Credit"/>
    <s v="4833-48__-____-1032"/>
    <d v="2023-11-01T00:00:00"/>
    <s v="PAYMENT THANKYOU . "/>
    <n v="0.1"/>
    <x v="1"/>
    <x v="24"/>
    <x v="1"/>
  </r>
  <r>
    <s v="KiwiBank"/>
    <s v="Credit"/>
    <s v="4833-48__-____-1032"/>
    <d v="2023-11-02T00:00:00"/>
    <s v="PAK N SAVE SYLVIA PARK AUCKLAND "/>
    <n v="-26.04"/>
    <x v="0"/>
    <x v="0"/>
    <x v="0"/>
  </r>
  <r>
    <s v="KiwiBank"/>
    <s v="Credit"/>
    <s v="4833-48__-____-1032"/>
    <d v="2023-11-02T00:00:00"/>
    <s v="YOYOSO SYLVIA PARK AUCKLAND "/>
    <n v="-2.27"/>
    <x v="0"/>
    <x v="0"/>
    <x v="0"/>
  </r>
  <r>
    <s v="KiwiBank"/>
    <s v="Credit"/>
    <s v="4833-48__-____-1032"/>
    <d v="2023-11-06T00:00:00"/>
    <s v="PAYMENT THANKYOU . "/>
    <n v="26.53"/>
    <x v="1"/>
    <x v="24"/>
    <x v="1"/>
  </r>
  <r>
    <s v="KiwiBank"/>
    <s v="Credit"/>
    <s v="4833-48__-____-1032"/>
    <d v="2023-11-06T00:00:00"/>
    <s v="SYNERGY HAIR NEWMARKET AUCKLAND "/>
    <n v="-68.38"/>
    <x v="9"/>
    <x v="29"/>
    <x v="44"/>
  </r>
  <r>
    <s v="KiwiBank"/>
    <s v="Credit"/>
    <s v="4833-48__-____-1032"/>
    <d v="2023-11-06T00:00:00"/>
    <s v="JAPAN MART NEW MARKET AUCKLAND "/>
    <n v="-5"/>
    <x v="0"/>
    <x v="0"/>
    <x v="0"/>
  </r>
  <r>
    <s v="KiwiBank"/>
    <s v="Credit"/>
    <s v="4833-48__-____-1032"/>
    <d v="2023-11-06T00:00:00"/>
    <s v="TSUJIRI AUCKLAND "/>
    <n v="-7.94"/>
    <x v="0"/>
    <x v="0"/>
    <x v="0"/>
  </r>
  <r>
    <s v="KiwiBank"/>
    <s v="Credit"/>
    <s v="4833-48__-____-1032"/>
    <d v="2023-11-03T00:00:00"/>
    <s v="PAYMENT THANKYOU . "/>
    <n v="51.63"/>
    <x v="1"/>
    <x v="24"/>
    <x v="1"/>
  </r>
  <r>
    <s v="KiwiBank"/>
    <s v="Credit"/>
    <s v="4833-48__-____-1032"/>
    <d v="2023-11-06T00:00:00"/>
    <s v="PAYMENT THANKYOU . "/>
    <n v="127.15"/>
    <x v="1"/>
    <x v="24"/>
    <x v="1"/>
  </r>
  <r>
    <s v="KiwiBank"/>
    <s v="Credit"/>
    <s v="4833-48__-____-1032"/>
    <d v="2023-11-06T00:00:00"/>
    <s v="PAK N SAVE SYLVIA PARK AUCKLAND "/>
    <n v="-16.89"/>
    <x v="0"/>
    <x v="0"/>
    <x v="0"/>
  </r>
  <r>
    <s v="KiwiBank"/>
    <s v="Credit"/>
    <s v="4833-48__-____-1032"/>
    <d v="2023-11-06T00:00:00"/>
    <s v="BUNNINGS - 9493 MT WELLINGTON "/>
    <n v="-101.22"/>
    <x v="4"/>
    <x v="12"/>
    <x v="12"/>
  </r>
  <r>
    <s v="KiwiBank"/>
    <s v="Credit"/>
    <s v="4833-48__-____-1032"/>
    <d v="2023-11-07T00:00:00"/>
    <s v="APPLE.COM/BILL SYDNEY "/>
    <n v="-18.62"/>
    <x v="7"/>
    <x v="16"/>
    <x v="19"/>
  </r>
  <r>
    <s v="KiwiBank"/>
    <s v="Credit"/>
    <s v="4833-48__-____-1032"/>
    <d v="2023-11-06T00:00:00"/>
    <s v="PAYMENT THANKYOU . "/>
    <n v="15.59"/>
    <x v="1"/>
    <x v="24"/>
    <x v="1"/>
  </r>
  <r>
    <s v="KiwiBank"/>
    <s v="Credit"/>
    <s v="4833-48__-____-1032"/>
    <d v="2023-11-08T00:00:00"/>
    <s v="FOREIGN CURRENCY TXN FEE  "/>
    <n v="-1.03"/>
    <x v="5"/>
    <x v="7"/>
    <x v="7"/>
  </r>
  <r>
    <s v="KiwiBank"/>
    <s v="Credit"/>
    <s v="4833-48__-____-1032"/>
    <d v="2023-11-08T00:00:00"/>
    <s v="CURRENCY CONV ASSESSMENT  "/>
    <n v="-3.64"/>
    <x v="5"/>
    <x v="7"/>
    <x v="7"/>
  </r>
  <r>
    <s v="KiwiBank"/>
    <s v="Credit"/>
    <s v="4833-48__-____-1032"/>
    <d v="2023-11-08T00:00:00"/>
    <s v="Bulk Nutrients 61362664725 ;348.78 AUSTRALIAN DOLLAR at 0.9154"/>
    <n v="-450.8"/>
    <x v="3"/>
    <x v="14"/>
    <x v="17"/>
  </r>
  <r>
    <s v="KiwiBank"/>
    <s v="Credit"/>
    <s v="4833-48__-____-1032"/>
    <d v="2023-11-07T00:00:00"/>
    <s v="TOWER INSURANCE - EIS 093692079 "/>
    <n v="-43.89"/>
    <x v="4"/>
    <x v="34"/>
    <x v="50"/>
  </r>
  <r>
    <s v="KiwiBank"/>
    <s v="Credit"/>
    <s v="4833-48__-____-1032"/>
    <d v="2023-11-06T00:00:00"/>
    <s v="PAYMENT THANKYOU . "/>
    <n v="15.81"/>
    <x v="1"/>
    <x v="24"/>
    <x v="1"/>
  </r>
  <r>
    <s v="KiwiBank"/>
    <s v="Credit"/>
    <s v="4833-48__-____-1032"/>
    <d v="2023-11-07T00:00:00"/>
    <s v="PAYMENT THANKYOU . "/>
    <n v="569.75"/>
    <x v="1"/>
    <x v="24"/>
    <x v="1"/>
  </r>
  <r>
    <s v="KiwiBank"/>
    <s v="Credit"/>
    <s v="4833-48__-____-1032"/>
    <d v="2023-11-07T00:00:00"/>
    <s v="Watercare Online Remuera "/>
    <n v="-73.55"/>
    <x v="4"/>
    <x v="4"/>
    <x v="4"/>
  </r>
  <r>
    <s v="KiwiBank"/>
    <s v="Credit"/>
    <s v="4833-48__-____-1032"/>
    <d v="2023-11-07T00:00:00"/>
    <s v="Watercare Services Ltd Remuera "/>
    <n v="-0.36"/>
    <x v="4"/>
    <x v="4"/>
    <x v="4"/>
  </r>
  <r>
    <s v="KiwiBank"/>
    <s v="Credit"/>
    <s v="4833-48__-____-1032"/>
    <d v="2023-11-10T00:00:00"/>
    <s v="FOREIGN CURRENCY TXN FEE  "/>
    <n v="-0.45"/>
    <x v="5"/>
    <x v="7"/>
    <x v="7"/>
  </r>
  <r>
    <s v="KiwiBank"/>
    <s v="Credit"/>
    <s v="4833-48__-____-1032"/>
    <d v="2023-11-10T00:00:00"/>
    <s v="CURRENCY CONV ASSESSMENT  "/>
    <n v="-1.01"/>
    <x v="5"/>
    <x v="7"/>
    <x v="7"/>
  </r>
  <r>
    <s v="KiwiBank"/>
    <s v="Credit"/>
    <s v="4833-48__-____-1032"/>
    <d v="2023-11-10T00:00:00"/>
    <s v="AMAZON RETA* AMAZON AU SYDNEY SOUTH ;64.25 AUSTRALIAN DOLLAR at 0.9167"/>
    <n v="-59"/>
    <x v="9"/>
    <x v="18"/>
    <x v="22"/>
  </r>
  <r>
    <s v="KiwiBank"/>
    <s v="Credit"/>
    <s v="4833-48__-____-1032"/>
    <d v="2023-11-09T00:00:00"/>
    <s v="Onceit Newmarket "/>
    <n v="-60.7"/>
    <x v="9"/>
    <x v="18"/>
    <x v="30"/>
  </r>
  <r>
    <s v="KiwiBank"/>
    <s v="Credit"/>
    <s v="4833-48__-____-1032"/>
    <d v="2023-11-09T00:00:00"/>
    <s v="THEA LTD AUCKLAND "/>
    <n v="-12.95"/>
    <x v="0"/>
    <x v="0"/>
    <x v="0"/>
  </r>
  <r>
    <s v="KiwiBank"/>
    <s v="Credit"/>
    <s v="4833-48__-____-1032"/>
    <d v="2023-11-08T00:00:00"/>
    <s v="PAYMENT THANKYOU . "/>
    <n v="6.99"/>
    <x v="1"/>
    <x v="24"/>
    <x v="1"/>
  </r>
  <r>
    <s v="KiwiBank"/>
    <s v="Credit"/>
    <s v="4833-48__-____-1032"/>
    <d v="2023-11-10T00:00:00"/>
    <s v="CONTACT ENERGY WELLINGTON "/>
    <n v="-287.97000000000003"/>
    <x v="4"/>
    <x v="5"/>
    <x v="5"/>
  </r>
  <r>
    <s v="KiwiBank"/>
    <s v="Credit"/>
    <s v="4833-48__-____-1032"/>
    <d v="2023-11-09T00:00:00"/>
    <s v="PAYMENT THANKYOU . "/>
    <n v="83.26"/>
    <x v="1"/>
    <x v="24"/>
    <x v="1"/>
  </r>
  <r>
    <s v="KiwiBank"/>
    <s v="Credit"/>
    <s v="4833-48__-____-1032"/>
    <d v="2023-11-09T00:00:00"/>
    <s v="PAYMENT THANKYOU . "/>
    <n v="107.94"/>
    <x v="1"/>
    <x v="24"/>
    <x v="1"/>
  </r>
  <r>
    <s v="KiwiBank"/>
    <s v="Credit"/>
    <s v="4833-48__-____-1032"/>
    <d v="2023-11-09T00:00:00"/>
    <s v="PAYMENT THANKYOU . "/>
    <n v="8.1"/>
    <x v="1"/>
    <x v="24"/>
    <x v="1"/>
  </r>
  <r>
    <s v="KiwiBank"/>
    <s v="Credit"/>
    <s v="4833-48__-____-1032"/>
    <d v="2023-11-09T00:00:00"/>
    <s v="PAYMENT THANKYOU . "/>
    <n v="119.99"/>
    <x v="1"/>
    <x v="24"/>
    <x v="1"/>
  </r>
  <r>
    <s v="KiwiBank"/>
    <s v="Credit"/>
    <s v="4833-48__-____-1032"/>
    <d v="2023-11-09T00:00:00"/>
    <s v="PAK N SAVE SYLVIA PARK AUCKLAND "/>
    <n v="-21.53"/>
    <x v="0"/>
    <x v="0"/>
    <x v="0"/>
  </r>
  <r>
    <s v="KiwiBank"/>
    <s v="Credit"/>
    <s v="4833-48__-____-1032"/>
    <d v="2023-11-09T00:00:00"/>
    <s v="CW Sylvia Park Glen Innes "/>
    <n v="-0.35"/>
    <x v="9"/>
    <x v="18"/>
    <x v="30"/>
  </r>
  <r>
    <s v="KiwiBank"/>
    <s v="Credit"/>
    <s v="4833-48__-____-1032"/>
    <d v="2023-11-13T00:00:00"/>
    <s v="MYRENT AUCKLAND "/>
    <n v="-51.46"/>
    <x v="12"/>
    <x v="17"/>
    <x v="51"/>
  </r>
  <r>
    <s v="KiwiBank"/>
    <s v="Credit"/>
    <s v="4833-48__-____-1032"/>
    <d v="2023-11-10T00:00:00"/>
    <s v="PAYMENT THANKYOU . "/>
    <n v="63.19"/>
    <x v="1"/>
    <x v="24"/>
    <x v="1"/>
  </r>
  <r>
    <s v="KiwiBank"/>
    <s v="Credit"/>
    <s v="4833-48__-____-1032"/>
    <d v="2023-11-13T00:00:00"/>
    <s v="PAYMENT THANKYOU . "/>
    <n v="0.39"/>
    <x v="1"/>
    <x v="24"/>
    <x v="1"/>
  </r>
  <r>
    <s v="KiwiBank"/>
    <s v="Credit"/>
    <s v="4833-48__-____-1032"/>
    <d v="2023-11-13T00:00:00"/>
    <s v="PAYMENT THANKYOU . "/>
    <n v="6.52"/>
    <x v="1"/>
    <x v="24"/>
    <x v="1"/>
  </r>
  <r>
    <s v="KiwiBank"/>
    <s v="Credit"/>
    <s v="4833-48__-____-1032"/>
    <d v="2023-11-13T00:00:00"/>
    <s v="SKINNY MOBILE (3) AUCKLAND "/>
    <n v="-10.27"/>
    <x v="7"/>
    <x v="10"/>
    <x v="10"/>
  </r>
  <r>
    <s v="KiwiBank"/>
    <s v="Credit"/>
    <s v="4833-48__-____-1032"/>
    <d v="2023-11-13T00:00:00"/>
    <s v="SKINNY MOBILE (3) AUCKLAND "/>
    <n v="-5.91"/>
    <x v="7"/>
    <x v="10"/>
    <x v="10"/>
  </r>
  <r>
    <s v="KiwiBank"/>
    <s v="Credit"/>
    <s v="4833-48__-____-1032"/>
    <d v="2023-11-13T00:00:00"/>
    <s v="SKINNY MOBILE (1) AUCKLAND "/>
    <n v="-10.74"/>
    <x v="7"/>
    <x v="10"/>
    <x v="10"/>
  </r>
  <r>
    <s v="KiwiBank"/>
    <s v="Credit"/>
    <s v="4833-48__-____-1032"/>
    <d v="2023-11-13T00:00:00"/>
    <s v="NEW WORLD STONEFIELDS AUCKLAND NZ "/>
    <n v="-6.44"/>
    <x v="0"/>
    <x v="0"/>
    <x v="0"/>
  </r>
  <r>
    <s v="KiwiBank"/>
    <s v="Credit"/>
    <s v="4833-48__-____-1032"/>
    <d v="2023-11-13T00:00:00"/>
    <s v="PAYMENT THANKYOU . "/>
    <n v="5.59"/>
    <x v="1"/>
    <x v="24"/>
    <x v="1"/>
  </r>
  <r>
    <s v="KiwiBank"/>
    <s v="Credit"/>
    <s v="4833-48__-____-1032"/>
    <d v="2023-11-13T00:00:00"/>
    <s v="Skycity Entertainmen Auckland "/>
    <n v="-12.9"/>
    <x v="3"/>
    <x v="3"/>
    <x v="34"/>
  </r>
  <r>
    <s v="KiwiBank"/>
    <s v="Credit"/>
    <s v="4833-48__-____-1032"/>
    <d v="2023-11-14T00:00:00"/>
    <s v="MITRE 10 MEGA MT WTGN MOUNT WELLING "/>
    <n v="-31.38"/>
    <x v="4"/>
    <x v="12"/>
    <x v="12"/>
  </r>
  <r>
    <s v="KiwiBank"/>
    <s v="Credit"/>
    <s v="4833-48__-____-1032"/>
    <d v="2023-11-13T00:00:00"/>
    <s v="PAYMENT THANKYOU . "/>
    <n v="12.92"/>
    <x v="1"/>
    <x v="24"/>
    <x v="1"/>
  </r>
  <r>
    <s v="KiwiBank"/>
    <s v="Credit"/>
    <s v="4833-48__-____-1032"/>
    <d v="2023-11-13T00:00:00"/>
    <s v="PAYMENT THANKYOU . "/>
    <n v="56.54"/>
    <x v="1"/>
    <x v="24"/>
    <x v="1"/>
  </r>
  <r>
    <s v="KiwiBank"/>
    <s v="Credit"/>
    <s v="4833-48__-____-1032"/>
    <d v="2023-11-16T00:00:00"/>
    <s v="AIA NEW ZEALAND AUCKLAND "/>
    <n v="-26.99"/>
    <x v="3"/>
    <x v="6"/>
    <x v="6"/>
  </r>
  <r>
    <s v="KiwiBank"/>
    <s v="Credit"/>
    <s v="4833-48__-____-1032"/>
    <d v="2023-11-15T00:00:00"/>
    <s v="PAYMENT THANKYOU . "/>
    <n v="145.96"/>
    <x v="1"/>
    <x v="24"/>
    <x v="1"/>
  </r>
  <r>
    <s v="KiwiBank"/>
    <s v="Credit"/>
    <s v="4833-48__-____-1032"/>
    <d v="2023-11-17T00:00:00"/>
    <s v="HESARISUPERMARKETPANMURE AUCKLAND "/>
    <n v="-98.07"/>
    <x v="0"/>
    <x v="0"/>
    <x v="0"/>
  </r>
  <r>
    <s v="KiwiBank"/>
    <s v="Credit"/>
    <s v="4833-48__-____-1032"/>
    <d v="2023-11-17T00:00:00"/>
    <s v="PAK N SAVE SYLVIA PARK AUCKLAND "/>
    <n v="-64.05"/>
    <x v="0"/>
    <x v="0"/>
    <x v="0"/>
  </r>
  <r>
    <s v="KiwiBank"/>
    <s v="Credit"/>
    <s v="4833-48__-____-1032"/>
    <d v="2023-11-17T00:00:00"/>
    <s v="HESARI BAKERY LIMITED AUCKLAND "/>
    <n v="-9.8699999999999992"/>
    <x v="0"/>
    <x v="0"/>
    <x v="0"/>
  </r>
  <r>
    <s v="KiwiBank"/>
    <s v="Credit"/>
    <s v="4833-48__-____-1032"/>
    <d v="2023-11-16T00:00:00"/>
    <s v="PAYMENT THANKYOU . "/>
    <n v="136.72"/>
    <x v="1"/>
    <x v="24"/>
    <x v="1"/>
  </r>
  <r>
    <s v="KiwiBank"/>
    <s v="Credit"/>
    <s v="4833-48__-____-1032"/>
    <d v="2023-11-16T00:00:00"/>
    <s v="PAYMENT THANKYOU . "/>
    <n v="34.53"/>
    <x v="1"/>
    <x v="24"/>
    <x v="1"/>
  </r>
  <r>
    <s v="KiwiBank"/>
    <s v="Credit"/>
    <s v="4833-48__-____-1032"/>
    <d v="2023-11-16T00:00:00"/>
    <s v="Kings Plant Barn Mount Welling "/>
    <n v="-64.209999999999994"/>
    <x v="4"/>
    <x v="12"/>
    <x v="12"/>
  </r>
  <r>
    <s v="KiwiBank"/>
    <s v="Credit"/>
    <s v="4833-48__-____-1032"/>
    <d v="2023-11-16T00:00:00"/>
    <s v="Dick Smith RH7PKXBL Auckland "/>
    <n v="-56.32"/>
    <x v="4"/>
    <x v="12"/>
    <x v="12"/>
  </r>
  <r>
    <s v="KiwiBank"/>
    <s v="Credit"/>
    <s v="4833-48__-____-1032"/>
    <d v="2023-11-16T00:00:00"/>
    <s v="Kings Plant Barn Mount Welling "/>
    <n v="-9.7899999999999991"/>
    <x v="4"/>
    <x v="12"/>
    <x v="12"/>
  </r>
  <r>
    <s v="KiwiBank"/>
    <s v="Credit"/>
    <s v="4833-48__-____-1032"/>
    <d v="2023-11-20T00:00:00"/>
    <s v="THE COSMETIC CLINIC AUCKLAND "/>
    <n v="-187.44"/>
    <x v="10"/>
    <x v="20"/>
    <x v="27"/>
  </r>
  <r>
    <s v="KiwiBank"/>
    <s v="Credit"/>
    <s v="4833-48__-____-1032"/>
    <d v="2023-11-20T00:00:00"/>
    <s v="COUNTDOWN GREEN/326 GREAT GREENLANE "/>
    <n v="-20.49"/>
    <x v="0"/>
    <x v="0"/>
    <x v="0"/>
  </r>
  <r>
    <s v="KiwiBank"/>
    <s v="Credit"/>
    <s v="4833-48__-____-1032"/>
    <d v="2023-11-20T00:00:00"/>
    <s v="PAYMENT THANKYOU . "/>
    <n v="52.81"/>
    <x v="1"/>
    <x v="24"/>
    <x v="1"/>
  </r>
  <r>
    <s v="KiwiBank"/>
    <s v="Credit"/>
    <s v="4833-48__-____-1032"/>
    <d v="2023-11-20T00:00:00"/>
    <s v="PAYMENT THANKYOU . "/>
    <n v="62.51"/>
    <x v="1"/>
    <x v="24"/>
    <x v="1"/>
  </r>
  <r>
    <s v="KiwiBank"/>
    <s v="Credit"/>
    <s v="4833-48__-____-1032"/>
    <d v="2023-11-20T00:00:00"/>
    <s v="THE HOTEL BRITOMART AUCKLAND "/>
    <n v="-191.41"/>
    <x v="3"/>
    <x v="8"/>
    <x v="8"/>
  </r>
  <r>
    <s v="KiwiBank"/>
    <s v="Credit"/>
    <s v="4833-48__-____-1032"/>
    <d v="2023-11-20T00:00:00"/>
    <s v="H&amp;M COMMERCIAL BAY AUCKLAND "/>
    <n v="-12.56"/>
    <x v="9"/>
    <x v="18"/>
    <x v="30"/>
  </r>
  <r>
    <s v="KiwiBank"/>
    <s v="Credit"/>
    <s v="4833-48__-____-1032"/>
    <d v="2023-11-20T00:00:00"/>
    <s v="Downtown Car Park Auckland "/>
    <n v="-4.13"/>
    <x v="6"/>
    <x v="9"/>
    <x v="21"/>
  </r>
  <r>
    <s v="KiwiBank"/>
    <s v="Credit"/>
    <s v="4833-48__-____-1032"/>
    <d v="2023-11-20T00:00:00"/>
    <s v="TART BAKERY AUCKLAND "/>
    <n v="-8.65"/>
    <x v="0"/>
    <x v="0"/>
    <x v="0"/>
  </r>
  <r>
    <s v="KiwiBank"/>
    <s v="Credit"/>
    <s v="4833-48__-____-1032"/>
    <d v="2023-11-20T00:00:00"/>
    <s v="PAYMENT THANKYOU . "/>
    <n v="59.13"/>
    <x v="1"/>
    <x v="24"/>
    <x v="1"/>
  </r>
  <r>
    <s v="KiwiBank"/>
    <s v="Credit"/>
    <s v="4833-48__-____-1032"/>
    <d v="2023-11-20T00:00:00"/>
    <s v="PAYMENT THANKYOU . "/>
    <n v="538.29999999999995"/>
    <x v="1"/>
    <x v="24"/>
    <x v="1"/>
  </r>
  <r>
    <s v="KiwiBank"/>
    <s v="Credit"/>
    <s v="4833-48__-____-1032"/>
    <d v="2023-11-20T00:00:00"/>
    <s v="PAYMENT THANKYOU . "/>
    <n v="2265.81"/>
    <x v="1"/>
    <x v="24"/>
    <x v="1"/>
  </r>
  <r>
    <s v="KiwiBank"/>
    <s v="Credit"/>
    <s v="4833-48__-____-1032"/>
    <d v="2023-11-20T00:00:00"/>
    <s v="PAYMENT THANKYOU . "/>
    <n v="490.8"/>
    <x v="1"/>
    <x v="24"/>
    <x v="1"/>
  </r>
  <r>
    <s v="KiwiBank"/>
    <s v="Credit"/>
    <s v="4833-48__-____-1032"/>
    <d v="2023-11-20T00:00:00"/>
    <s v="PAYMENT THANKYOU . "/>
    <n v="9.33"/>
    <x v="1"/>
    <x v="24"/>
    <x v="1"/>
  </r>
  <r>
    <s v="KiwiBank"/>
    <s v="Credit"/>
    <s v="4833-48__-____-1032"/>
    <d v="2023-11-20T00:00:00"/>
    <s v="TRADE DEPOT LIMITED AUCKLAND "/>
    <n v="-20.16"/>
    <x v="4"/>
    <x v="12"/>
    <x v="12"/>
  </r>
  <r>
    <s v="KiwiBank"/>
    <s v="Credit"/>
    <s v="4833-48__-____-1032"/>
    <d v="2023-11-20T00:00:00"/>
    <s v="AKL COUNCIL ONLINE AUCKLAND "/>
    <n v="-1901.03"/>
    <x v="2"/>
    <x v="28"/>
    <x v="43"/>
  </r>
  <r>
    <s v="KiwiBank"/>
    <s v="Credit"/>
    <s v="4833-48__-____-1032"/>
    <d v="2023-11-20T00:00:00"/>
    <s v="The Whitening Co Auckland "/>
    <n v="-86.37"/>
    <x v="10"/>
    <x v="20"/>
    <x v="27"/>
  </r>
  <r>
    <s v="KiwiBank"/>
    <s v="Credit"/>
    <s v="4833-48__-____-1032"/>
    <d v="2023-11-20T00:00:00"/>
    <s v="TSUJIRI AUCKLAND "/>
    <n v="-7.44"/>
    <x v="0"/>
    <x v="0"/>
    <x v="0"/>
  </r>
  <r>
    <s v="KiwiBank"/>
    <s v="Credit"/>
    <s v="4833-48__-____-1032"/>
    <d v="2023-11-20T00:00:00"/>
    <s v="Auckland Council Conv Fee AUCKLAND "/>
    <n v="-45.99"/>
    <x v="2"/>
    <x v="28"/>
    <x v="43"/>
  </r>
  <r>
    <s v="KiwiBank"/>
    <s v="Credit"/>
    <s v="4833-48__-____-1032"/>
    <d v="2023-11-20T00:00:00"/>
    <s v="Crispy Eatery Auckland "/>
    <n v="-2.35"/>
    <x v="3"/>
    <x v="8"/>
    <x v="8"/>
  </r>
  <r>
    <s v="KiwiBank"/>
    <s v="Credit"/>
    <s v="4833-48__-____-1032"/>
    <d v="2023-11-21T00:00:00"/>
    <s v="TOWER INSURANCE - EIS 093692079 "/>
    <n v="-97.17"/>
    <x v="2"/>
    <x v="33"/>
    <x v="49"/>
  </r>
  <r>
    <s v="KiwiBank"/>
    <s v="Credit"/>
    <s v="4833-48__-____-1032"/>
    <d v="2023-11-21T00:00:00"/>
    <s v="TOWER INSURANCE - EIS 093692079 "/>
    <n v="-0.59"/>
    <x v="4"/>
    <x v="11"/>
    <x v="11"/>
  </r>
  <r>
    <s v="KiwiBank"/>
    <s v="Credit"/>
    <s v="4833-48__-____-1032"/>
    <d v="2023-11-21T00:00:00"/>
    <s v="TOWER INSURANCE - EIS 093692079 "/>
    <n v="-5.97"/>
    <x v="12"/>
    <x v="33"/>
    <x v="49"/>
  </r>
  <r>
    <s v="KiwiBank"/>
    <s v="Credit"/>
    <s v="4833-48__-____-1032"/>
    <d v="2023-11-21T00:00:00"/>
    <s v="LE PETITE FOURCHETTE AUCKLAND "/>
    <n v="-1.72"/>
    <x v="0"/>
    <x v="0"/>
    <x v="0"/>
  </r>
  <r>
    <s v="KiwiBank"/>
    <s v="Credit"/>
    <s v="4833-48__-____-1032"/>
    <d v="2023-11-20T00:00:00"/>
    <s v="PAYMENT THANKYOU . "/>
    <n v="350.19"/>
    <x v="1"/>
    <x v="24"/>
    <x v="1"/>
  </r>
  <r>
    <s v="KiwiBank"/>
    <s v="Credit"/>
    <s v="4833-48__-____-1032"/>
    <d v="2023-11-20T00:00:00"/>
    <s v="PAYMENT THANKYOU . "/>
    <n v="28.64"/>
    <x v="1"/>
    <x v="24"/>
    <x v="1"/>
  </r>
  <r>
    <s v="KiwiBank"/>
    <s v="Credit"/>
    <s v="4833-48__-____-1032"/>
    <d v="2023-11-23T00:00:00"/>
    <s v="Chemist Warehouse NZ Onli Auckland "/>
    <n v="3.79"/>
    <x v="0"/>
    <x v="0"/>
    <x v="0"/>
  </r>
  <r>
    <s v="KiwiBank"/>
    <s v="Credit"/>
    <s v="4833-48__-____-1032"/>
    <d v="2023-11-22T00:00:00"/>
    <s v="Chemist Warehouse NZ Onli Auckland "/>
    <n v="-113.32"/>
    <x v="0"/>
    <x v="0"/>
    <x v="0"/>
  </r>
  <r>
    <s v="KiwiBank"/>
    <s v="Credit"/>
    <s v="4833-48__-____-1032"/>
    <d v="2023-11-22T00:00:00"/>
    <s v="UBER* TRIP CHRISTCHURCH "/>
    <n v="-13.5"/>
    <x v="6"/>
    <x v="9"/>
    <x v="33"/>
  </r>
  <r>
    <s v="KiwiBank"/>
    <s v="Credit"/>
    <s v="4833-48__-____-1032"/>
    <d v="2023-11-21T00:00:00"/>
    <s v="PAYMENT THANKYOU . "/>
    <n v="190.04"/>
    <x v="1"/>
    <x v="24"/>
    <x v="1"/>
  </r>
  <r>
    <s v="KiwiBank"/>
    <s v="Credit"/>
    <s v="4833-48__-____-1032"/>
    <d v="2023-11-21T00:00:00"/>
    <s v="Mighty APE Limited Millwater "/>
    <n v="-170.81"/>
    <x v="4"/>
    <x v="12"/>
    <x v="12"/>
  </r>
  <r>
    <s v="KiwiBank"/>
    <s v="Credit"/>
    <s v="4833-48__-____-1032"/>
    <d v="2023-11-22T00:00:00"/>
    <s v="PAYMENT THANKYOU . "/>
    <n v="225.44"/>
    <x v="1"/>
    <x v="24"/>
    <x v="1"/>
  </r>
  <r>
    <s v="KiwiBank"/>
    <s v="Credit"/>
    <s v="4833-48__-____-1032"/>
    <d v="2023-11-27T00:00:00"/>
    <s v="SP NIO TEAS ZURICH "/>
    <n v="-143.41"/>
    <x v="3"/>
    <x v="8"/>
    <x v="8"/>
  </r>
  <r>
    <s v="KiwiBank"/>
    <s v="Credit"/>
    <s v="4833-48__-____-1032"/>
    <d v="2023-11-24T00:00:00"/>
    <s v="SP FOXTROT HOME WAIPUKURAU "/>
    <n v="-14.9"/>
    <x v="9"/>
    <x v="18"/>
    <x v="30"/>
  </r>
  <r>
    <s v="KiwiBank"/>
    <s v="Credit"/>
    <s v="4833-48__-____-1032"/>
    <d v="2023-11-24T00:00:00"/>
    <s v="SP LUMOGLOW AUCKLAND "/>
    <n v="-170.2"/>
    <x v="3"/>
    <x v="8"/>
    <x v="8"/>
  </r>
  <r>
    <s v="KiwiBank"/>
    <s v="Credit"/>
    <s v="4833-48__-____-1032"/>
    <d v="2023-11-23T00:00:00"/>
    <s v="PAYMENT THANKYOU . "/>
    <n v="19.329999999999998"/>
    <x v="1"/>
    <x v="24"/>
    <x v="1"/>
  </r>
  <r>
    <s v="KiwiBank"/>
    <s v="Credit"/>
    <s v="4833-48__-____-1032"/>
    <d v="2023-11-23T00:00:00"/>
    <s v="The Whitening Co Auckland "/>
    <n v="-142.87"/>
    <x v="10"/>
    <x v="20"/>
    <x v="27"/>
  </r>
  <r>
    <s v="KiwiBank"/>
    <s v="Credit"/>
    <s v="4833-48__-____-1032"/>
    <d v="2023-11-27T00:00:00"/>
    <s v="MECCA SYLVIA PARK AUCKLAND "/>
    <n v="-99.61"/>
    <x v="9"/>
    <x v="29"/>
    <x v="48"/>
  </r>
  <r>
    <s v="KiwiBank"/>
    <s v="Credit"/>
    <s v="4833-48__-____-1032"/>
    <d v="2023-11-27T00:00:00"/>
    <s v="FARMERS AUCKLAND "/>
    <n v="-128.86000000000001"/>
    <x v="4"/>
    <x v="12"/>
    <x v="12"/>
  </r>
  <r>
    <s v="KiwiBank"/>
    <s v="Credit"/>
    <s v="4833-48__-____-1032"/>
    <d v="2023-11-27T00:00:00"/>
    <s v="PAK N SAVE SYLVIA PARK AUCKLAND "/>
    <n v="-22.36"/>
    <x v="0"/>
    <x v="0"/>
    <x v="0"/>
  </r>
  <r>
    <s v="KiwiBank"/>
    <s v="Credit"/>
    <s v="4833-48__-____-1032"/>
    <d v="2023-11-27T00:00:00"/>
    <s v="KMART AUCKLAND "/>
    <n v="-3.3"/>
    <x v="4"/>
    <x v="12"/>
    <x v="12"/>
  </r>
  <r>
    <s v="KiwiBank"/>
    <s v="Credit"/>
    <s v="4833-48__-____-1032"/>
    <d v="2023-11-24T00:00:00"/>
    <s v="PAYMENT THANKYOU . "/>
    <n v="277.23"/>
    <x v="1"/>
    <x v="24"/>
    <x v="1"/>
  </r>
  <r>
    <s v="KiwiBank"/>
    <s v="Credit"/>
    <s v="4833-48__-____-1032"/>
    <d v="2023-11-27T00:00:00"/>
    <s v="PAYMENT THANKYOU . "/>
    <n v="526.57000000000005"/>
    <x v="1"/>
    <x v="24"/>
    <x v="1"/>
  </r>
  <r>
    <s v="KiwiBank"/>
    <s v="Credit"/>
    <s v="4833-48__-____-1032"/>
    <d v="2023-11-27T00:00:00"/>
    <s v="PAYMENT THANKYOU . "/>
    <n v="671.34"/>
    <x v="1"/>
    <x v="24"/>
    <x v="1"/>
  </r>
  <r>
    <s v="KiwiBank"/>
    <s v="Credit"/>
    <s v="4833-48__-____-1032"/>
    <d v="2023-11-27T00:00:00"/>
    <s v="SHERIDAN ONEHUNGA AUCKLAND "/>
    <n v="-31.79"/>
    <x v="4"/>
    <x v="12"/>
    <x v="12"/>
  </r>
  <r>
    <s v="KiwiBank"/>
    <s v="Credit"/>
    <s v="4833-48__-____-1032"/>
    <d v="2023-11-27T00:00:00"/>
    <s v="R&amp;G DRESSMART AUCKLAND "/>
    <n v="-46.89"/>
    <x v="9"/>
    <x v="18"/>
    <x v="30"/>
  </r>
  <r>
    <s v="KiwiBank"/>
    <s v="Credit"/>
    <s v="4833-48__-____-1032"/>
    <d v="2023-11-27T00:00:00"/>
    <s v="WILD FERNS NEW ZEALAND AUCKLAND "/>
    <n v="-5.04"/>
    <x v="3"/>
    <x v="8"/>
    <x v="8"/>
  </r>
  <r>
    <s v="KiwiBank"/>
    <s v="Credit"/>
    <s v="4833-48__-____-1032"/>
    <d v="2023-11-27T00:00:00"/>
    <s v="GLENGARRY WINES AUCKLAND "/>
    <n v="-96"/>
    <x v="3"/>
    <x v="3"/>
    <x v="34"/>
  </r>
  <r>
    <s v="KiwiBank"/>
    <s v="Credit"/>
    <s v="4833-48__-____-1032"/>
    <d v="2023-11-27T00:00:00"/>
    <s v="CUE ONEHUNGA AUCKLAND "/>
    <n v="-21.09"/>
    <x v="9"/>
    <x v="18"/>
    <x v="30"/>
  </r>
  <r>
    <s v="KiwiBank"/>
    <s v="Credit"/>
    <s v="4833-48__-____-1032"/>
    <d v="2023-11-27T00:00:00"/>
    <s v="FOREIGN CURRENCY TXN FEE  "/>
    <n v="-0.05"/>
    <x v="5"/>
    <x v="7"/>
    <x v="7"/>
  </r>
  <r>
    <s v="KiwiBank"/>
    <s v="Credit"/>
    <s v="4833-48__-____-1032"/>
    <d v="2023-11-27T00:00:00"/>
    <s v="CURRENCY CONV ASSESSMENT  "/>
    <n v="-0.1"/>
    <x v="5"/>
    <x v="7"/>
    <x v="7"/>
  </r>
  <r>
    <s v="KiwiBank"/>
    <s v="Credit"/>
    <s v="4833-48__-____-1032"/>
    <d v="2023-11-27T00:00:00"/>
    <s v="US MOBILE* US MOBILE WWW.USMOBILE. NY;8.57 US DOLLAR  $ at 0.6035"/>
    <n v="-21.05"/>
    <x v="7"/>
    <x v="13"/>
    <x v="15"/>
  </r>
  <r>
    <s v="KiwiBank"/>
    <s v="Credit"/>
    <s v="4833-48__-____-1032"/>
    <d v="2023-11-27T00:00:00"/>
    <s v="Decjuba Onehunga Onehunga "/>
    <n v="-33.729999999999997"/>
    <x v="9"/>
    <x v="18"/>
    <x v="30"/>
  </r>
  <r>
    <s v="KiwiBank"/>
    <s v="Credit"/>
    <s v="4833-48__-____-1032"/>
    <d v="2023-11-27T00:00:00"/>
    <s v="PASTRAMI &amp; RYE AUCKLAND "/>
    <n v="-12.46"/>
    <x v="0"/>
    <x v="0"/>
    <x v="0"/>
  </r>
  <r>
    <s v="KiwiBank"/>
    <s v="Credit"/>
    <s v="4833-48__-____-1032"/>
    <d v="2023-11-27T00:00:00"/>
    <s v="QUIKSILVER OUTLET ONEHNGA ONEHUNGA "/>
    <n v="-2.2200000000000002"/>
    <x v="9"/>
    <x v="18"/>
    <x v="30"/>
  </r>
  <r>
    <s v="KiwiBank"/>
    <s v="Credit"/>
    <s v="4833-48__-____-1032"/>
    <d v="2023-11-27T00:00:00"/>
    <s v="PAYMENT THANKYOU . "/>
    <n v="15.13"/>
    <x v="1"/>
    <x v="24"/>
    <x v="1"/>
  </r>
  <r>
    <s v="KiwiBank"/>
    <s v="Credit"/>
    <s v="4833-48__-____-1032"/>
    <d v="2023-11-27T00:00:00"/>
    <s v="PAYMENT THANKYOU . "/>
    <n v="13.6"/>
    <x v="1"/>
    <x v="24"/>
    <x v="1"/>
  </r>
  <r>
    <s v="KiwiBank"/>
    <s v="Credit"/>
    <s v="4833-48__-____-1032"/>
    <d v="2023-11-29T00:00:00"/>
    <s v="AMZN Mktp US*810AS3MC3 Amzn.com/bill WA"/>
    <n v="-140.13999999999999"/>
    <x v="9"/>
    <x v="18"/>
    <x v="22"/>
  </r>
  <r>
    <s v="KiwiBank"/>
    <s v="Credit"/>
    <s v="4833-48__-____-1032"/>
    <d v="2023-11-28T00:00:00"/>
    <s v="LEXINIC AUCKLAND "/>
    <n v="-51.79"/>
    <x v="10"/>
    <x v="20"/>
    <x v="27"/>
  </r>
  <r>
    <s v="KiwiBank"/>
    <s v="Credit"/>
    <s v="4833-48__-____-1032"/>
    <d v="2023-11-28T00:00:00"/>
    <s v="LEXINIC AUCKLAND "/>
    <n v="-17.600000000000001"/>
    <x v="10"/>
    <x v="20"/>
    <x v="27"/>
  </r>
  <r>
    <s v="KiwiBank"/>
    <s v="Credit"/>
    <s v="4833-48__-____-1032"/>
    <d v="2023-11-29T00:00:00"/>
    <s v="TRADE DEPOT LIMITED AUCKLAND "/>
    <n v="784.87"/>
    <x v="4"/>
    <x v="12"/>
    <x v="12"/>
  </r>
  <r>
    <s v="KiwiBank"/>
    <s v="Credit"/>
    <s v="4833-48__-____-1032"/>
    <d v="2023-11-29T00:00:00"/>
    <s v="PAYMENT THANKYOU . "/>
    <n v="25.46"/>
    <x v="1"/>
    <x v="24"/>
    <x v="1"/>
  </r>
  <r>
    <s v="KiwiBank"/>
    <s v="Credit"/>
    <s v="4833-48__-____-1032"/>
    <d v="2023-11-29T00:00:00"/>
    <s v="PAYMENT THANKYOU . "/>
    <n v="29.28"/>
    <x v="1"/>
    <x v="24"/>
    <x v="1"/>
  </r>
  <r>
    <s v="KiwiBank"/>
    <s v="Credit"/>
    <s v="4833-48__-____-1032"/>
    <d v="2023-11-29T00:00:00"/>
    <s v="FOREIGN CURRENCY TXN FEE  "/>
    <n v="-0.88"/>
    <x v="5"/>
    <x v="7"/>
    <x v="7"/>
  </r>
  <r>
    <s v="KiwiBank"/>
    <s v="Credit"/>
    <s v="4833-48__-____-1032"/>
    <d v="2023-11-29T00:00:00"/>
    <s v="CURRENCY CONV ASSESSMENT  "/>
    <n v="-1.78"/>
    <x v="5"/>
    <x v="7"/>
    <x v="7"/>
  </r>
  <r>
    <s v="KiwiBank"/>
    <s v="Credit"/>
    <s v="4833-48__-____-1032"/>
    <d v="2023-11-29T00:00:00"/>
    <s v="SP MAKEUP CARTEL BUNDALL ;133.88 AUSTRALIAN DOLLAR at 0.9214"/>
    <n v="-177.55"/>
    <x v="9"/>
    <x v="18"/>
    <x v="22"/>
  </r>
  <r>
    <s v="KiwiBank"/>
    <s v="Credit"/>
    <s v="4833-48__-____-1032"/>
    <d v="2023-11-29T00:00:00"/>
    <s v="Caltex Waitangi Paihia "/>
    <n v="-72.540000000000006"/>
    <x v="6"/>
    <x v="9"/>
    <x v="14"/>
  </r>
  <r>
    <s v="KiwiBank"/>
    <s v="Credit"/>
    <s v="4833-48__-____-1032"/>
    <d v="2023-11-29T00:00:00"/>
    <s v="COUNTDOWN PAIHI/9 BLACKBR WAITANGI "/>
    <n v="-29.12"/>
    <x v="0"/>
    <x v="0"/>
    <x v="0"/>
  </r>
  <r>
    <s v="KiwiBank"/>
    <s v="Credit"/>
    <s v="4833-48__-____-1032"/>
    <d v="2023-11-28T00:00:00"/>
    <s v="PAYMENT THANKYOU . "/>
    <n v="46.81"/>
    <x v="1"/>
    <x v="24"/>
    <x v="1"/>
  </r>
  <r>
    <s v="KiwiBank"/>
    <s v="Credit"/>
    <s v="4833-48__-____-1032"/>
    <d v="2023-11-29T00:00:00"/>
    <s v="PAYMENT THANKYOU . "/>
    <n v="99.96"/>
    <x v="1"/>
    <x v="24"/>
    <x v="1"/>
  </r>
  <r>
    <s v="KiwiBank"/>
    <s v="Credit"/>
    <s v="4833-48__-____-1032"/>
    <d v="2023-11-29T00:00:00"/>
    <s v="NEW WORLD KERIKERI KERIKERI "/>
    <n v="-30.26"/>
    <x v="0"/>
    <x v="0"/>
    <x v="0"/>
  </r>
  <r>
    <s v="KiwiBank"/>
    <s v="Credit"/>
    <s v="4833-48__-____-1032"/>
    <d v="2023-12-01T00:00:00"/>
    <s v="ETHOS RUSSELL "/>
    <n v="-168.32"/>
    <x v="3"/>
    <x v="6"/>
    <x v="6"/>
  </r>
  <r>
    <s v="KiwiBank"/>
    <s v="Credit"/>
    <s v="4833-48__-____-1032"/>
    <d v="2023-12-01T00:00:00"/>
    <s v="HONE'S GARDEN RUSSELL "/>
    <n v="-101.65"/>
    <x v="3"/>
    <x v="8"/>
    <x v="8"/>
  </r>
  <r>
    <s v="KiwiBank"/>
    <s v="Credit"/>
    <s v="4833-48__-____-1032"/>
    <d v="2023-12-01T00:00:00"/>
    <s v="COUNTDOWN PAIHI/9 BLACKBR WAITANGI "/>
    <n v="-29.72"/>
    <x v="0"/>
    <x v="0"/>
    <x v="0"/>
  </r>
  <r>
    <s v="KiwiBank"/>
    <s v="Credit"/>
    <s v="4833-48__-____-1032"/>
    <d v="2023-12-01T00:00:00"/>
    <s v="HELL HOLE RUSSELL LTD RUSSELL "/>
    <n v="-13.26"/>
    <x v="0"/>
    <x v="0"/>
    <x v="0"/>
  </r>
  <r>
    <s v="KiwiBank"/>
    <s v="Credit"/>
    <s v="4833-48__-____-1032"/>
    <d v="2023-11-30T00:00:00"/>
    <s v="Bookme.Co.Nz New Zealand "/>
    <n v="-12.15"/>
    <x v="3"/>
    <x v="6"/>
    <x v="6"/>
  </r>
  <r>
    <s v="KiwiBank"/>
    <s v="Credit"/>
    <s v="4833-48__-____-1032"/>
    <d v="2023-11-30T00:00:00"/>
    <s v="Northland Ferries Pahia "/>
    <n v="-22.46"/>
    <x v="3"/>
    <x v="6"/>
    <x v="6"/>
  </r>
  <r>
    <s v="KiwiBank"/>
    <s v="Credit"/>
    <s v="4833-48__-____-1032"/>
    <d v="2023-12-04T00:00:00"/>
    <s v="PAYMENT THANKYOU . "/>
    <n v="7.27"/>
    <x v="1"/>
    <x v="24"/>
    <x v="1"/>
  </r>
  <r>
    <s v="KiwiBank"/>
    <s v="Credit"/>
    <s v="4833-48__-____-1032"/>
    <d v="2023-12-04T00:00:00"/>
    <s v="Makana Confections Kerikeri "/>
    <n v="-111.4"/>
    <x v="0"/>
    <x v="0"/>
    <x v="0"/>
  </r>
  <r>
    <s v="KiwiBank"/>
    <s v="Credit"/>
    <s v="4833-48__-____-1032"/>
    <d v="2023-12-04T00:00:00"/>
    <s v="THEA LTD AUCKLAND "/>
    <n v="-53.29"/>
    <x v="0"/>
    <x v="0"/>
    <x v="0"/>
  </r>
  <r>
    <s v="KiwiBank"/>
    <s v="Credit"/>
    <s v="4833-48__-____-1032"/>
    <d v="2023-12-04T00:00:00"/>
    <s v="The Old Packhouse Kerikeri "/>
    <n v="-1"/>
    <x v="0"/>
    <x v="0"/>
    <x v="0"/>
  </r>
  <r>
    <s v="KiwiBank"/>
    <s v="Credit"/>
    <s v="4833-48__-____-1032"/>
    <d v="2023-12-04T00:00:00"/>
    <s v="PAYMENT THANKYOU . "/>
    <n v="19.82"/>
    <x v="1"/>
    <x v="24"/>
    <x v="1"/>
  </r>
  <r>
    <s v="KiwiBank"/>
    <s v="Credit"/>
    <s v="4833-48__-____-1032"/>
    <d v="2023-12-04T00:00:00"/>
    <s v="COUNTDOWN GREEN/326 GREAT GREENLANE "/>
    <n v="-129.19"/>
    <x v="0"/>
    <x v="0"/>
    <x v="0"/>
  </r>
  <r>
    <s v="KiwiBank"/>
    <s v="Credit"/>
    <s v="4833-48__-____-1032"/>
    <d v="2023-12-07T00:00:00"/>
    <s v="APPLE.COM/BILL SYDNEY "/>
    <n v="-6.89"/>
    <x v="7"/>
    <x v="16"/>
    <x v="19"/>
  </r>
  <r>
    <s v="KiwiBank"/>
    <s v="Credit"/>
    <s v="4833-48__-____-1032"/>
    <d v="2023-12-05T00:00:00"/>
    <s v="PAYMENT THANKYOU . "/>
    <n v="116.3"/>
    <x v="1"/>
    <x v="24"/>
    <x v="1"/>
  </r>
  <r>
    <s v="KiwiBank"/>
    <s v="Credit"/>
    <s v="4833-48__-____-1032"/>
    <d v="2023-12-07T00:00:00"/>
    <s v="PAYMENT THANKYOU . "/>
    <n v="15.79"/>
    <x v="1"/>
    <x v="24"/>
    <x v="1"/>
  </r>
  <r>
    <s v="KiwiBank"/>
    <s v="Credit"/>
    <s v="4833-48__-____-1032"/>
    <d v="2023-12-07T00:00:00"/>
    <s v="UBER* TRIP CHRISTCHURCH "/>
    <n v="-3.09"/>
    <x v="6"/>
    <x v="9"/>
    <x v="33"/>
  </r>
  <r>
    <s v="KiwiBank"/>
    <s v="Credit"/>
    <s v="4833-48__-____-1032"/>
    <d v="2023-12-07T00:00:00"/>
    <s v="TOWER INSURANCE - EIS 093692079 "/>
    <n v="-10.39"/>
    <x v="4"/>
    <x v="34"/>
    <x v="50"/>
  </r>
  <r>
    <s v="KiwiBank"/>
    <s v="Credit"/>
    <s v="4833-48__-____-1032"/>
    <d v="2023-12-06T00:00:00"/>
    <s v="PAYMENT THANKYOU . "/>
    <n v="66.069999999999993"/>
    <x v="1"/>
    <x v="24"/>
    <x v="1"/>
  </r>
  <r>
    <s v="KiwiBank"/>
    <s v="Credit"/>
    <s v="4833-48__-____-1032"/>
    <d v="2023-12-08T00:00:00"/>
    <s v="MARRAM COMMUNITY TRUST WELLINGTON "/>
    <n v="-449.39"/>
    <x v="3"/>
    <x v="6"/>
    <x v="6"/>
  </r>
  <r>
    <s v="KiwiBank"/>
    <s v="Credit"/>
    <s v="4833-48__-____-1032"/>
    <d v="2023-12-08T00:00:00"/>
    <s v="Watercare Online Remuera "/>
    <n v="-84.05"/>
    <x v="4"/>
    <x v="4"/>
    <x v="4"/>
  </r>
  <r>
    <s v="KiwiBank"/>
    <s v="Credit"/>
    <s v="4833-48__-____-1032"/>
    <d v="2023-12-08T00:00:00"/>
    <s v="FARMERS AUCKLAND "/>
    <n v="-36.04"/>
    <x v="4"/>
    <x v="12"/>
    <x v="12"/>
  </r>
  <r>
    <s v="KiwiBank"/>
    <s v="Credit"/>
    <s v="4833-48__-____-1032"/>
    <d v="2023-12-08T00:00:00"/>
    <s v="Cotton On 9932 9932 -S Mt Wellington "/>
    <n v="-9.52"/>
    <x v="9"/>
    <x v="18"/>
    <x v="30"/>
  </r>
  <r>
    <s v="KiwiBank"/>
    <s v="Credit"/>
    <s v="4833-48__-____-1032"/>
    <d v="2023-12-08T00:00:00"/>
    <s v="Cotton On 9932 9932 -S Mt Wellington "/>
    <n v="-0.65"/>
    <x v="9"/>
    <x v="18"/>
    <x v="30"/>
  </r>
  <r>
    <s v="KiwiBank"/>
    <s v="Credit"/>
    <s v="4833-48__-____-1032"/>
    <d v="2023-12-07T00:00:00"/>
    <s v="PAYMENT THANKYOU . "/>
    <n v="47.09"/>
    <x v="1"/>
    <x v="24"/>
    <x v="1"/>
  </r>
  <r>
    <s v="KiwiBank"/>
    <s v="Credit"/>
    <s v="4833-48__-____-1032"/>
    <d v="2023-12-07T00:00:00"/>
    <s v="BBB Stonefields Stonefields "/>
    <n v="-18.850000000000001"/>
    <x v="4"/>
    <x v="12"/>
    <x v="12"/>
  </r>
  <r>
    <s v="KiwiBank"/>
    <s v="Credit"/>
    <s v="4833-48__-____-1032"/>
    <d v="2023-12-11T00:00:00"/>
    <s v="PAK N SAVE SYLVIA PARK AUCKLAND "/>
    <n v="-174.58"/>
    <x v="0"/>
    <x v="0"/>
    <x v="0"/>
  </r>
  <r>
    <s v="KiwiBank"/>
    <s v="Credit"/>
    <s v="4833-48__-____-1032"/>
    <d v="2023-12-11T00:00:00"/>
    <s v="COUNTDOWN MT WE/PENROSE R MT WELLINGTON "/>
    <n v="-74.790000000000006"/>
    <x v="0"/>
    <x v="0"/>
    <x v="0"/>
  </r>
  <r>
    <s v="KiwiBank"/>
    <s v="Credit"/>
    <s v="4833-48__-____-1032"/>
    <d v="2023-12-11T00:00:00"/>
    <s v="Chemist Warehouse Sylvia Park "/>
    <n v="-66.5"/>
    <x v="0"/>
    <x v="0"/>
    <x v="0"/>
  </r>
  <r>
    <s v="KiwiBank"/>
    <s v="Credit"/>
    <s v="4833-48__-____-1032"/>
    <d v="2023-12-11T00:00:00"/>
    <s v="SKINNY MOBILE (3) AUCKLAND "/>
    <n v="-13.98"/>
    <x v="7"/>
    <x v="10"/>
    <x v="10"/>
  </r>
  <r>
    <s v="KiwiBank"/>
    <s v="Credit"/>
    <s v="4833-48__-____-1032"/>
    <d v="2023-12-08T00:00:00"/>
    <s v="PAYMENT THANKYOU . "/>
    <n v="98.79"/>
    <x v="1"/>
    <x v="24"/>
    <x v="1"/>
  </r>
  <r>
    <s v="KiwiBank"/>
    <s v="Credit"/>
    <s v="4833-48__-____-1032"/>
    <d v="2023-12-08T00:00:00"/>
    <s v="PAYMENT THANKYOU . "/>
    <n v="17.489999999999998"/>
    <x v="1"/>
    <x v="24"/>
    <x v="1"/>
  </r>
  <r>
    <s v="KiwiBank"/>
    <s v="Credit"/>
    <s v="4833-48__-____-1032"/>
    <d v="2023-12-11T00:00:00"/>
    <s v="H&amp;M NEWMARKET AUCKLAND "/>
    <n v="35.26"/>
    <x v="4"/>
    <x v="12"/>
    <x v="12"/>
  </r>
  <r>
    <s v="KiwiBank"/>
    <s v="Credit"/>
    <s v="4833-48__-____-1032"/>
    <d v="2023-12-11T00:00:00"/>
    <s v="PAYMENT THANKYOU . "/>
    <n v="85.54"/>
    <x v="1"/>
    <x v="24"/>
    <x v="1"/>
  </r>
  <r>
    <s v="KiwiBank"/>
    <s v="Credit"/>
    <s v="4833-48__-____-1032"/>
    <d v="2023-12-11T00:00:00"/>
    <s v="PAYMENT THANKYOU . "/>
    <n v="9.5399999999999991"/>
    <x v="1"/>
    <x v="24"/>
    <x v="1"/>
  </r>
  <r>
    <s v="KiwiBank"/>
    <s v="Credit"/>
    <s v="4833-48__-____-1032"/>
    <d v="2023-12-11T00:00:00"/>
    <s v="PAYMENT THANKYOU . "/>
    <n v="81.84"/>
    <x v="1"/>
    <x v="24"/>
    <x v="1"/>
  </r>
  <r>
    <s v="KiwiBank"/>
    <s v="Credit"/>
    <s v="4833-48__-____-1032"/>
    <d v="2023-12-11T00:00:00"/>
    <s v="PAYMENT THANKYOU . "/>
    <n v="431.04"/>
    <x v="1"/>
    <x v="24"/>
    <x v="1"/>
  </r>
  <r>
    <s v="KiwiBank"/>
    <s v="Credit"/>
    <s v="4833-48__-____-1032"/>
    <d v="2023-12-11T00:00:00"/>
    <s v="COUNTDOWN NEWMA/277 BROAD NEWMARKET "/>
    <n v="-100.9"/>
    <x v="0"/>
    <x v="0"/>
    <x v="0"/>
  </r>
  <r>
    <s v="KiwiBank"/>
    <s v="Credit"/>
    <s v="4833-48__-____-1032"/>
    <d v="2023-12-11T00:00:00"/>
    <s v="Lexinic Auckland "/>
    <n v="-49.83"/>
    <x v="10"/>
    <x v="20"/>
    <x v="27"/>
  </r>
  <r>
    <s v="KiwiBank"/>
    <s v="Credit"/>
    <s v="4833-48__-____-1032"/>
    <d v="2023-12-11T00:00:00"/>
    <s v="TAI PING PAKURANGA AUCKLAND "/>
    <n v="-14.57"/>
    <x v="0"/>
    <x v="0"/>
    <x v="0"/>
  </r>
  <r>
    <s v="KiwiBank"/>
    <s v="Credit"/>
    <s v="4833-48__-____-1032"/>
    <d v="2023-12-11T00:00:00"/>
    <s v="SKINNY MOBILE (3) AUCKLAND "/>
    <n v="-6.26"/>
    <x v="7"/>
    <x v="10"/>
    <x v="10"/>
  </r>
  <r>
    <s v="KiwiBank"/>
    <s v="Credit"/>
    <s v="4833-48__-____-1032"/>
    <d v="2023-12-11T00:00:00"/>
    <s v="H&amp;M NEWMARKET AUCKLAND "/>
    <n v="-54.88"/>
    <x v="4"/>
    <x v="12"/>
    <x v="12"/>
  </r>
  <r>
    <s v="KiwiBank"/>
    <s v="Credit"/>
    <s v="4833-48__-____-1032"/>
    <d v="2023-12-11T00:00:00"/>
    <s v="H&amp;M NEWMARKET AUCKLAND "/>
    <n v="-27.54"/>
    <x v="4"/>
    <x v="12"/>
    <x v="12"/>
  </r>
  <r>
    <s v="KiwiBank"/>
    <s v="Credit"/>
    <s v="4833-48__-____-1032"/>
    <d v="2023-12-11T00:00:00"/>
    <s v="PITA HOUSE PAKURANGA AUCKLAND "/>
    <n v="-62.07"/>
    <x v="0"/>
    <x v="0"/>
    <x v="0"/>
  </r>
  <r>
    <s v="KiwiBank"/>
    <s v="Credit"/>
    <s v="4833-48__-____-1032"/>
    <d v="2023-12-11T00:00:00"/>
    <s v="HESARISUPERMARKETPANMURE AUCKLAND "/>
    <n v="-6.48"/>
    <x v="0"/>
    <x v="0"/>
    <x v="0"/>
  </r>
  <r>
    <s v="KiwiBank"/>
    <s v="Credit"/>
    <s v="4833-48__-____-1032"/>
    <d v="2023-12-11T00:00:00"/>
    <s v="Luna Bakehouse Auckland "/>
    <n v="-23.62"/>
    <x v="0"/>
    <x v="0"/>
    <x v="0"/>
  </r>
  <r>
    <s v="KiwiBank"/>
    <s v="Credit"/>
    <s v="4833-48__-____-1032"/>
    <d v="2023-12-11T00:00:00"/>
    <s v="HARRIS ROAD SUPERETT AUCKLAND "/>
    <n v="-1.73"/>
    <x v="0"/>
    <x v="0"/>
    <x v="0"/>
  </r>
  <r>
    <s v="KiwiBank"/>
    <s v="Credit"/>
    <s v="4833-48__-____-1032"/>
    <d v="2023-12-11T00:00:00"/>
    <s v="HARRIS ROAD SUPERETT AUCKLAND "/>
    <n v="-4.16"/>
    <x v="0"/>
    <x v="0"/>
    <x v="0"/>
  </r>
  <r>
    <s v="KiwiBank"/>
    <s v="Credit"/>
    <s v="4833-48__-____-1032"/>
    <d v="2023-12-11T00:00:00"/>
    <s v="PAYMENT THANKYOU . "/>
    <n v="28.28"/>
    <x v="1"/>
    <x v="24"/>
    <x v="1"/>
  </r>
  <r>
    <s v="KiwiBank"/>
    <s v="Credit"/>
    <s v="4833-48__-____-1032"/>
    <d v="2023-12-11T00:00:00"/>
    <s v="PAYMENT THANKYOU . "/>
    <n v="97.99"/>
    <x v="1"/>
    <x v="24"/>
    <x v="1"/>
  </r>
  <r>
    <s v="KiwiBank"/>
    <s v="Credit"/>
    <s v="4833-48__-____-1032"/>
    <d v="2023-12-11T00:00:00"/>
    <s v="PAYMENT THANKYOU . "/>
    <n v="52.85"/>
    <x v="1"/>
    <x v="24"/>
    <x v="1"/>
  </r>
  <r>
    <s v="KiwiBank"/>
    <s v="Credit"/>
    <s v="4833-48__-____-1032"/>
    <d v="2023-12-11T00:00:00"/>
    <s v="CONTACT ENERGY WELLINGTON "/>
    <n v="-40.700000000000003"/>
    <x v="4"/>
    <x v="5"/>
    <x v="5"/>
  </r>
  <r>
    <s v="KiwiBank"/>
    <s v="Credit"/>
    <s v="4833-48__-____-1032"/>
    <d v="2023-12-11T00:00:00"/>
    <s v="MYRENT AUCKLAND "/>
    <n v="-34.72"/>
    <x v="12"/>
    <x v="17"/>
    <x v="51"/>
  </r>
  <r>
    <s v="KiwiBank"/>
    <s v="Credit"/>
    <s v="4833-48__-____-1032"/>
    <d v="2023-12-11T00:00:00"/>
    <s v="COUNTDOWN HALSE/100 HALSE HALSEY STREET "/>
    <n v="-3.63"/>
    <x v="0"/>
    <x v="0"/>
    <x v="0"/>
  </r>
  <r>
    <s v="KiwiBank"/>
    <s v="Credit"/>
    <s v="4833-48__-____-1032"/>
    <d v="2023-12-13T00:00:00"/>
    <s v="Lexinic Auckland "/>
    <n v="-595.82000000000005"/>
    <x v="10"/>
    <x v="20"/>
    <x v="27"/>
  </r>
  <r>
    <s v="KiwiBank"/>
    <s v="Credit"/>
    <s v="4833-48__-____-1032"/>
    <d v="2023-12-12T00:00:00"/>
    <s v="PAYMENT THANKYOU . "/>
    <n v="378.63"/>
    <x v="1"/>
    <x v="24"/>
    <x v="1"/>
  </r>
  <r>
    <s v="KiwiBank"/>
    <s v="Credit"/>
    <s v="4833-48__-____-1032"/>
    <d v="2023-12-14T00:00:00"/>
    <s v="PAYMENT THANKYOU . "/>
    <n v="234.9"/>
    <x v="1"/>
    <x v="24"/>
    <x v="1"/>
  </r>
  <r>
    <s v="KiwiBank"/>
    <s v="Credit"/>
    <s v="4833-48__-____-1032"/>
    <d v="2023-12-14T00:00:00"/>
    <s v="PAK N SAVE SYLVIA PARK AUCKLAND "/>
    <n v="-35.47"/>
    <x v="0"/>
    <x v="0"/>
    <x v="0"/>
  </r>
  <r>
    <s v="KiwiBank"/>
    <s v="Credit"/>
    <s v="4833-48__-____-1032"/>
    <d v="2023-12-14T00:00:00"/>
    <s v="YUM CHA RESTAURANT AUCKLAND "/>
    <n v="-2.69"/>
    <x v="3"/>
    <x v="8"/>
    <x v="8"/>
  </r>
  <r>
    <s v="KiwiBank"/>
    <s v="Credit"/>
    <s v="4833-48__-____-1032"/>
    <d v="2023-12-14T00:00:00"/>
    <s v="SARDINE AKL AUCKLAND "/>
    <n v="-27.77"/>
    <x v="3"/>
    <x v="8"/>
    <x v="8"/>
  </r>
  <r>
    <s v="KiwiBank"/>
    <s v="Credit"/>
    <s v="4833-48__-____-1032"/>
    <d v="2023-12-13T00:00:00"/>
    <s v="PAYMENT THANKYOU . "/>
    <n v="11.88"/>
    <x v="1"/>
    <x v="24"/>
    <x v="1"/>
  </r>
  <r>
    <s v="KiwiBank"/>
    <s v="Credit"/>
    <s v="4833-48__-____-1032"/>
    <d v="2023-12-18T00:00:00"/>
    <s v="AIA NEW ZEALAND AUCKLAND "/>
    <n v="-41.55"/>
    <x v="3"/>
    <x v="6"/>
    <x v="6"/>
  </r>
  <r>
    <s v="KiwiBank"/>
    <s v="Credit"/>
    <s v="4833-48__-____-1032"/>
    <d v="2023-12-15T00:00:00"/>
    <s v="Briscoes Panmure Mt Wellington "/>
    <n v="-8.7799999999999994"/>
    <x v="4"/>
    <x v="12"/>
    <x v="12"/>
  </r>
  <r>
    <s v="KiwiBank"/>
    <s v="Credit"/>
    <s v="4833-48__-____-1032"/>
    <d v="2023-12-14T00:00:00"/>
    <s v="PAYMENT THANKYOU . "/>
    <n v="52.18"/>
    <x v="1"/>
    <x v="24"/>
    <x v="1"/>
  </r>
  <r>
    <s v="KiwiBank"/>
    <s v="Credit"/>
    <s v="4833-48__-____-1032"/>
    <d v="2023-12-15T00:00:00"/>
    <s v="PAYMENT THANKYOU . "/>
    <n v="131.13"/>
    <x v="1"/>
    <x v="24"/>
    <x v="1"/>
  </r>
  <r>
    <s v="KiwiBank"/>
    <s v="Credit"/>
    <s v="4833-48__-____-1032"/>
    <d v="2023-12-15T00:00:00"/>
    <s v="PAYMENT THANKYOU . "/>
    <n v="8.89"/>
    <x v="1"/>
    <x v="24"/>
    <x v="1"/>
  </r>
  <r>
    <s v="KiwiBank"/>
    <s v="Credit"/>
    <s v="4833-48__-____-1032"/>
    <d v="2023-12-15T00:00:00"/>
    <s v="Luna Bakehouse Auckland "/>
    <n v="-1.36"/>
    <x v="0"/>
    <x v="0"/>
    <x v="0"/>
  </r>
  <r>
    <s v="KiwiBank"/>
    <s v="Credit"/>
    <s v="4833-48__-____-1032"/>
    <d v="2023-12-18T00:00:00"/>
    <s v="PAYMENT THANKYOU . "/>
    <n v="14.6"/>
    <x v="1"/>
    <x v="24"/>
    <x v="1"/>
  </r>
  <r>
    <s v="KiwiBank"/>
    <s v="Credit"/>
    <s v="4833-48__-____-1032"/>
    <d v="2023-12-18T00:00:00"/>
    <s v="PAYMENT THANKYOU . "/>
    <n v="6.6"/>
    <x v="1"/>
    <x v="24"/>
    <x v="1"/>
  </r>
  <r>
    <s v="KiwiBank"/>
    <s v="Credit"/>
    <s v="4833-48__-____-1032"/>
    <d v="2023-12-18T00:00:00"/>
    <s v="PAYMENT THANKYOU . "/>
    <n v="46.55"/>
    <x v="1"/>
    <x v="24"/>
    <x v="1"/>
  </r>
  <r>
    <s v="KiwiBank"/>
    <s v="Credit"/>
    <s v="4833-48__-____-1032"/>
    <d v="2023-12-18T00:00:00"/>
    <s v="PAYMENT THANKYOU . "/>
    <n v="19.62"/>
    <x v="1"/>
    <x v="24"/>
    <x v="1"/>
  </r>
  <r>
    <s v="KiwiBank"/>
    <s v="Credit"/>
    <s v="4833-48__-____-1032"/>
    <d v="2023-12-18T00:00:00"/>
    <s v="LEBANESE GROCER AUCKLAND "/>
    <n v="-39.04"/>
    <x v="0"/>
    <x v="0"/>
    <x v="0"/>
  </r>
  <r>
    <s v="KiwiBank"/>
    <s v="Credit"/>
    <s v="4833-48__-____-1032"/>
    <d v="2023-12-18T00:00:00"/>
    <s v="FREEDOM FURNITURE 82 AUCKLAND "/>
    <n v="-22.15"/>
    <x v="4"/>
    <x v="12"/>
    <x v="12"/>
  </r>
  <r>
    <s v="KiwiBank"/>
    <s v="Credit"/>
    <s v="4833-48__-____-1032"/>
    <d v="2023-12-18T00:00:00"/>
    <s v="Melba Vulcan Lane Auckland "/>
    <n v="-2.2400000000000002"/>
    <x v="3"/>
    <x v="8"/>
    <x v="8"/>
  </r>
  <r>
    <s v="KiwiBank"/>
    <s v="Credit"/>
    <s v="4833-48__-____-1032"/>
    <d v="2023-12-18T00:00:00"/>
    <s v="AT Parking Auckland "/>
    <n v="-6.66"/>
    <x v="6"/>
    <x v="9"/>
    <x v="21"/>
  </r>
  <r>
    <s v="KiwiBank"/>
    <s v="Credit"/>
    <s v="4833-48__-____-1032"/>
    <d v="2023-12-19T00:00:00"/>
    <s v="LE PETITE FOURCHETTE AUCKLAND "/>
    <n v="-0.78"/>
    <x v="0"/>
    <x v="0"/>
    <x v="0"/>
  </r>
  <r>
    <s v="KiwiBank"/>
    <s v="Credit"/>
    <s v="4833-48__-____-1032"/>
    <d v="2023-12-18T00:00:00"/>
    <s v="PAYMENT THANKYOU . "/>
    <n v="19.36"/>
    <x v="1"/>
    <x v="24"/>
    <x v="1"/>
  </r>
  <r>
    <s v="KiwiBank"/>
    <s v="Credit"/>
    <s v="4833-48__-____-1032"/>
    <d v="2023-12-20T00:00:00"/>
    <s v="FMK EPSOM AUCKLAND "/>
    <n v="-260.64999999999998"/>
    <x v="9"/>
    <x v="29"/>
    <x v="44"/>
  </r>
  <r>
    <s v="KiwiBank"/>
    <s v="Credit"/>
    <s v="4833-48__-____-1032"/>
    <d v="2023-12-20T00:00:00"/>
    <s v="AT Hop Auckland Remuera "/>
    <n v="-4.63"/>
    <x v="6"/>
    <x v="9"/>
    <x v="33"/>
  </r>
  <r>
    <s v="KiwiBank"/>
    <s v="Credit"/>
    <s v="4833-48__-____-1032"/>
    <d v="2023-12-20T00:00:00"/>
    <s v="Chemist Warehouse Newmarket "/>
    <n v="-2.36"/>
    <x v="0"/>
    <x v="0"/>
    <x v="0"/>
  </r>
  <r>
    <s v="KiwiBank"/>
    <s v="Credit"/>
    <s v="4833-48__-____-1032"/>
    <d v="2023-12-19T00:00:00"/>
    <s v="PAYMENT THANKYOU . "/>
    <n v="12.57"/>
    <x v="1"/>
    <x v="24"/>
    <x v="1"/>
  </r>
  <r>
    <s v="KiwiBank"/>
    <s v="Credit"/>
    <s v="4833-48__-____-1032"/>
    <d v="2023-12-22T00:00:00"/>
    <s v="APPLE.COM/BILL SYDNEY "/>
    <n v="-21.13"/>
    <x v="7"/>
    <x v="16"/>
    <x v="19"/>
  </r>
  <r>
    <s v="KiwiBank"/>
    <s v="Credit"/>
    <s v="4833-48__-____-1032"/>
    <d v="2023-12-21T00:00:00"/>
    <s v="PAYMENT THANKYOU . "/>
    <n v="44.29"/>
    <x v="1"/>
    <x v="24"/>
    <x v="1"/>
  </r>
  <r>
    <s v="KiwiBank"/>
    <s v="Credit"/>
    <s v="4833-48__-____-1032"/>
    <d v="2023-12-21T00:00:00"/>
    <s v="TOWER INSURANCE - EIS 093692079 "/>
    <n v="-182.21"/>
    <x v="2"/>
    <x v="33"/>
    <x v="49"/>
  </r>
  <r>
    <s v="KiwiBank"/>
    <s v="Credit"/>
    <s v="4833-48__-____-1032"/>
    <d v="2023-12-21T00:00:00"/>
    <s v="TOWER INSURANCE - EIS 093692079 "/>
    <n v="-122.15"/>
    <x v="4"/>
    <x v="11"/>
    <x v="11"/>
  </r>
  <r>
    <s v="KiwiBank"/>
    <s v="Credit"/>
    <s v="4833-48__-____-1032"/>
    <d v="2023-12-21T00:00:00"/>
    <s v="TOWER INSURANCE - EIS 093692079 "/>
    <n v="-13.15"/>
    <x v="12"/>
    <x v="33"/>
    <x v="49"/>
  </r>
  <r>
    <s v="KiwiBank"/>
    <s v="Credit"/>
    <s v="4833-48__-____-1032"/>
    <d v="2023-12-21T00:00:00"/>
    <s v="FREEDOM FURNITURE 82 AUCKLAND "/>
    <n v="-1.84"/>
    <x v="4"/>
    <x v="12"/>
    <x v="12"/>
  </r>
  <r>
    <s v="KiwiBank"/>
    <s v="Credit"/>
    <s v="4833-48__-____-1032"/>
    <d v="2023-12-21T00:00:00"/>
    <s v="HESARISUPERMARKETPANMURE AUCKLAND "/>
    <n v="-34.020000000000003"/>
    <x v="0"/>
    <x v="0"/>
    <x v="0"/>
  </r>
  <r>
    <s v="KiwiBank"/>
    <s v="Credit"/>
    <s v="4833-48__-____-1032"/>
    <d v="2023-12-21T00:00:00"/>
    <s v="TAIPING ASIAN SUPERMARKET AUCKLAND "/>
    <n v="-47"/>
    <x v="0"/>
    <x v="0"/>
    <x v="0"/>
  </r>
  <r>
    <s v="KiwiBank"/>
    <s v="Credit"/>
    <s v="4833-48__-____-1032"/>
    <d v="2023-12-21T00:00:00"/>
    <s v="Kings Plant Barn Mount Welling "/>
    <n v="-28.03"/>
    <x v="4"/>
    <x v="12"/>
    <x v="12"/>
  </r>
  <r>
    <s v="KiwiBank"/>
    <s v="Credit"/>
    <s v="4833-48__-____-1032"/>
    <d v="2023-12-20T00:00:00"/>
    <s v="PAYMENT THANKYOU . "/>
    <n v="148.31"/>
    <x v="1"/>
    <x v="24"/>
    <x v="1"/>
  </r>
  <r>
    <s v="KiwiBank"/>
    <s v="Credit"/>
    <s v="4833-48__-____-1032"/>
    <d v="2023-12-27T00:00:00"/>
    <s v="AELIA DUTY FREE DEPARTURE AUCKLAND "/>
    <n v="-116.16"/>
    <x v="3"/>
    <x v="6"/>
    <x v="6"/>
  </r>
  <r>
    <s v="KiwiBank"/>
    <s v="Credit"/>
    <s v="4833-48__-____-1032"/>
    <d v="2023-12-27T00:00:00"/>
    <s v="UBER* TRIP CHRISTCHURCH "/>
    <n v="-7.95"/>
    <x v="6"/>
    <x v="9"/>
    <x v="33"/>
  </r>
  <r>
    <s v="KiwiBank"/>
    <s v="Credit"/>
    <s v="4833-48__-____-1032"/>
    <d v="2023-12-27T00:00:00"/>
    <s v="KFC AUCKLAND AIRPORT 636 AUCKLAND "/>
    <n v="-9.14"/>
    <x v="3"/>
    <x v="8"/>
    <x v="8"/>
  </r>
  <r>
    <s v="KiwiBank"/>
    <s v="Credit"/>
    <s v="4833-48__-____-1032"/>
    <d v="2023-12-22T00:00:00"/>
    <s v="PAYMENT THANKYOU . "/>
    <n v="247.51"/>
    <x v="1"/>
    <x v="24"/>
    <x v="1"/>
  </r>
  <r>
    <s v="KiwiBank"/>
    <s v="Credit"/>
    <s v="4833-48__-____-1032"/>
    <d v="2023-12-27T00:00:00"/>
    <s v="PAYMENT THANKYOU . "/>
    <n v="73.78"/>
    <x v="1"/>
    <x v="24"/>
    <x v="1"/>
  </r>
  <r>
    <s v="KiwiBank"/>
    <s v="Credit"/>
    <s v="4833-48__-____-1032"/>
    <d v="2023-12-27T00:00:00"/>
    <s v="FOREIGN CURRENCY TXN FEE  "/>
    <n v="-0.11"/>
    <x v="5"/>
    <x v="7"/>
    <x v="7"/>
  </r>
  <r>
    <s v="KiwiBank"/>
    <s v="Credit"/>
    <s v="4833-48__-____-1032"/>
    <d v="2023-12-27T00:00:00"/>
    <s v="CURRENCY CONV ASSESSMENT  "/>
    <n v="-0.2"/>
    <x v="5"/>
    <x v="7"/>
    <x v="7"/>
  </r>
  <r>
    <s v="KiwiBank"/>
    <s v="Credit"/>
    <s v="4833-48__-____-1032"/>
    <d v="2023-12-27T00:00:00"/>
    <s v="Centrefold Lounge Melbourne ;47.06 AUSTRALIAN DOLLAR at 0.9242"/>
    <n v="-48.49"/>
    <x v="3"/>
    <x v="8"/>
    <x v="8"/>
  </r>
  <r>
    <s v="KiwiBank"/>
    <s v="Credit"/>
    <s v="4833-48__-____-1032"/>
    <d v="2023-12-27T00:00:00"/>
    <s v="FOREIGN CURRENCY TXN FEE  "/>
    <n v="-0.13"/>
    <x v="5"/>
    <x v="7"/>
    <x v="7"/>
  </r>
  <r>
    <s v="KiwiBank"/>
    <s v="Credit"/>
    <s v="4833-48__-____-1032"/>
    <d v="2023-12-27T00:00:00"/>
    <s v="CURRENCY CONV ASSESSMENT  "/>
    <n v="-0.18"/>
    <x v="5"/>
    <x v="7"/>
    <x v="7"/>
  </r>
  <r>
    <s v="KiwiBank"/>
    <s v="Credit"/>
    <s v="4833-48__-____-1032"/>
    <d v="2023-12-27T00:00:00"/>
    <s v="US MOBILE* US MOBILE WWW.USMOBILE. NY;8.57 US DOLLAR  $ at 0.6274"/>
    <n v="-20.100000000000001"/>
    <x v="7"/>
    <x v="13"/>
    <x v="15"/>
  </r>
  <r>
    <s v="KiwiBank"/>
    <s v="Credit"/>
    <s v="4833-48__-____-1032"/>
    <d v="2023-12-27T00:00:00"/>
    <s v="PAYMENT THANKYOU . "/>
    <n v="8.5500000000000007"/>
    <x v="1"/>
    <x v="24"/>
    <x v="1"/>
  </r>
  <r>
    <s v="KiwiBank"/>
    <s v="Credit"/>
    <s v="4833-48__-____-1032"/>
    <d v="2023-12-28T00:00:00"/>
    <s v="PAYMENT THANKYOU . "/>
    <n v="0.49"/>
    <x v="1"/>
    <x v="24"/>
    <x v="1"/>
  </r>
  <r>
    <s v="KiwiBank"/>
    <s v="Credit"/>
    <s v="4833-48__-____-1032"/>
    <d v="2024-01-03T00:00:00"/>
    <s v="FOREIGN CURRENCY TXN FEE  "/>
    <n v="-1.86"/>
    <x v="5"/>
    <x v="7"/>
    <x v="7"/>
  </r>
  <r>
    <s v="KiwiBank"/>
    <s v="Credit"/>
    <s v="4833-48__-____-1032"/>
    <d v="2024-01-03T00:00:00"/>
    <s v="CURRENCY CONV ASSESSMENT  "/>
    <n v="-2.2599999999999998"/>
    <x v="5"/>
    <x v="7"/>
    <x v="7"/>
  </r>
  <r>
    <s v="KiwiBank"/>
    <s v="Credit"/>
    <s v="4833-48__-____-1032"/>
    <d v="2024-01-03T00:00:00"/>
    <s v="SQ *AKANA HANDCRAFTS South Melbour ;250 AUSTRALIAN DOLLAR at 0.926"/>
    <n v="-320.95999999999998"/>
    <x v="9"/>
    <x v="18"/>
    <x v="30"/>
  </r>
  <r>
    <s v="KiwiBank"/>
    <s v="Credit"/>
    <s v="4833-48__-____-1032"/>
    <d v="2024-01-03T00:00:00"/>
    <s v="FOREIGN CURRENCY TXN FEE  "/>
    <n v="-0.01"/>
    <x v="5"/>
    <x v="7"/>
    <x v="7"/>
  </r>
  <r>
    <s v="KiwiBank"/>
    <s v="Credit"/>
    <s v="4833-48__-____-1032"/>
    <d v="2024-01-03T00:00:00"/>
    <s v="CURRENCY CONV ASSESSMENT  "/>
    <n v="-0.12"/>
    <x v="5"/>
    <x v="7"/>
    <x v="7"/>
  </r>
  <r>
    <s v="KiwiBank"/>
    <s v="Credit"/>
    <s v="4833-48__-____-1032"/>
    <d v="2024-01-03T00:00:00"/>
    <s v="ZLR*South Melbourne Sea South Melbour ;11.16 AUSTRALIAN DOLLAR at 0.9261"/>
    <n v="-8.08"/>
    <x v="9"/>
    <x v="18"/>
    <x v="30"/>
  </r>
  <r>
    <s v="KiwiBank"/>
    <s v="Credit"/>
    <s v="4833-48__-____-1032"/>
    <d v="2024-01-03T00:00:00"/>
    <s v="PAYMENT THANKYOU . "/>
    <n v="2.5"/>
    <x v="1"/>
    <x v="24"/>
    <x v="1"/>
  </r>
  <r>
    <s v="KiwiBank"/>
    <s v="Credit"/>
    <s v="4833-48__-____-1032"/>
    <d v="2024-01-03T00:00:00"/>
    <s v="PAYMENT THANKYOU . "/>
    <n v="193.97"/>
    <x v="1"/>
    <x v="24"/>
    <x v="1"/>
  </r>
  <r>
    <s v="KiwiBank"/>
    <s v="Credit"/>
    <s v="4833-48__-____-1032"/>
    <d v="2024-01-03T00:00:00"/>
    <s v="FOREIGN CURRENCY TXN FEE  "/>
    <n v="-0.37"/>
    <x v="5"/>
    <x v="7"/>
    <x v="7"/>
  </r>
  <r>
    <s v="KiwiBank"/>
    <s v="Credit"/>
    <s v="4833-48__-____-1032"/>
    <d v="2024-01-03T00:00:00"/>
    <s v="CURRENCY CONV ASSESSMENT  "/>
    <n v="-0.41"/>
    <x v="5"/>
    <x v="7"/>
    <x v="7"/>
  </r>
  <r>
    <s v="KiwiBank"/>
    <s v="Credit"/>
    <s v="4833-48__-____-1032"/>
    <d v="2024-01-03T00:00:00"/>
    <s v="TRANSIT HOSPITALITY GR MELBOURNE ;32.48 AUSTRALIAN DOLLAR at 0.9261"/>
    <n v="-31.44"/>
    <x v="3"/>
    <x v="8"/>
    <x v="8"/>
  </r>
  <r>
    <s v="KiwiBank"/>
    <s v="Credit"/>
    <s v="4833-48__-____-1032"/>
    <d v="2024-01-03T00:00:00"/>
    <s v="PAYMENT THANKYOU . "/>
    <n v="9"/>
    <x v="1"/>
    <x v="24"/>
    <x v="1"/>
  </r>
  <r>
    <s v="KiwiBank"/>
    <s v="Credit"/>
    <s v="4833-48__-____-1032"/>
    <d v="2024-01-04T00:00:00"/>
    <s v="FOREIGN CURRENCY TXN FEE  "/>
    <n v="-0.53"/>
    <x v="5"/>
    <x v="7"/>
    <x v="7"/>
  </r>
  <r>
    <s v="KiwiBank"/>
    <s v="Credit"/>
    <s v="4833-48__-____-1032"/>
    <d v="2024-01-04T00:00:00"/>
    <s v="CURRENCY CONV ASSESSMENT  "/>
    <n v="-1.46"/>
    <x v="5"/>
    <x v="7"/>
    <x v="7"/>
  </r>
  <r>
    <s v="KiwiBank"/>
    <s v="Credit"/>
    <s v="4833-48__-____-1032"/>
    <d v="2024-01-04T00:00:00"/>
    <s v="UBER   *TRIP SYDNEY ;108.49 AUSTRALIAN DOLLAR at 0.9232"/>
    <n v="-132.63"/>
    <x v="6"/>
    <x v="9"/>
    <x v="33"/>
  </r>
  <r>
    <s v="KiwiBank"/>
    <s v="Credit"/>
    <s v="4833-48__-____-1032"/>
    <d v="2024-01-05T00:00:00"/>
    <s v="FOREIGN CURRENCY TXN FEE  "/>
    <n v="-0.01"/>
    <x v="5"/>
    <x v="7"/>
    <x v="7"/>
  </r>
  <r>
    <s v="KiwiBank"/>
    <s v="Credit"/>
    <s v="4833-48__-____-1032"/>
    <d v="2024-01-05T00:00:00"/>
    <s v="CURRENCY CONV ASSESSMENT  "/>
    <n v="-0.24"/>
    <x v="5"/>
    <x v="7"/>
    <x v="7"/>
  </r>
  <r>
    <s v="KiwiBank"/>
    <s v="Credit"/>
    <s v="4833-48__-____-1032"/>
    <d v="2024-01-05T00:00:00"/>
    <s v="DUMPLING NOODLE CIRC SURFERS PARAD ;22.50 AUSTRALIAN DOLLAR at 0.9233"/>
    <n v="-31.15"/>
    <x v="3"/>
    <x v="8"/>
    <x v="8"/>
  </r>
  <r>
    <s v="KiwiBank"/>
    <s v="Credit"/>
    <s v="4833-48__-____-1032"/>
    <d v="2024-01-03T00:00:00"/>
    <s v="PAYMENT THANKYOU . "/>
    <n v="55.32"/>
    <x v="1"/>
    <x v="24"/>
    <x v="1"/>
  </r>
  <r>
    <s v="KiwiBank"/>
    <s v="Credit"/>
    <s v="4833-48__-____-1032"/>
    <d v="2024-01-08T00:00:00"/>
    <s v="FOREIGN CURRENCY TXN FEE  "/>
    <n v="-0.19"/>
    <x v="5"/>
    <x v="7"/>
    <x v="7"/>
  </r>
  <r>
    <s v="KiwiBank"/>
    <s v="Credit"/>
    <s v="4833-48__-____-1032"/>
    <d v="2024-01-08T00:00:00"/>
    <s v="CURRENCY CONV ASSESSMENT  "/>
    <n v="-0.47"/>
    <x v="5"/>
    <x v="7"/>
    <x v="7"/>
  </r>
  <r>
    <s v="KiwiBank"/>
    <s v="Credit"/>
    <s v="4833-48__-____-1032"/>
    <d v="2024-01-08T00:00:00"/>
    <s v="CIRCLE ON CAVILL CHEMP SURFERS PARAD ;39.98 AUSTRALIAN DOLLAR at 0.9227"/>
    <n v="-1.77"/>
    <x v="3"/>
    <x v="8"/>
    <x v="8"/>
  </r>
  <r>
    <s v="KiwiBank"/>
    <s v="Credit"/>
    <s v="4833-48__-____-1032"/>
    <d v="2024-01-04T00:00:00"/>
    <s v="PAYMENT THANKYOU . "/>
    <n v="2.3199999999999998"/>
    <x v="1"/>
    <x v="24"/>
    <x v="1"/>
  </r>
  <r>
    <s v="KiwiBank"/>
    <s v="Credit"/>
    <s v="4833-48__-____-1032"/>
    <d v="2024-01-08T00:00:00"/>
    <s v="FOREIGN CURRENCY TXN FEE  "/>
    <n v="-0.27"/>
    <x v="5"/>
    <x v="7"/>
    <x v="7"/>
  </r>
  <r>
    <s v="KiwiBank"/>
    <s v="Credit"/>
    <s v="4833-48__-____-1032"/>
    <d v="2024-01-08T00:00:00"/>
    <s v="CURRENCY CONV ASSESSMENT  "/>
    <n v="-0.14000000000000001"/>
    <x v="5"/>
    <x v="7"/>
    <x v="7"/>
  </r>
  <r>
    <s v="KiwiBank"/>
    <s v="Credit"/>
    <s v="4833-48__-____-1032"/>
    <d v="2024-01-08T00:00:00"/>
    <s v="SQ *ELSTON RESTAURANT AND Surfers Parad ;33 AUSTRALIAN DOLLAR at 0.9264"/>
    <n v="-7.09"/>
    <x v="3"/>
    <x v="8"/>
    <x v="8"/>
  </r>
  <r>
    <s v="KiwiBank"/>
    <s v="Credit"/>
    <s v="4833-48__-____-1032"/>
    <d v="2024-01-08T00:00:00"/>
    <s v="FOREIGN CURRENCY TXN FEE  "/>
    <n v="-0.17"/>
    <x v="5"/>
    <x v="7"/>
    <x v="7"/>
  </r>
  <r>
    <s v="KiwiBank"/>
    <s v="Credit"/>
    <s v="4833-48__-____-1032"/>
    <d v="2024-01-08T00:00:00"/>
    <s v="CURRENCY CONV ASSESSMENT  "/>
    <n v="-0.2"/>
    <x v="5"/>
    <x v="7"/>
    <x v="7"/>
  </r>
  <r>
    <s v="KiwiBank"/>
    <s v="Credit"/>
    <s v="4833-48__-____-1032"/>
    <d v="2024-01-08T00:00:00"/>
    <s v="SQ *ELSTON RESTAURANT AND Surfers Parad ;37.05 AUSTRALIAN DOLLAR at 0.9265"/>
    <n v="-3.64"/>
    <x v="3"/>
    <x v="8"/>
    <x v="8"/>
  </r>
  <r>
    <s v="KiwiBank"/>
    <s v="Credit"/>
    <s v="4833-48__-____-1032"/>
    <d v="2024-01-08T00:00:00"/>
    <s v="APPLE.COM/BILL SYDNEY "/>
    <n v="-19.02"/>
    <x v="7"/>
    <x v="16"/>
    <x v="19"/>
  </r>
  <r>
    <s v="KiwiBank"/>
    <s v="Credit"/>
    <s v="4833-48__-____-1032"/>
    <d v="2024-01-08T00:00:00"/>
    <s v="FOREIGN CURRENCY TXN FEE  "/>
    <n v="-0.06"/>
    <x v="5"/>
    <x v="7"/>
    <x v="7"/>
  </r>
  <r>
    <s v="KiwiBank"/>
    <s v="Credit"/>
    <s v="4833-48__-____-1032"/>
    <d v="2024-01-08T00:00:00"/>
    <s v="CURRENCY CONV ASSESSMENT  "/>
    <n v="-0.21"/>
    <x v="5"/>
    <x v="7"/>
    <x v="7"/>
  </r>
  <r>
    <s v="KiwiBank"/>
    <s v="Credit"/>
    <s v="4833-48__-____-1032"/>
    <d v="2024-01-08T00:00:00"/>
    <s v="BURLEIGH PAVILION PTY BURLEIGH HEAD ;12.62 AUSTRALIAN DOLLAR at 0.9266"/>
    <n v="-2.4900000000000002"/>
    <x v="3"/>
    <x v="8"/>
    <x v="8"/>
  </r>
  <r>
    <s v="KiwiBank"/>
    <s v="Credit"/>
    <s v="4833-48__-____-1032"/>
    <d v="2024-01-08T00:00:00"/>
    <s v="FOREIGN CURRENCY TXN FEE  "/>
    <n v="-0.1"/>
    <x v="5"/>
    <x v="7"/>
    <x v="7"/>
  </r>
  <r>
    <s v="KiwiBank"/>
    <s v="Credit"/>
    <s v="4833-48__-____-1032"/>
    <d v="2024-01-08T00:00:00"/>
    <s v="CURRENCY CONV ASSESSMENT  "/>
    <n v="-0.33"/>
    <x v="5"/>
    <x v="7"/>
    <x v="7"/>
  </r>
  <r>
    <s v="KiwiBank"/>
    <s v="Credit"/>
    <s v="4833-48__-____-1032"/>
    <d v="2024-01-08T00:00:00"/>
    <s v="THE MONKEY TREE BAR &amp; Tamborine Mou ;37.61 AUSTRALIAN DOLLAR at 0.9266"/>
    <n v="-39.729999999999997"/>
    <x v="3"/>
    <x v="8"/>
    <x v="8"/>
  </r>
  <r>
    <s v="KiwiBank"/>
    <s v="Credit"/>
    <s v="4833-48__-____-1032"/>
    <d v="2024-01-05T00:00:00"/>
    <s v="PAYMENT THANKYOU . "/>
    <n v="0.26"/>
    <x v="1"/>
    <x v="24"/>
    <x v="1"/>
  </r>
  <r>
    <s v="KiwiBank"/>
    <s v="Credit"/>
    <s v="4833-48__-____-1032"/>
    <d v="2024-01-05T00:00:00"/>
    <s v="PAYMENT THANKYOU . "/>
    <n v="2.11"/>
    <x v="1"/>
    <x v="24"/>
    <x v="1"/>
  </r>
  <r>
    <s v="KiwiBank"/>
    <s v="Credit"/>
    <s v="4833-48__-____-1032"/>
    <d v="2024-01-05T00:00:00"/>
    <s v="PAYMENT THANKYOU . "/>
    <n v="52.73"/>
    <x v="1"/>
    <x v="24"/>
    <x v="1"/>
  </r>
  <r>
    <s v="KiwiBank"/>
    <s v="Credit"/>
    <s v="4833-48__-____-1032"/>
    <d v="2024-01-10T00:00:00"/>
    <s v="FOREIGN CURRENCY TXN FEE  "/>
    <n v="-7.0000000000000007E-2"/>
    <x v="5"/>
    <x v="7"/>
    <x v="7"/>
  </r>
  <r>
    <s v="KiwiBank"/>
    <s v="Credit"/>
    <s v="4833-48__-____-1032"/>
    <d v="2024-01-10T00:00:00"/>
    <s v="CURRENCY CONV ASSESSMENT  "/>
    <n v="-0.71"/>
    <x v="5"/>
    <x v="7"/>
    <x v="7"/>
  </r>
  <r>
    <s v="KiwiBank"/>
    <s v="Credit"/>
    <s v="4833-48__-____-1032"/>
    <d v="2024-01-10T00:00:00"/>
    <s v="OROTON HARBOURTOWN BIGGERA WATER ;74.50 AUSTRALIAN DOLLAR at 0.928"/>
    <n v="-106.47"/>
    <x v="9"/>
    <x v="18"/>
    <x v="30"/>
  </r>
  <r>
    <s v="KiwiBank"/>
    <s v="Credit"/>
    <s v="4833-48__-____-1032"/>
    <d v="2024-01-09T00:00:00"/>
    <s v="FOREIGN CURRENCY TXN FEE  "/>
    <n v="-0.28000000000000003"/>
    <x v="5"/>
    <x v="7"/>
    <x v="7"/>
  </r>
  <r>
    <s v="KiwiBank"/>
    <s v="Credit"/>
    <s v="4833-48__-____-1032"/>
    <d v="2024-01-09T00:00:00"/>
    <s v="CURRENCY CONV ASSESSMENT  "/>
    <n v="-0.23"/>
    <x v="5"/>
    <x v="7"/>
    <x v="7"/>
  </r>
  <r>
    <s v="KiwiBank"/>
    <s v="Credit"/>
    <s v="4833-48__-____-1032"/>
    <d v="2024-01-09T00:00:00"/>
    <s v="ALLY FASHION BIGGERA WATER ;30 AUSTRALIAN DOLLAR at 0.9279"/>
    <n v="-9.32"/>
    <x v="9"/>
    <x v="18"/>
    <x v="30"/>
  </r>
  <r>
    <s v="KiwiBank"/>
    <s v="Credit"/>
    <s v="4833-48__-____-1032"/>
    <d v="2024-01-08T00:00:00"/>
    <s v="PAYMENT THANKYOU . "/>
    <n v="24.14"/>
    <x v="1"/>
    <x v="24"/>
    <x v="1"/>
  </r>
  <r>
    <s v="KiwiBank"/>
    <s v="Credit"/>
    <s v="4833-48__-____-1032"/>
    <d v="2024-01-08T00:00:00"/>
    <s v="PAYMENT THANKYOU . "/>
    <n v="16.489999999999998"/>
    <x v="1"/>
    <x v="24"/>
    <x v="1"/>
  </r>
  <r>
    <s v="KiwiBank"/>
    <s v="Credit"/>
    <s v="4833-48__-____-1032"/>
    <d v="2024-01-08T00:00:00"/>
    <s v="FOREIGN CURRENCY TXN FEE  "/>
    <n v="-0.59"/>
    <x v="5"/>
    <x v="7"/>
    <x v="7"/>
  </r>
  <r>
    <s v="KiwiBank"/>
    <s v="Credit"/>
    <s v="4833-48__-____-1032"/>
    <d v="2024-01-08T00:00:00"/>
    <s v="CURRENCY CONV ASSESSMENT  "/>
    <n v="-0.2"/>
    <x v="5"/>
    <x v="7"/>
    <x v="7"/>
  </r>
  <r>
    <s v="KiwiBank"/>
    <s v="Credit"/>
    <s v="4833-48__-____-1032"/>
    <d v="2024-01-08T00:00:00"/>
    <s v="LS BLOCKOUT BIGGERA WATER ;109.95 AUSTRALIAN DOLLAR at 0.928"/>
    <n v="-148.07"/>
    <x v="9"/>
    <x v="18"/>
    <x v="30"/>
  </r>
  <r>
    <s v="KiwiBank"/>
    <s v="Credit"/>
    <s v="4833-48__-____-1032"/>
    <d v="2024-01-08T00:00:00"/>
    <s v="FOREIGN CURRENCY TXN FEE  "/>
    <n v="-0.25"/>
    <x v="5"/>
    <x v="7"/>
    <x v="7"/>
  </r>
  <r>
    <s v="KiwiBank"/>
    <s v="Credit"/>
    <s v="4833-48__-____-1032"/>
    <d v="2024-01-08T00:00:00"/>
    <s v="CURRENCY CONV ASSESSMENT  "/>
    <n v="-0.26"/>
    <x v="5"/>
    <x v="7"/>
    <x v="7"/>
  </r>
  <r>
    <s v="KiwiBank"/>
    <s v="Credit"/>
    <s v="4833-48__-____-1032"/>
    <d v="2024-01-08T00:00:00"/>
    <s v="SQ *LICENSED PTY LTD Surfers Parad ;20 AUSTRALIAN DOLLAR at 0.9281"/>
    <n v="-27.54"/>
    <x v="3"/>
    <x v="8"/>
    <x v="8"/>
  </r>
  <r>
    <s v="KiwiBank"/>
    <s v="Credit"/>
    <s v="4833-48__-____-1032"/>
    <d v="2024-01-08T00:00:00"/>
    <s v="TOWER INSURANCE - EIS 093692079 "/>
    <n v="-18.43"/>
    <x v="4"/>
    <x v="34"/>
    <x v="50"/>
  </r>
  <r>
    <s v="KiwiBank"/>
    <s v="Credit"/>
    <s v="4833-48__-____-1032"/>
    <d v="2024-01-08T00:00:00"/>
    <s v="SKINNY MOBILE (3) AUCKLAND "/>
    <n v="-2.96"/>
    <x v="7"/>
    <x v="10"/>
    <x v="10"/>
  </r>
  <r>
    <s v="KiwiBank"/>
    <s v="Credit"/>
    <s v="4833-48__-____-1032"/>
    <d v="2024-01-08T00:00:00"/>
    <s v="FOREIGN CURRENCY TXN FEE  "/>
    <n v="-7.0000000000000007E-2"/>
    <x v="5"/>
    <x v="7"/>
    <x v="7"/>
  </r>
  <r>
    <s v="KiwiBank"/>
    <s v="Credit"/>
    <s v="4833-48__-____-1032"/>
    <d v="2024-01-08T00:00:00"/>
    <s v="CURRENCY CONV ASSESSMENT  "/>
    <n v="-0.56999999999999995"/>
    <x v="5"/>
    <x v="7"/>
    <x v="7"/>
  </r>
  <r>
    <s v="KiwiBank"/>
    <s v="Credit"/>
    <s v="4833-48__-____-1032"/>
    <d v="2024-01-08T00:00:00"/>
    <s v="CASTAWAY COFFEE* ME&amp;U BIGGERA WATER ;45.14 AUSTRALIAN DOLLAR at 0.928"/>
    <n v="-66.239999999999995"/>
    <x v="3"/>
    <x v="8"/>
    <x v="8"/>
  </r>
  <r>
    <s v="KiwiBank"/>
    <s v="Credit"/>
    <s v="4833-48__-____-1032"/>
    <d v="2024-01-09T00:00:00"/>
    <s v="FOREIGN CURRENCY TXN FEE  "/>
    <n v="-0.12"/>
    <x v="5"/>
    <x v="7"/>
    <x v="7"/>
  </r>
  <r>
    <s v="KiwiBank"/>
    <s v="Credit"/>
    <s v="4833-48__-____-1032"/>
    <d v="2024-01-09T00:00:00"/>
    <s v="CURRENCY CONV ASSESSMENT  "/>
    <n v="-0.13"/>
    <x v="5"/>
    <x v="7"/>
    <x v="7"/>
  </r>
  <r>
    <s v="KiwiBank"/>
    <s v="Credit"/>
    <s v="4833-48__-____-1032"/>
    <d v="2024-01-09T00:00:00"/>
    <s v="HUDSONS BRISBANE INT BRISBANE AIRP ;15.05 AUSTRALIAN DOLLAR at 0.9279"/>
    <n v="-20.86"/>
    <x v="3"/>
    <x v="8"/>
    <x v="8"/>
  </r>
  <r>
    <s v="KiwiBank"/>
    <s v="Credit"/>
    <s v="4833-48__-____-1032"/>
    <d v="2024-01-08T00:00:00"/>
    <s v="PAYMENT THANKYOU . "/>
    <n v="237.62"/>
    <x v="1"/>
    <x v="24"/>
    <x v="1"/>
  </r>
  <r>
    <s v="KiwiBank"/>
    <s v="Credit"/>
    <s v="4833-48__-____-1032"/>
    <d v="2024-01-08T00:00:00"/>
    <s v="PAYMENT THANKYOU . "/>
    <n v="170.33"/>
    <x v="1"/>
    <x v="24"/>
    <x v="1"/>
  </r>
  <r>
    <s v="KiwiBank"/>
    <s v="Credit"/>
    <s v="4833-48__-____-1032"/>
    <d v="2024-01-08T00:00:00"/>
    <s v="PAYMENT THANKYOU . "/>
    <n v="11.13"/>
    <x v="1"/>
    <x v="24"/>
    <x v="1"/>
  </r>
  <r>
    <s v="KiwiBank"/>
    <s v="Credit"/>
    <s v="4833-48__-____-1032"/>
    <d v="2024-01-08T00:00:00"/>
    <s v="FOREIGN CURRENCY TXN FEE  "/>
    <n v="-2.5"/>
    <x v="5"/>
    <x v="7"/>
    <x v="7"/>
  </r>
  <r>
    <s v="KiwiBank"/>
    <s v="Credit"/>
    <s v="4833-48__-____-1032"/>
    <d v="2024-01-08T00:00:00"/>
    <s v="CURRENCY CONV ASSESSMENT  "/>
    <n v="-2.34"/>
    <x v="5"/>
    <x v="7"/>
    <x v="7"/>
  </r>
  <r>
    <s v="KiwiBank"/>
    <s v="Credit"/>
    <s v="4833-48__-____-1032"/>
    <d v="2024-01-08T00:00:00"/>
    <s v="WWW.FELONSBREWIN* ME&amp;U CORINDA ;204.94 AUSTRALIAN DOLLAR at 0.928"/>
    <n v="-121.92"/>
    <x v="9"/>
    <x v="18"/>
    <x v="30"/>
  </r>
  <r>
    <s v="KiwiBank"/>
    <s v="Credit"/>
    <s v="4833-48__-____-1032"/>
    <d v="2024-01-08T00:00:00"/>
    <s v="UBER* TRIP CHRISTCHURCH "/>
    <n v="-40.4"/>
    <x v="6"/>
    <x v="9"/>
    <x v="33"/>
  </r>
  <r>
    <s v="KiwiBank"/>
    <s v="Credit"/>
    <s v="4833-48__-____-1032"/>
    <d v="2024-01-09T00:00:00"/>
    <s v="PAK N SAVE SYLVIA PARK AUCKLAND "/>
    <n v="-30.49"/>
    <x v="0"/>
    <x v="0"/>
    <x v="0"/>
  </r>
  <r>
    <s v="KiwiBank"/>
    <s v="Credit"/>
    <s v="4833-48__-____-1032"/>
    <d v="2024-01-09T00:00:00"/>
    <s v="SKINNY MOBILE (3) AUCKLAND "/>
    <n v="-16.73"/>
    <x v="7"/>
    <x v="10"/>
    <x v="10"/>
  </r>
  <r>
    <s v="KiwiBank"/>
    <s v="Credit"/>
    <s v="4833-48__-____-1032"/>
    <d v="2024-01-09T00:00:00"/>
    <s v="SKINNY MOBILE (3) AUCKLAND "/>
    <n v="-11.97"/>
    <x v="7"/>
    <x v="10"/>
    <x v="10"/>
  </r>
  <r>
    <s v="KiwiBank"/>
    <s v="Credit"/>
    <s v="4833-48__-____-1032"/>
    <d v="2024-01-09T00:00:00"/>
    <s v="NEW WORLD STONEFIELDS AUCKLAND NZ "/>
    <n v="-14.56"/>
    <x v="0"/>
    <x v="0"/>
    <x v="0"/>
  </r>
  <r>
    <s v="KiwiBank"/>
    <s v="Credit"/>
    <s v="4833-48__-____-1032"/>
    <d v="2024-01-08T00:00:00"/>
    <s v="PAYMENT THANKYOU . "/>
    <n v="7.59"/>
    <x v="1"/>
    <x v="24"/>
    <x v="1"/>
  </r>
  <r>
    <s v="KiwiBank"/>
    <s v="Credit"/>
    <s v="4833-48__-____-1032"/>
    <d v="2024-01-08T00:00:00"/>
    <s v="PAYMENT THANKYOU . "/>
    <n v="67.66"/>
    <x v="1"/>
    <x v="24"/>
    <x v="1"/>
  </r>
  <r>
    <s v="KiwiBank"/>
    <s v="Credit"/>
    <s v="4833-48__-____-1032"/>
    <d v="2024-01-08T00:00:00"/>
    <s v="PAYMENT THANKYOU . "/>
    <n v="19.63"/>
    <x v="1"/>
    <x v="24"/>
    <x v="1"/>
  </r>
  <r>
    <s v="KiwiBank"/>
    <s v="Credit"/>
    <s v="4833-48__-____-1032"/>
    <d v="2024-01-09T00:00:00"/>
    <s v="PAYMENT THANKYOU . "/>
    <n v="349.94"/>
    <x v="1"/>
    <x v="24"/>
    <x v="1"/>
  </r>
  <r>
    <s v="KiwiBank"/>
    <s v="Credit"/>
    <s v="4833-48__-____-1032"/>
    <d v="2024-01-09T00:00:00"/>
    <s v="Watercare Online Remuera "/>
    <n v="-2.4900000000000002"/>
    <x v="4"/>
    <x v="4"/>
    <x v="4"/>
  </r>
  <r>
    <s v="KiwiBank"/>
    <s v="Credit"/>
    <s v="4833-48__-____-1032"/>
    <d v="2024-01-15T00:00:00"/>
    <s v="EMIRATES.CO 2368512037 DUBAI "/>
    <n v="-7933.58"/>
    <x v="3"/>
    <x v="6"/>
    <x v="6"/>
  </r>
  <r>
    <s v="KiwiBank"/>
    <s v="Credit"/>
    <s v="4833-48__-____-1032"/>
    <d v="2024-01-11T00:00:00"/>
    <s v="MARRAM COMMUNITY TRUST WELLINGTON "/>
    <n v="126.14"/>
    <x v="3"/>
    <x v="6"/>
    <x v="6"/>
  </r>
  <r>
    <s v="KiwiBank"/>
    <s v="Credit"/>
    <s v="4833-48__-____-1032"/>
    <d v="2024-01-11T00:00:00"/>
    <s v="MYRENT AUCKLAND "/>
    <n v="-29.49"/>
    <x v="12"/>
    <x v="17"/>
    <x v="51"/>
  </r>
  <r>
    <s v="KiwiBank"/>
    <s v="Credit"/>
    <s v="4833-48__-____-1032"/>
    <d v="2024-01-10T00:00:00"/>
    <s v="PAYMENT THANKYOU . "/>
    <n v="1.23"/>
    <x v="1"/>
    <x v="24"/>
    <x v="1"/>
  </r>
  <r>
    <s v="KiwiBank"/>
    <s v="Credit"/>
    <s v="4833-48__-____-1032"/>
    <d v="2024-01-10T00:00:00"/>
    <s v="PAYMENT THANKYOU . "/>
    <n v="1.29"/>
    <x v="1"/>
    <x v="24"/>
    <x v="1"/>
  </r>
  <r>
    <s v="KiwiBank"/>
    <s v="Credit"/>
    <s v="4833-48__-____-1032"/>
    <d v="2024-01-10T00:00:00"/>
    <s v="PAYMENT THANKYOU . "/>
    <n v="6688.18"/>
    <x v="1"/>
    <x v="24"/>
    <x v="1"/>
  </r>
  <r>
    <s v="KiwiBank"/>
    <s v="Credit"/>
    <s v="4833-48__-____-1032"/>
    <d v="2024-01-12T00:00:00"/>
    <s v="CONTACT ENERGY WELLINGTON "/>
    <n v="-55.18"/>
    <x v="4"/>
    <x v="5"/>
    <x v="5"/>
  </r>
  <r>
    <s v="KiwiBank"/>
    <s v="Credit"/>
    <s v="4833-48__-____-1032"/>
    <d v="2024-01-11T00:00:00"/>
    <s v="PAYMENT THANKYOU . "/>
    <n v="157.33000000000001"/>
    <x v="1"/>
    <x v="24"/>
    <x v="1"/>
  </r>
  <r>
    <s v="KiwiBank"/>
    <s v="Credit"/>
    <s v="4833-48__-____-1032"/>
    <d v="2024-01-11T00:00:00"/>
    <s v="PAYMENT THANKYOU . "/>
    <n v="35.96"/>
    <x v="1"/>
    <x v="24"/>
    <x v="1"/>
  </r>
  <r>
    <s v="KiwiBank"/>
    <s v="Credit"/>
    <s v="4833-48__-____-1032"/>
    <d v="2024-01-11T00:00:00"/>
    <s v="Briscoes Panmure Mt Wellington "/>
    <n v="-42.45"/>
    <x v="4"/>
    <x v="12"/>
    <x v="12"/>
  </r>
  <r>
    <s v="KiwiBank"/>
    <s v="Credit"/>
    <s v="4833-48__-____-1032"/>
    <d v="2024-01-11T00:00:00"/>
    <s v="BBB Sylvia Park Sylvia Park "/>
    <n v="-35.119999999999997"/>
    <x v="4"/>
    <x v="12"/>
    <x v="12"/>
  </r>
  <r>
    <s v="KiwiBank"/>
    <s v="Credit"/>
    <s v="4833-48__-____-1032"/>
    <d v="2024-01-11T00:00:00"/>
    <s v="Rebel Panmure Panmure "/>
    <n v="-3.55"/>
    <x v="9"/>
    <x v="18"/>
    <x v="30"/>
  </r>
  <r>
    <s v="KiwiBank"/>
    <s v="Credit"/>
    <s v="4833-48__-____-1032"/>
    <d v="2024-01-11T00:00:00"/>
    <s v="Chemist Warehouse Newmarket "/>
    <n v="-6.28"/>
    <x v="0"/>
    <x v="0"/>
    <x v="0"/>
  </r>
  <r>
    <s v="KiwiBank"/>
    <s v="Credit"/>
    <s v="4833-48__-____-1032"/>
    <d v="2024-01-15T00:00:00"/>
    <s v="PAK N SAVE SYLVIA PARK AUCKLAND "/>
    <n v="-17.75"/>
    <x v="0"/>
    <x v="0"/>
    <x v="0"/>
  </r>
  <r>
    <s v="KiwiBank"/>
    <s v="Credit"/>
    <s v="4833-48__-____-1032"/>
    <d v="2024-01-15T00:00:00"/>
    <s v="NEW WORLD STONEFIELDS AUCKLAND NZ "/>
    <n v="-37.08"/>
    <x v="0"/>
    <x v="0"/>
    <x v="0"/>
  </r>
  <r>
    <s v="KiwiBank"/>
    <s v="Credit"/>
    <s v="4833-48__-____-1032"/>
    <d v="2024-01-15T00:00:00"/>
    <s v="The Warehouse 190 Lunn AVE "/>
    <n v="-5.63"/>
    <x v="4"/>
    <x v="12"/>
    <x v="12"/>
  </r>
  <r>
    <s v="KiwiBank"/>
    <s v="Credit"/>
    <s v="4833-48__-____-1032"/>
    <d v="2024-01-15T00:00:00"/>
    <s v="GOODSTUFF SYLVIA PARK AUCKLAND "/>
    <n v="-4.6900000000000004"/>
    <x v="0"/>
    <x v="0"/>
    <x v="0"/>
  </r>
  <r>
    <s v="KiwiBank"/>
    <s v="Credit"/>
    <s v="4833-48__-____-1032"/>
    <d v="2024-01-15T00:00:00"/>
    <s v="BUNNINGS - 9493 MT WELLINGTON "/>
    <n v="-2.37"/>
    <x v="4"/>
    <x v="12"/>
    <x v="12"/>
  </r>
  <r>
    <s v="KiwiBank"/>
    <s v="Credit"/>
    <s v="4833-48__-____-1032"/>
    <d v="2024-01-15T00:00:00"/>
    <s v="NEW WORLD STONEFIELDS AUCKLAND NZ "/>
    <n v="-12.33"/>
    <x v="0"/>
    <x v="0"/>
    <x v="0"/>
  </r>
  <r>
    <s v="KiwiBank"/>
    <s v="Credit"/>
    <s v="4833-48__-____-1032"/>
    <d v="2024-01-15T00:00:00"/>
    <s v="AKL AIRPORT CARPARK AUCKLAND "/>
    <n v="-5.88"/>
    <x v="6"/>
    <x v="9"/>
    <x v="21"/>
  </r>
  <r>
    <s v="KiwiBank"/>
    <s v="Credit"/>
    <s v="4833-48__-____-1032"/>
    <d v="2024-01-17T00:00:00"/>
    <s v="AIA NEW ZEALAND AUCKLAND "/>
    <n v="-76.73"/>
    <x v="3"/>
    <x v="6"/>
    <x v="6"/>
  </r>
  <r>
    <s v="KiwiBank"/>
    <s v="Credit"/>
    <s v="4833-48__-____-1032"/>
    <d v="2024-01-16T00:00:00"/>
    <s v="PAK N SAVE SYLVIA PARK AUCKLAND "/>
    <n v="-182.96"/>
    <x v="0"/>
    <x v="0"/>
    <x v="0"/>
  </r>
  <r>
    <s v="KiwiBank"/>
    <s v="Credit"/>
    <s v="4833-48__-____-1032"/>
    <d v="2024-01-16T00:00:00"/>
    <s v="BUNNINGS - 9493 MT WELLINGTON "/>
    <n v="-13.21"/>
    <x v="4"/>
    <x v="12"/>
    <x v="12"/>
  </r>
  <r>
    <s v="KiwiBank"/>
    <s v="Credit"/>
    <s v="4833-48__-____-1032"/>
    <d v="2024-01-15T00:00:00"/>
    <s v="Kings Plant Barn Mount Welling "/>
    <n v="-4.96"/>
    <x v="4"/>
    <x v="12"/>
    <x v="12"/>
  </r>
  <r>
    <s v="KiwiBank"/>
    <s v="Credit"/>
    <s v="4833-48__-____-1032"/>
    <d v="2024-01-16T00:00:00"/>
    <s v="PAYMENT THANKYOU . "/>
    <n v="25.48"/>
    <x v="1"/>
    <x v="24"/>
    <x v="1"/>
  </r>
  <r>
    <s v="KiwiBank"/>
    <s v="Credit"/>
    <s v="4833-48__-____-1032"/>
    <d v="2024-01-18T00:00:00"/>
    <s v="PAYMENT THANKYOU . "/>
    <n v="281.97000000000003"/>
    <x v="1"/>
    <x v="24"/>
    <x v="1"/>
  </r>
  <r>
    <s v="KiwiBank"/>
    <s v="Credit"/>
    <s v="4833-48__-____-1032"/>
    <d v="2024-01-18T00:00:00"/>
    <s v="PAK N SAVE SYLVIA PARK AUCKLAND "/>
    <n v="-34.880000000000003"/>
    <x v="0"/>
    <x v="0"/>
    <x v="0"/>
  </r>
  <r>
    <s v="KiwiBank"/>
    <s v="Credit"/>
    <s v="4833-48__-____-1032"/>
    <d v="2024-01-18T00:00:00"/>
    <s v="SP MATAN FLORIST AUCKLAND "/>
    <n v="-85.24"/>
    <x v="3"/>
    <x v="3"/>
    <x v="26"/>
  </r>
  <r>
    <s v="KiwiBank"/>
    <s v="Credit"/>
    <s v="4833-48__-____-1032"/>
    <d v="2024-01-18T00:00:00"/>
    <s v="HESARISUPERMARKETPANMURE AUCKLAND "/>
    <n v="-5.7"/>
    <x v="0"/>
    <x v="0"/>
    <x v="0"/>
  </r>
  <r>
    <s v="KiwiBank"/>
    <s v="Credit"/>
    <s v="4833-48__-____-1032"/>
    <d v="2024-01-17T00:00:00"/>
    <s v="PAYMENT THANKYOU . "/>
    <n v="6.67"/>
    <x v="1"/>
    <x v="24"/>
    <x v="1"/>
  </r>
  <r>
    <s v="KiwiBank"/>
    <s v="Credit"/>
    <s v="4833-48__-____-1032"/>
    <d v="2024-01-17T00:00:00"/>
    <s v="PAYMENT THANKYOU . "/>
    <n v="27.83"/>
    <x v="1"/>
    <x v="24"/>
    <x v="1"/>
  </r>
  <r>
    <s v="KiwiBank"/>
    <s v="Credit"/>
    <s v="4833-48__-____-1032"/>
    <d v="2024-01-22T00:00:00"/>
    <s v="Downtown Car Park Auckland "/>
    <n v="-5.68"/>
    <x v="6"/>
    <x v="9"/>
    <x v="21"/>
  </r>
  <r>
    <s v="KiwiBank"/>
    <s v="Credit"/>
    <s v="4833-48__-____-1032"/>
    <d v="2024-01-19T00:00:00"/>
    <s v="PAYMENT THANKYOU . "/>
    <n v="27.28"/>
    <x v="1"/>
    <x v="24"/>
    <x v="1"/>
  </r>
  <r>
    <s v="KiwiBank"/>
    <s v="Credit"/>
    <s v="4833-48__-____-1032"/>
    <d v="2024-01-22T00:00:00"/>
    <s v="PAYMENT THANKYOU . "/>
    <n v="265.92"/>
    <x v="1"/>
    <x v="24"/>
    <x v="1"/>
  </r>
  <r>
    <s v="KiwiBank"/>
    <s v="Credit"/>
    <s v="4833-48__-____-1032"/>
    <d v="2024-01-22T00:00:00"/>
    <s v="PAYMENT THANKYOU . "/>
    <n v="13.76"/>
    <x v="1"/>
    <x v="24"/>
    <x v="1"/>
  </r>
  <r>
    <s v="KiwiBank"/>
    <s v="Credit"/>
    <s v="4833-48__-____-1032"/>
    <d v="2024-01-22T00:00:00"/>
    <s v="PAYMENT THANKYOU . "/>
    <n v="0.64"/>
    <x v="1"/>
    <x v="24"/>
    <x v="1"/>
  </r>
  <r>
    <s v="KiwiBank"/>
    <s v="Credit"/>
    <s v="4833-48__-____-1032"/>
    <d v="2024-01-22T00:00:00"/>
    <s v="TOWER INSURANCE - EIS 093692079 "/>
    <n v="-160.1"/>
    <x v="2"/>
    <x v="33"/>
    <x v="49"/>
  </r>
  <r>
    <s v="KiwiBank"/>
    <s v="Credit"/>
    <s v="4833-48__-____-1032"/>
    <d v="2024-01-22T00:00:00"/>
    <s v="TOWER INSURANCE - EIS 093692079 "/>
    <n v="-16.53"/>
    <x v="4"/>
    <x v="11"/>
    <x v="11"/>
  </r>
  <r>
    <s v="KiwiBank"/>
    <s v="Credit"/>
    <s v="4833-48__-____-1032"/>
    <d v="2024-01-22T00:00:00"/>
    <s v="TOWER INSURANCE - EIS 093692079 "/>
    <n v="-135.66"/>
    <x v="12"/>
    <x v="33"/>
    <x v="49"/>
  </r>
  <r>
    <s v="KiwiBank"/>
    <s v="Credit"/>
    <s v="4833-48__-____-1032"/>
    <d v="2024-01-22T00:00:00"/>
    <s v="AMORE GELATO AUCKLAND "/>
    <n v="-2.5099999999999998"/>
    <x v="3"/>
    <x v="8"/>
    <x v="8"/>
  </r>
  <r>
    <s v="KiwiBank"/>
    <s v="Credit"/>
    <s v="4833-48__-____-1032"/>
    <d v="2024-01-22T00:00:00"/>
    <s v="WESTFIELD SHOPPING CENTRE 099789400 "/>
    <n v="-0.98"/>
    <x v="0"/>
    <x v="0"/>
    <x v="0"/>
  </r>
  <r>
    <s v="KiwiBank"/>
    <s v="Credit"/>
    <s v="4833-48__-____-1032"/>
    <d v="2024-01-22T00:00:00"/>
    <s v="AT Parking Auckland "/>
    <n v="0"/>
    <x v="6"/>
    <x v="9"/>
    <x v="21"/>
  </r>
  <r>
    <s v="KiwiBank"/>
    <s v="Credit"/>
    <s v="4833-48__-____-1032"/>
    <d v="2024-01-22T00:00:00"/>
    <s v="AT Parking Auckland "/>
    <n v="-2.4900000000000002"/>
    <x v="6"/>
    <x v="9"/>
    <x v="21"/>
  </r>
  <r>
    <s v="KiwiBank"/>
    <s v="Credit"/>
    <s v="4833-48__-____-1032"/>
    <d v="2024-01-22T00:00:00"/>
    <s v="PAYMENT THANKYOU . "/>
    <n v="127.97"/>
    <x v="1"/>
    <x v="24"/>
    <x v="1"/>
  </r>
  <r>
    <s v="KiwiBank"/>
    <s v="Credit"/>
    <s v="4833-48__-____-1032"/>
    <d v="2024-01-22T00:00:00"/>
    <s v="Z Ellerslie Auckland "/>
    <n v="-111.1"/>
    <x v="6"/>
    <x v="9"/>
    <x v="14"/>
  </r>
  <r>
    <s v="KiwiBank"/>
    <s v="Credit"/>
    <s v="4833-48__-____-1032"/>
    <d v="2024-01-22T00:00:00"/>
    <s v="HESARISUPERMARKETPANMURE AUCKLAND "/>
    <n v="-34.369999999999997"/>
    <x v="0"/>
    <x v="0"/>
    <x v="0"/>
  </r>
  <r>
    <s v="KiwiBank"/>
    <s v="Credit"/>
    <s v="4833-48__-____-1032"/>
    <d v="2024-01-23T00:00:00"/>
    <s v="PAYMENT THANKYOU . "/>
    <n v="322.68"/>
    <x v="1"/>
    <x v="24"/>
    <x v="1"/>
  </r>
  <r>
    <s v="KiwiBank"/>
    <s v="Credit"/>
    <s v="4833-48__-____-1032"/>
    <d v="2024-01-23T00:00:00"/>
    <s v="Chemist Warehouse Sylvia Park "/>
    <n v="-34.200000000000003"/>
    <x v="0"/>
    <x v="0"/>
    <x v="0"/>
  </r>
  <r>
    <s v="KiwiBank"/>
    <s v="Credit"/>
    <s v="4833-48__-____-1032"/>
    <d v="2024-01-23T00:00:00"/>
    <s v="PAK N SAVE SYLVIA PARK AUCKLAND "/>
    <n v="-255.91"/>
    <x v="0"/>
    <x v="0"/>
    <x v="0"/>
  </r>
  <r>
    <s v="KiwiBank"/>
    <s v="Credit"/>
    <s v="4833-48__-____-1032"/>
    <d v="2024-01-22T00:00:00"/>
    <s v="PAYMENT THANKYOU . "/>
    <n v="17.170000000000002"/>
    <x v="1"/>
    <x v="24"/>
    <x v="1"/>
  </r>
  <r>
    <s v="KiwiBank"/>
    <s v="Credit"/>
    <s v="4833-48__-____-1032"/>
    <d v="2024-01-22T00:00:00"/>
    <s v="PAYMENT THANKYOU . "/>
    <n v="8.61"/>
    <x v="1"/>
    <x v="24"/>
    <x v="1"/>
  </r>
  <r>
    <s v="KiwiBank"/>
    <s v="Credit"/>
    <s v="4833-48__-____-1032"/>
    <d v="2024-01-22T00:00:00"/>
    <s v="AT Hop Auckland Henderson "/>
    <n v="-38.369999999999997"/>
    <x v="6"/>
    <x v="9"/>
    <x v="33"/>
  </r>
  <r>
    <s v="KiwiBank"/>
    <s v="Credit"/>
    <s v="4833-48__-____-1032"/>
    <d v="2024-01-22T00:00:00"/>
    <s v="AT Hop Auckland Henderson "/>
    <n v="-31.9"/>
    <x v="6"/>
    <x v="9"/>
    <x v="33"/>
  </r>
  <r>
    <s v="KiwiBank"/>
    <s v="Credit"/>
    <s v="4833-48__-____-1032"/>
    <d v="2024-01-26T00:00:00"/>
    <s v="PAYPAL *GOOGLE GOOGLE 4029357733 "/>
    <n v="-4.99"/>
    <x v="9"/>
    <x v="18"/>
    <x v="22"/>
  </r>
  <r>
    <s v="KiwiBank"/>
    <s v="Credit"/>
    <s v="4833-48__-____-1032"/>
    <d v="2024-01-25T00:00:00"/>
    <s v="CHOICE RETAIL AUCKLAND "/>
    <n v="-1.55"/>
    <x v="0"/>
    <x v="0"/>
    <x v="0"/>
  </r>
  <r>
    <s v="KiwiBank"/>
    <s v="Credit"/>
    <s v="4833-48__-____-1032"/>
    <d v="2024-01-25T00:00:00"/>
    <s v="CHOICE RETAIL AUCKLAND "/>
    <n v="-0.03"/>
    <x v="0"/>
    <x v="0"/>
    <x v="0"/>
  </r>
  <r>
    <s v="KiwiBank"/>
    <s v="Credit"/>
    <s v="4833-48__-____-1032"/>
    <d v="2024-01-24T00:00:00"/>
    <s v="AUCKLAND ZOO AUCKLAND "/>
    <n v="-23.09"/>
    <x v="3"/>
    <x v="3"/>
    <x v="3"/>
  </r>
  <r>
    <s v="KiwiBank"/>
    <s v="Credit"/>
    <s v="4833-48__-____-1032"/>
    <d v="2024-01-24T00:00:00"/>
    <s v="AUCKLAND MUSEUM  ELOCKERS AUCKLAND "/>
    <n v="-1.06"/>
    <x v="3"/>
    <x v="8"/>
    <x v="8"/>
  </r>
  <r>
    <s v="KiwiBank"/>
    <s v="Credit"/>
    <s v="4833-48__-____-1032"/>
    <d v="2024-01-23T00:00:00"/>
    <s v="PAYMENT THANKYOU . "/>
    <n v="2.78"/>
    <x v="1"/>
    <x v="24"/>
    <x v="1"/>
  </r>
  <r>
    <s v="KiwiBank"/>
    <s v="Credit"/>
    <s v="4833-48__-____-1032"/>
    <d v="2024-01-26T00:00:00"/>
    <s v="FOREIGN CURRENCY TXN FEE  "/>
    <n v="-0.03"/>
    <x v="5"/>
    <x v="7"/>
    <x v="7"/>
  </r>
  <r>
    <s v="KiwiBank"/>
    <s v="Credit"/>
    <s v="4833-48__-____-1032"/>
    <d v="2024-01-26T00:00:00"/>
    <s v="CURRENCY CONV ASSESSMENT  "/>
    <n v="-0.16"/>
    <x v="5"/>
    <x v="7"/>
    <x v="7"/>
  </r>
  <r>
    <s v="KiwiBank"/>
    <s v="Credit"/>
    <s v="4833-48__-____-1032"/>
    <d v="2024-01-26T00:00:00"/>
    <s v="US MOBILE* US MOBILE WWW.USMOBILE. NY;8.57 US DOLLAR  $ at 0.6061"/>
    <n v="-2.69"/>
    <x v="7"/>
    <x v="13"/>
    <x v="15"/>
  </r>
  <r>
    <s v="KiwiBank"/>
    <s v="Credit"/>
    <s v="4833-48__-____-1032"/>
    <d v="2024-01-25T00:00:00"/>
    <s v="PAYMENT THANKYOU . "/>
    <n v="60.05"/>
    <x v="1"/>
    <x v="24"/>
    <x v="1"/>
  </r>
  <r>
    <s v="KiwiBank"/>
    <s v="Credit"/>
    <s v="4833-48__-____-1032"/>
    <d v="2024-01-25T00:00:00"/>
    <s v="JACQUI E I51 MT WELLINGTON "/>
    <n v="-171.4"/>
    <x v="9"/>
    <x v="18"/>
    <x v="30"/>
  </r>
  <r>
    <s v="KiwiBank"/>
    <s v="Credit"/>
    <s v="4833-48__-____-1032"/>
    <d v="2024-01-25T00:00:00"/>
    <s v="PAK N SAVE SYLVIA PARK AUCKLAND "/>
    <n v="-30.35"/>
    <x v="0"/>
    <x v="0"/>
    <x v="0"/>
  </r>
  <r>
    <s v="KiwiBank"/>
    <s v="Credit"/>
    <s v="4833-48__-____-1032"/>
    <d v="2024-01-24T00:00:00"/>
    <s v="PAYMENT THANKYOU . "/>
    <n v="11.17"/>
    <x v="1"/>
    <x v="24"/>
    <x v="1"/>
  </r>
  <r>
    <s v="KiwiBank"/>
    <s v="Credit"/>
    <s v="4833-48__-____-1032"/>
    <d v="2024-01-24T00:00:00"/>
    <s v="PAYMENT THANKYOU . "/>
    <n v="27.84"/>
    <x v="1"/>
    <x v="24"/>
    <x v="1"/>
  </r>
  <r>
    <s v="KiwiBank"/>
    <s v="Credit"/>
    <s v="4833-48__-____-1032"/>
    <d v="2024-01-26T00:00:00"/>
    <s v="PAYMENT THANKYOU . "/>
    <n v="8.4600000000000009"/>
    <x v="1"/>
    <x v="24"/>
    <x v="1"/>
  </r>
  <r>
    <s v="KiwiBank"/>
    <s v="Credit"/>
    <s v="4833-48__-____-1032"/>
    <d v="2024-01-26T00:00:00"/>
    <s v="Bookme.Co.Nz New Zealand "/>
    <n v="-32.86"/>
    <x v="3"/>
    <x v="6"/>
    <x v="6"/>
  </r>
  <r>
    <s v="KiwiBank"/>
    <s v="Credit"/>
    <s v="4833-48__-____-1032"/>
    <d v="2024-01-26T00:00:00"/>
    <s v="AT Parking Auckland "/>
    <n v="-3.43"/>
    <x v="6"/>
    <x v="9"/>
    <x v="21"/>
  </r>
  <r>
    <s v="KiwiBank"/>
    <s v="Credit"/>
    <s v="4833-48__-____-1032"/>
    <d v="2024-01-26T00:00:00"/>
    <s v="AT Parking Auckland "/>
    <n v="-0.86"/>
    <x v="6"/>
    <x v="9"/>
    <x v="21"/>
  </r>
  <r>
    <s v="KiwiBank"/>
    <s v="Credit"/>
    <s v="4833-48__-____-1032"/>
    <d v="2024-01-26T00:00:00"/>
    <s v="COUNTDOWN GREEN/326 GREAT GREENLANE "/>
    <n v="-1.17"/>
    <x v="0"/>
    <x v="0"/>
    <x v="0"/>
  </r>
  <r>
    <s v="KiwiBank"/>
    <s v="Credit"/>
    <s v="4833-48__-____-1032"/>
    <d v="2024-01-25T00:00:00"/>
    <s v="PAYMENT THANKYOU . "/>
    <n v="30.37"/>
    <x v="1"/>
    <x v="24"/>
    <x v="1"/>
  </r>
  <r>
    <s v="KiwiBank"/>
    <s v="Credit"/>
    <s v="4833-48__-____-1032"/>
    <d v="2024-01-25T00:00:00"/>
    <s v="Montana Catering Aukl Auckland "/>
    <n v="-2.5099999999999998"/>
    <x v="0"/>
    <x v="0"/>
    <x v="0"/>
  </r>
  <r>
    <s v="KiwiBank"/>
    <s v="Credit"/>
    <s v="4833-48__-____-1032"/>
    <d v="2024-01-29T00:00:00"/>
    <s v="PAK N SAVE SYLVIA PARK AUCKLAND "/>
    <n v="-35.9"/>
    <x v="0"/>
    <x v="0"/>
    <x v="0"/>
  </r>
  <r>
    <s v="KiwiBank"/>
    <s v="Credit"/>
    <s v="4833-48__-____-1032"/>
    <d v="2024-01-29T00:00:00"/>
    <s v="FARMERS AUCKLAND "/>
    <n v="-93.91"/>
    <x v="4"/>
    <x v="12"/>
    <x v="12"/>
  </r>
  <r>
    <s v="KiwiBank"/>
    <s v="Credit"/>
    <s v="4833-48__-____-1032"/>
    <d v="2024-01-29T00:00:00"/>
    <s v="TACOBELL SYLVIAPARK113 AUCKLAND "/>
    <n v="-10.73"/>
    <x v="3"/>
    <x v="8"/>
    <x v="8"/>
  </r>
  <r>
    <s v="KiwiBank"/>
    <s v="Credit"/>
    <s v="4833-48__-____-1032"/>
    <d v="2024-01-29T00:00:00"/>
    <s v="MAHONS AMUSEMENTS LTD WAIKATO "/>
    <n v="-16.39"/>
    <x v="0"/>
    <x v="0"/>
    <x v="0"/>
  </r>
  <r>
    <s v="KiwiBank"/>
    <s v="Credit"/>
    <s v="4833-48__-____-1032"/>
    <d v="2024-01-29T00:00:00"/>
    <s v="HESARISUPERMARKETPANMURE AUCKLAND "/>
    <n v="-4.43"/>
    <x v="0"/>
    <x v="0"/>
    <x v="0"/>
  </r>
  <r>
    <s v="KiwiBank"/>
    <s v="Credit"/>
    <s v="4833-48__-____-1032"/>
    <d v="2024-01-29T00:00:00"/>
    <s v="MAHONS AMUSEMENTS LTD WAIKATO "/>
    <n v="-2.67"/>
    <x v="0"/>
    <x v="0"/>
    <x v="0"/>
  </r>
  <r>
    <s v="KiwiBank"/>
    <s v="Credit"/>
    <s v="4833-48__-____-1032"/>
    <d v="2024-01-29T00:00:00"/>
    <s v="MAHONS AMUSEMENTS LTD WAIKATO "/>
    <n v="-6.45"/>
    <x v="0"/>
    <x v="0"/>
    <x v="0"/>
  </r>
  <r>
    <s v="KiwiBank"/>
    <s v="Credit"/>
    <s v="4833-48__-____-1032"/>
    <d v="2024-01-29T00:00:00"/>
    <s v="MAHONS AMUSEMENTS LTD WAIKATO "/>
    <n v="-5.59"/>
    <x v="0"/>
    <x v="0"/>
    <x v="0"/>
  </r>
  <r>
    <s v="KiwiBank"/>
    <s v="Credit"/>
    <s v="4833-48__-____-1032"/>
    <d v="2024-01-29T00:00:00"/>
    <s v="MAHONS AMUSEMENTS LTD WAIKATO "/>
    <n v="-1.52"/>
    <x v="0"/>
    <x v="0"/>
    <x v="0"/>
  </r>
  <r>
    <s v="KiwiBank"/>
    <s v="Credit"/>
    <s v="4833-48__-____-1032"/>
    <d v="2024-01-26T00:00:00"/>
    <s v="PAYMENT THANKYOU . "/>
    <n v="3.61"/>
    <x v="1"/>
    <x v="24"/>
    <x v="1"/>
  </r>
  <r>
    <s v="KiwiBank"/>
    <s v="Credit"/>
    <s v="4833-48__-____-1032"/>
    <d v="2024-01-26T00:00:00"/>
    <s v="PAYMENT THANKYOU . "/>
    <n v="42.57"/>
    <x v="1"/>
    <x v="24"/>
    <x v="1"/>
  </r>
  <r>
    <s v="KiwiBank"/>
    <s v="Credit"/>
    <s v="4833-48__-____-1032"/>
    <d v="2024-01-26T00:00:00"/>
    <s v="PAYMENT THANKYOU . "/>
    <n v="5.63"/>
    <x v="1"/>
    <x v="24"/>
    <x v="1"/>
  </r>
  <r>
    <s v="KiwiBank"/>
    <s v="Credit"/>
    <s v="4833-48__-____-1032"/>
    <d v="2024-01-26T00:00:00"/>
    <s v="PAYMENT THANKYOU . "/>
    <n v="53.56"/>
    <x v="1"/>
    <x v="24"/>
    <x v="1"/>
  </r>
  <r>
    <s v="KiwiBank"/>
    <s v="Credit"/>
    <s v="4833-48__-____-1032"/>
    <d v="2024-01-29T00:00:00"/>
    <s v="PAYMENT THANKYOU . "/>
    <n v="0.06"/>
    <x v="1"/>
    <x v="24"/>
    <x v="1"/>
  </r>
  <r>
    <s v="KiwiBank"/>
    <s v="Credit"/>
    <s v="4833-48__-____-1032"/>
    <d v="2024-01-29T00:00:00"/>
    <s v="PAYMENT THANKYOU . "/>
    <n v="273.85000000000002"/>
    <x v="1"/>
    <x v="24"/>
    <x v="1"/>
  </r>
  <r>
    <s v="KiwiBank"/>
    <s v="Credit"/>
    <s v="4833-48__-____-1032"/>
    <d v="2024-01-29T00:00:00"/>
    <s v="Z Whitianga Whitianga "/>
    <n v="-168.83"/>
    <x v="6"/>
    <x v="9"/>
    <x v="14"/>
  </r>
  <r>
    <s v="KiwiBank"/>
    <s v="Credit"/>
    <s v="4833-48__-____-1032"/>
    <d v="2024-01-29T00:00:00"/>
    <s v="The Warehouse 189 Whitianga "/>
    <n v="-38.11"/>
    <x v="4"/>
    <x v="12"/>
    <x v="12"/>
  </r>
  <r>
    <s v="KiwiBank"/>
    <s v="Credit"/>
    <s v="4833-48__-____-1032"/>
    <d v="2024-01-29T00:00:00"/>
    <s v="COUNTDOWN WHITI/60 JOAN G WHITIANGA "/>
    <n v="-1.8"/>
    <x v="0"/>
    <x v="0"/>
    <x v="0"/>
  </r>
  <r>
    <s v="KiwiBank"/>
    <s v="Credit"/>
    <s v="4833-48__-____-1032"/>
    <d v="2024-01-29T00:00:00"/>
    <s v="SMOKO THAMES "/>
    <n v="-4.03"/>
    <x v="0"/>
    <x v="0"/>
    <x v="0"/>
  </r>
  <r>
    <s v="KiwiBank"/>
    <s v="Credit"/>
    <s v="4833-48__-____-1032"/>
    <d v="2024-01-29T00:00:00"/>
    <s v="SMOKO THAMES "/>
    <n v="-17.489999999999998"/>
    <x v="0"/>
    <x v="0"/>
    <x v="0"/>
  </r>
  <r>
    <s v="KiwiBank"/>
    <s v="Credit"/>
    <s v="4833-48__-____-1032"/>
    <d v="2024-01-29T00:00:00"/>
    <s v="Mercury Bay Pharmacy Whitianga "/>
    <n v="-8.02"/>
    <x v="10"/>
    <x v="20"/>
    <x v="27"/>
  </r>
  <r>
    <s v="KiwiBank"/>
    <s v="Credit"/>
    <s v="4833-48__-____-1032"/>
    <d v="2024-01-29T00:00:00"/>
    <s v="AKL AIRPORT CARPARK AUCKLAND "/>
    <n v="-3.52"/>
    <x v="6"/>
    <x v="9"/>
    <x v="21"/>
  </r>
  <r>
    <s v="KiwiBank"/>
    <s v="Credit"/>
    <s v="4833-48__-____-1032"/>
    <d v="2024-01-29T00:00:00"/>
    <s v="The Warehouse 189 Whitianga "/>
    <n v="-4.6500000000000004"/>
    <x v="4"/>
    <x v="12"/>
    <x v="12"/>
  </r>
  <r>
    <s v="KiwiBank"/>
    <s v="Credit"/>
    <s v="4833-48__-____-1032"/>
    <d v="2024-01-29T00:00:00"/>
    <s v="SMOKO THAMES "/>
    <n v="-5.31"/>
    <x v="0"/>
    <x v="0"/>
    <x v="0"/>
  </r>
  <r>
    <s v="KiwiBank"/>
    <s v="Credit"/>
    <s v="4833-48__-____-1032"/>
    <d v="2024-01-29T00:00:00"/>
    <s v="Bistro Box Auckland "/>
    <n v="-1.83"/>
    <x v="0"/>
    <x v="0"/>
    <x v="0"/>
  </r>
  <r>
    <s v="KiwiBank"/>
    <s v="Credit"/>
    <s v="4833-48__-____-1032"/>
    <d v="2024-01-29T00:00:00"/>
    <s v="PAYMENT THANKYOU . "/>
    <n v="19.149999999999999"/>
    <x v="1"/>
    <x v="24"/>
    <x v="1"/>
  </r>
  <r>
    <s v="KiwiBank"/>
    <s v="Credit"/>
    <s v="4833-48__-____-1032"/>
    <d v="2024-01-29T00:00:00"/>
    <s v="PAYMENT THANKYOU . "/>
    <n v="98.71"/>
    <x v="1"/>
    <x v="24"/>
    <x v="1"/>
  </r>
  <r>
    <s v="KiwiBank"/>
    <s v="Credit"/>
    <s v="4833-48__-____-1032"/>
    <d v="2024-01-29T00:00:00"/>
    <s v="SUPER LIQUOR WHITIANGA WHITIANGA "/>
    <n v="-71.19"/>
    <x v="3"/>
    <x v="3"/>
    <x v="34"/>
  </r>
  <r>
    <s v="KiwiBank"/>
    <s v="Credit"/>
    <s v="4833-48__-____-1032"/>
    <d v="2024-01-29T00:00:00"/>
    <s v="Bookme.Co.Nz New Zealand "/>
    <n v="-106.98"/>
    <x v="3"/>
    <x v="6"/>
    <x v="6"/>
  </r>
  <r>
    <s v="KiwiBank"/>
    <s v="Credit"/>
    <s v="4833-48__-____-1032"/>
    <d v="2024-01-29T00:00:00"/>
    <s v="Bookme.Co.Nz New Zealand "/>
    <n v="-26.37"/>
    <x v="3"/>
    <x v="6"/>
    <x v="6"/>
  </r>
  <r>
    <s v="KiwiBank"/>
    <s v="Credit"/>
    <s v="4833-48__-____-1032"/>
    <d v="2024-01-29T00:00:00"/>
    <s v="New World Whitianga Whitianga "/>
    <n v="-13.83"/>
    <x v="0"/>
    <x v="0"/>
    <x v="0"/>
  </r>
  <r>
    <s v="KiwiBank"/>
    <s v="Credit"/>
    <s v="4833-48__-____-1032"/>
    <d v="2024-01-30T00:00:00"/>
    <s v="PAYMENT THANKYOU . "/>
    <n v="9.73"/>
    <x v="1"/>
    <x v="24"/>
    <x v="1"/>
  </r>
  <r>
    <s v="KiwiBank"/>
    <s v="Credit"/>
    <s v="4833-48__-____-1032"/>
    <d v="2024-01-30T00:00:00"/>
    <s v="New World Whitianga Whitianga "/>
    <n v="-18.260000000000002"/>
    <x v="0"/>
    <x v="0"/>
    <x v="0"/>
  </r>
  <r>
    <s v="KiwiBank"/>
    <s v="Credit"/>
    <s v="4833-48__-____-1032"/>
    <d v="2024-01-29T00:00:00"/>
    <s v="PAYMENT THANKYOU . "/>
    <n v="72.06"/>
    <x v="1"/>
    <x v="24"/>
    <x v="1"/>
  </r>
  <r>
    <s v="KiwiBank"/>
    <s v="Credit"/>
    <s v="4833-48__-____-1032"/>
    <d v="2024-01-29T00:00:00"/>
    <s v="PAYMENT THANKYOU . "/>
    <n v="36.28"/>
    <x v="1"/>
    <x v="24"/>
    <x v="1"/>
  </r>
  <r>
    <s v="KiwiBank"/>
    <s v="Credit"/>
    <s v="4833-48__-____-1032"/>
    <d v="2024-01-29T00:00:00"/>
    <s v="Tickets*Who killed humanitix.com "/>
    <n v="-410.07"/>
    <x v="3"/>
    <x v="3"/>
    <x v="3"/>
  </r>
  <r>
    <s v="KiwiBank"/>
    <s v="Credit"/>
    <s v="4833-48__-____-1032"/>
    <d v="2024-01-31T00:00:00"/>
    <s v="New World Whitianga Whitianga "/>
    <n v="-52.14"/>
    <x v="0"/>
    <x v="0"/>
    <x v="0"/>
  </r>
  <r>
    <s v="KiwiBank"/>
    <s v="Credit"/>
    <s v="4833-48__-____-1032"/>
    <d v="2024-01-31T00:00:00"/>
    <s v="WELLSTOCKED DELI WHITIANGA "/>
    <n v="-64.37"/>
    <x v="3"/>
    <x v="8"/>
    <x v="8"/>
  </r>
  <r>
    <s v="KiwiBank"/>
    <s v="Credit"/>
    <s v="4833-48__-____-1032"/>
    <d v="2024-01-31T00:00:00"/>
    <s v="COUNTDOWN WHITI/60 JOAN G WHITIANGA "/>
    <n v="-13.21"/>
    <x v="0"/>
    <x v="0"/>
    <x v="0"/>
  </r>
  <r>
    <s v="KiwiBank"/>
    <s v="Credit"/>
    <s v="4833-48__-____-1032"/>
    <d v="2024-01-30T00:00:00"/>
    <s v="PAYMENT THANKYOU . "/>
    <n v="26.17"/>
    <x v="1"/>
    <x v="24"/>
    <x v="1"/>
  </r>
  <r>
    <s v="KiwiBank"/>
    <s v="Credit"/>
    <s v="4833-48__-____-1032"/>
    <d v="2024-01-30T00:00:00"/>
    <s v="PAYMENT THANKYOU . "/>
    <n v="123.52"/>
    <x v="1"/>
    <x v="24"/>
    <x v="1"/>
  </r>
  <r>
    <s v="KiwiBank"/>
    <s v="Credit"/>
    <s v="4833-48__-____-1032"/>
    <d v="2024-02-01T00:00:00"/>
    <s v="Lukes Kitchen Kuaotunu "/>
    <n v="-85.56"/>
    <x v="3"/>
    <x v="8"/>
    <x v="8"/>
  </r>
  <r>
    <s v="KiwiBank"/>
    <s v="Credit"/>
    <s v="4833-48__-____-1032"/>
    <d v="2024-02-01T00:00:00"/>
    <s v="PIPERS CAFE WHITIANGA "/>
    <n v="-5.99"/>
    <x v="3"/>
    <x v="8"/>
    <x v="8"/>
  </r>
  <r>
    <s v="KiwiBank"/>
    <s v="Credit"/>
    <s v="4833-48__-____-1032"/>
    <d v="2024-01-31T00:00:00"/>
    <s v="PAYMENT THANKYOU . "/>
    <n v="9.4499999999999993"/>
    <x v="1"/>
    <x v="24"/>
    <x v="1"/>
  </r>
  <r>
    <s v="KiwiBank"/>
    <s v="Credit"/>
    <s v="4833-48__-____-1032"/>
    <d v="2024-01-31T00:00:00"/>
    <s v="PAYMENT THANKYOU . "/>
    <n v="24.22"/>
    <x v="1"/>
    <x v="24"/>
    <x v="1"/>
  </r>
  <r>
    <s v="KiwiBank"/>
    <s v="Credit"/>
    <s v="4833-48__-____-1032"/>
    <d v="2024-02-02T00:00:00"/>
    <s v="LIQUOR CENTRE ELLERSLIE AUCKLAND "/>
    <n v="-59.89"/>
    <x v="3"/>
    <x v="3"/>
    <x v="34"/>
  </r>
  <r>
    <s v="KiwiBank"/>
    <s v="Credit"/>
    <s v="4833-48__-____-1032"/>
    <d v="2024-02-02T00:00:00"/>
    <s v="All Things Organic Tairua "/>
    <n v="-24.52"/>
    <x v="0"/>
    <x v="0"/>
    <x v="0"/>
  </r>
  <r>
    <s v="KiwiBank"/>
    <s v="Credit"/>
    <s v="4833-48__-____-1032"/>
    <d v="2024-02-05T00:00:00"/>
    <s v="PAK N SAVE SYLVIA PARK AUCKLAND "/>
    <n v="-191.75"/>
    <x v="0"/>
    <x v="0"/>
    <x v="0"/>
  </r>
  <r>
    <s v="KiwiBank"/>
    <s v="Credit"/>
    <s v="4833-48__-____-1032"/>
    <d v="2024-02-05T00:00:00"/>
    <s v="Deadshot Grey Lynn "/>
    <n v="-69.599999999999994"/>
    <x v="3"/>
    <x v="8"/>
    <x v="8"/>
  </r>
  <r>
    <s v="KiwiBank"/>
    <s v="Credit"/>
    <s v="4833-48__-____-1032"/>
    <d v="2024-02-02T00:00:00"/>
    <s v="PAYMENT THANKYOU . "/>
    <n v="97.12"/>
    <x v="1"/>
    <x v="24"/>
    <x v="1"/>
  </r>
  <r>
    <s v="KiwiBank"/>
    <s v="Credit"/>
    <s v="4833-48__-____-1032"/>
    <d v="2024-02-02T00:00:00"/>
    <s v="Washpod 06 Mt Wellington "/>
    <n v="-8.92"/>
    <x v="0"/>
    <x v="0"/>
    <x v="0"/>
  </r>
  <r>
    <s v="KiwiBank"/>
    <s v="Credit"/>
    <s v="4833-48__-____-1032"/>
    <d v="2024-02-05T00:00:00"/>
    <s v="PAYMENT THANKYOU . "/>
    <n v="456.92"/>
    <x v="1"/>
    <x v="24"/>
    <x v="1"/>
  </r>
  <r>
    <s v="KiwiBank"/>
    <s v="Credit"/>
    <s v="4833-48__-____-1032"/>
    <d v="2024-02-05T00:00:00"/>
    <s v="PAYMENT THANKYOU . "/>
    <n v="40.71"/>
    <x v="1"/>
    <x v="24"/>
    <x v="1"/>
  </r>
  <r>
    <s v="KiwiBank"/>
    <s v="Credit"/>
    <s v="4833-48__-____-1032"/>
    <d v="2024-02-05T00:00:00"/>
    <s v="PAYMENT THANKYOU . "/>
    <n v="1.67"/>
    <x v="1"/>
    <x v="24"/>
    <x v="1"/>
  </r>
  <r>
    <s v="KiwiBank"/>
    <s v="Credit"/>
    <s v="4833-48__-____-1032"/>
    <d v="2024-02-05T00:00:00"/>
    <s v="GS CELLAR AUCKLAND "/>
    <n v="-6.15"/>
    <x v="3"/>
    <x v="8"/>
    <x v="8"/>
  </r>
  <r>
    <s v="KiwiBank"/>
    <s v="Credit"/>
    <s v="4833-48__-____-1032"/>
    <d v="2024-02-05T00:00:00"/>
    <s v="SKINNY MOBILE (3) AUCKLAND "/>
    <n v="-1.68"/>
    <x v="7"/>
    <x v="10"/>
    <x v="10"/>
  </r>
  <r>
    <s v="KiwiBank"/>
    <s v="Credit"/>
    <s v="4833-48__-____-1032"/>
    <d v="2024-02-05T00:00:00"/>
    <s v="FARMERS 1140 NEWMARKET "/>
    <n v="-37.76"/>
    <x v="4"/>
    <x v="12"/>
    <x v="12"/>
  </r>
  <r>
    <s v="KiwiBank"/>
    <s v="Credit"/>
    <s v="4833-48__-____-1032"/>
    <d v="2024-02-05T00:00:00"/>
    <s v="AUCKLAND MUSEUM STORE AUCKLAND "/>
    <n v="-4.16"/>
    <x v="9"/>
    <x v="18"/>
    <x v="30"/>
  </r>
  <r>
    <s v="KiwiBank"/>
    <s v="Credit"/>
    <s v="4833-48__-____-1032"/>
    <d v="2024-02-07T00:00:00"/>
    <s v="SKINNY MOBILE (3) AUCKLAND "/>
    <n v="-23.76"/>
    <x v="7"/>
    <x v="10"/>
    <x v="10"/>
  </r>
  <r>
    <s v="KiwiBank"/>
    <s v="Credit"/>
    <s v="4833-48__-____-1032"/>
    <d v="2024-02-05T00:00:00"/>
    <s v="PAYMENT THANKYOU . "/>
    <n v="105.7"/>
    <x v="1"/>
    <x v="24"/>
    <x v="1"/>
  </r>
  <r>
    <s v="KiwiBank"/>
    <s v="Credit"/>
    <s v="4833-48__-____-1032"/>
    <d v="2024-02-05T00:00:00"/>
    <s v="PAYMENT THANKYOU . "/>
    <n v="3.46"/>
    <x v="1"/>
    <x v="24"/>
    <x v="1"/>
  </r>
  <r>
    <s v="KiwiBank"/>
    <s v="Credit"/>
    <s v="4833-48__-____-1032"/>
    <d v="2024-02-05T00:00:00"/>
    <s v="PAYMENT THANKYOU . "/>
    <n v="0.28999999999999998"/>
    <x v="1"/>
    <x v="24"/>
    <x v="1"/>
  </r>
  <r>
    <s v="KiwiBank"/>
    <s v="Credit"/>
    <s v="4833-48__-____-1032"/>
    <d v="2024-02-05T00:00:00"/>
    <s v="PUBLIC DRINKS CO AUCKLAND "/>
    <n v="-5.1100000000000003"/>
    <x v="3"/>
    <x v="8"/>
    <x v="8"/>
  </r>
  <r>
    <s v="KiwiBank"/>
    <s v="Credit"/>
    <s v="4833-48__-____-1032"/>
    <d v="2024-02-05T00:00:00"/>
    <s v="AT Parking Auckland "/>
    <n v="-0.33"/>
    <x v="6"/>
    <x v="9"/>
    <x v="21"/>
  </r>
  <r>
    <s v="KiwiBank"/>
    <s v="Credit"/>
    <s v="4833-48__-____-1032"/>
    <d v="2024-02-07T00:00:00"/>
    <s v="THEA LTD AUCKLAND "/>
    <n v="6.5"/>
    <x v="0"/>
    <x v="0"/>
    <x v="0"/>
  </r>
  <r>
    <s v="KiwiBank"/>
    <s v="Credit"/>
    <s v="4833-48__-____-1032"/>
    <d v="2024-02-07T00:00:00"/>
    <s v="THEA LTD AUCKLAND "/>
    <n v="-47"/>
    <x v="0"/>
    <x v="0"/>
    <x v="0"/>
  </r>
  <r>
    <s v="KiwiBank"/>
    <s v="Credit"/>
    <s v="4833-48__-____-1032"/>
    <d v="2024-02-07T00:00:00"/>
    <s v="APPLE.COM/BILL SYDNEY "/>
    <n v="-12.06"/>
    <x v="7"/>
    <x v="16"/>
    <x v="19"/>
  </r>
  <r>
    <s v="KiwiBank"/>
    <s v="Credit"/>
    <s v="4833-48__-____-1032"/>
    <d v="2024-02-05T00:00:00"/>
    <s v="PAYMENT THANKYOU . "/>
    <n v="14.79"/>
    <x v="1"/>
    <x v="24"/>
    <x v="1"/>
  </r>
  <r>
    <s v="KiwiBank"/>
    <s v="Credit"/>
    <s v="4833-48__-____-1032"/>
    <d v="2024-02-05T00:00:00"/>
    <s v="PAYMENT THANKYOU . "/>
    <n v="58.12"/>
    <x v="1"/>
    <x v="24"/>
    <x v="1"/>
  </r>
  <r>
    <s v="KiwiBank"/>
    <s v="Credit"/>
    <s v="4833-48__-____-1032"/>
    <d v="2024-02-07T00:00:00"/>
    <s v="PAYMENT THANKYOU . "/>
    <n v="14.54"/>
    <x v="1"/>
    <x v="24"/>
    <x v="1"/>
  </r>
  <r>
    <s v="KiwiBank"/>
    <s v="Credit"/>
    <s v="4833-48__-____-1032"/>
    <d v="2024-02-07T00:00:00"/>
    <s v="TOWER INSURANCE - EIS 093692079 "/>
    <n v="-25.43"/>
    <x v="4"/>
    <x v="34"/>
    <x v="50"/>
  </r>
  <r>
    <s v="KiwiBank"/>
    <s v="Credit"/>
    <s v="4833-48__-____-1032"/>
    <d v="2024-02-12T00:00:00"/>
    <s v="PAYPAL *AIRBNB  HMSHCK 35314369001 "/>
    <n v="-101.83"/>
    <x v="3"/>
    <x v="6"/>
    <x v="6"/>
  </r>
  <r>
    <s v="KiwiBank"/>
    <s v="Credit"/>
    <s v="4833-48__-____-1032"/>
    <d v="2024-02-08T00:00:00"/>
    <s v="Bookme.Co.Nz New Zealand "/>
    <n v="-101.02"/>
    <x v="3"/>
    <x v="6"/>
    <x v="6"/>
  </r>
  <r>
    <s v="KiwiBank"/>
    <s v="Credit"/>
    <s v="4833-48__-____-1032"/>
    <d v="2024-02-08T00:00:00"/>
    <s v="PAK N SAVE SYLVIA PARK AUCKLAND "/>
    <n v="-60.22"/>
    <x v="0"/>
    <x v="0"/>
    <x v="0"/>
  </r>
  <r>
    <s v="KiwiBank"/>
    <s v="Credit"/>
    <s v="4833-48__-____-1032"/>
    <d v="2024-02-08T00:00:00"/>
    <s v="MARRAM COMMUNITY TRUST WELLINGTON "/>
    <n v="-394.74"/>
    <x v="3"/>
    <x v="6"/>
    <x v="6"/>
  </r>
  <r>
    <s v="KiwiBank"/>
    <s v="Credit"/>
    <s v="4833-48__-____-1032"/>
    <d v="2024-02-08T00:00:00"/>
    <s v="Chemist Warehouse Sylvia Park "/>
    <n v="-42.8"/>
    <x v="0"/>
    <x v="0"/>
    <x v="0"/>
  </r>
  <r>
    <s v="KiwiBank"/>
    <s v="Credit"/>
    <s v="4833-48__-____-1032"/>
    <d v="2024-02-07T00:00:00"/>
    <s v="PAYMENT THANKYOU . "/>
    <n v="229.94"/>
    <x v="1"/>
    <x v="24"/>
    <x v="1"/>
  </r>
  <r>
    <s v="KiwiBank"/>
    <s v="Credit"/>
    <s v="4833-48__-____-1032"/>
    <d v="2024-02-07T00:00:00"/>
    <s v="PAYMENT THANKYOU . "/>
    <n v="2.59"/>
    <x v="1"/>
    <x v="24"/>
    <x v="1"/>
  </r>
  <r>
    <s v="KiwiBank"/>
    <s v="Credit"/>
    <s v="4833-48__-____-1032"/>
    <d v="2024-02-07T00:00:00"/>
    <s v="PAYMENT THANKYOU . "/>
    <n v="87.24"/>
    <x v="1"/>
    <x v="24"/>
    <x v="1"/>
  </r>
  <r>
    <s v="KiwiBank"/>
    <s v="Credit"/>
    <s v="4833-48__-____-1032"/>
    <d v="2024-02-09T00:00:00"/>
    <s v="MARRAM COMMUNITY TRUST WELLINGTON "/>
    <n v="-27.11"/>
    <x v="3"/>
    <x v="6"/>
    <x v="6"/>
  </r>
  <r>
    <s v="KiwiBank"/>
    <s v="Credit"/>
    <s v="4833-48__-____-1032"/>
    <d v="2024-02-08T00:00:00"/>
    <s v="PAYMENT THANKYOU . "/>
    <n v="91.62"/>
    <x v="1"/>
    <x v="24"/>
    <x v="1"/>
  </r>
  <r>
    <s v="KiwiBank"/>
    <s v="Credit"/>
    <s v="4833-48__-____-1032"/>
    <d v="2024-02-08T00:00:00"/>
    <s v="PAYMENT THANKYOU . "/>
    <n v="8.9600000000000009"/>
    <x v="1"/>
    <x v="24"/>
    <x v="1"/>
  </r>
  <r>
    <s v="KiwiBank"/>
    <s v="Credit"/>
    <s v="4833-48__-____-1032"/>
    <d v="2024-02-12T00:00:00"/>
    <s v="Watercare Online Remuera "/>
    <n v="-8.67"/>
    <x v="4"/>
    <x v="4"/>
    <x v="4"/>
  </r>
  <r>
    <s v="KiwiBank"/>
    <s v="Credit"/>
    <s v="4833-48__-____-1032"/>
    <d v="2024-02-12T00:00:00"/>
    <s v="IMMIGRATION NZ AUCKLAND "/>
    <n v="-4405.87"/>
    <x v="5"/>
    <x v="7"/>
    <x v="52"/>
  </r>
  <r>
    <s v="KiwiBank"/>
    <s v="Credit"/>
    <s v="4833-48__-____-1032"/>
    <d v="2024-02-12T00:00:00"/>
    <s v="CONTACT ENERGY WELLINGTON "/>
    <n v="-137.11000000000001"/>
    <x v="4"/>
    <x v="5"/>
    <x v="5"/>
  </r>
  <r>
    <s v="KiwiBank"/>
    <s v="Credit"/>
    <s v="4833-48__-____-1032"/>
    <d v="2024-02-09T00:00:00"/>
    <s v="PAYMENT THANKYOU . "/>
    <n v="583.98"/>
    <x v="1"/>
    <x v="24"/>
    <x v="1"/>
  </r>
  <r>
    <s v="KiwiBank"/>
    <s v="Credit"/>
    <s v="4833-48__-____-1032"/>
    <d v="2024-02-09T00:00:00"/>
    <s v="PAYMENT THANKYOU . "/>
    <n v="935.74"/>
    <x v="1"/>
    <x v="24"/>
    <x v="1"/>
  </r>
  <r>
    <s v="KiwiBank"/>
    <s v="Credit"/>
    <s v="4833-48__-____-1032"/>
    <d v="2024-02-12T00:00:00"/>
    <s v="PAYMENT THANKYOU . "/>
    <n v="30.03"/>
    <x v="1"/>
    <x v="24"/>
    <x v="1"/>
  </r>
  <r>
    <s v="KiwiBank"/>
    <s v="Credit"/>
    <s v="4833-48__-____-1032"/>
    <d v="2024-02-12T00:00:00"/>
    <s v="MYRENT AUCKLAND "/>
    <n v="-37.47"/>
    <x v="2"/>
    <x v="17"/>
    <x v="51"/>
  </r>
  <r>
    <s v="KiwiBank"/>
    <s v="Credit"/>
    <s v="4833-48__-____-1032"/>
    <d v="2024-02-15T00:00:00"/>
    <s v="PAYPAL *AIRBNB  HMSWHY 35314369001 "/>
    <n v="-57.94"/>
    <x v="3"/>
    <x v="6"/>
    <x v="6"/>
  </r>
  <r>
    <s v="KiwiBank"/>
    <s v="Credit"/>
    <s v="4833-48__-____-1032"/>
    <d v="2024-02-14T00:00:00"/>
    <s v="LUFTHANSA   RAN7T9 PAYPAL COM "/>
    <n v="-203.91"/>
    <x v="3"/>
    <x v="6"/>
    <x v="6"/>
  </r>
  <r>
    <s v="KiwiBank"/>
    <s v="Credit"/>
    <s v="4833-48__-____-1032"/>
    <d v="2024-02-14T00:00:00"/>
    <s v="LUFTHANSA   RE2BIK PAYPAL COM "/>
    <n v="-136.69999999999999"/>
    <x v="3"/>
    <x v="6"/>
    <x v="6"/>
  </r>
  <r>
    <s v="KiwiBank"/>
    <s v="Credit"/>
    <s v="4833-48__-____-1032"/>
    <d v="2024-02-14T00:00:00"/>
    <s v="FOREIGN CURRENCY TXN FEE  "/>
    <n v="-5.32"/>
    <x v="5"/>
    <x v="7"/>
    <x v="7"/>
  </r>
  <r>
    <s v="KiwiBank"/>
    <s v="Credit"/>
    <s v="4833-48__-____-1032"/>
    <d v="2024-02-14T00:00:00"/>
    <s v="CURRENCY CONV ASSESSMENT  "/>
    <n v="-0.7"/>
    <x v="5"/>
    <x v="7"/>
    <x v="7"/>
  </r>
  <r>
    <s v="KiwiBank"/>
    <s v="Credit"/>
    <s v="4833-48__-____-1032"/>
    <d v="2024-02-14T00:00:00"/>
    <s v="Hotel at Booking.com Sydney ;384.75 EURO NATL CURR UNIT (NCU) at 0.5638"/>
    <n v="-522"/>
    <x v="3"/>
    <x v="6"/>
    <x v="6"/>
  </r>
  <r>
    <s v="KiwiBank"/>
    <s v="Credit"/>
    <s v="4833-48__-____-1032"/>
    <d v="2024-02-14T00:00:00"/>
    <s v="FOREIGN CURRENCY TXN FEE  "/>
    <n v="-6.45"/>
    <x v="5"/>
    <x v="7"/>
    <x v="7"/>
  </r>
  <r>
    <s v="KiwiBank"/>
    <s v="Credit"/>
    <s v="4833-48__-____-1032"/>
    <d v="2024-02-14T00:00:00"/>
    <s v="CURRENCY CONV ASSESSMENT  "/>
    <n v="-1.58"/>
    <x v="5"/>
    <x v="7"/>
    <x v="7"/>
  </r>
  <r>
    <s v="KiwiBank"/>
    <s v="Credit"/>
    <s v="4833-48__-____-1032"/>
    <d v="2024-02-14T00:00:00"/>
    <s v="Hotel at Booking.com Sydney ;597.89 EURO NATL CURR UNIT (NCU) at 0.5638"/>
    <n v="-932.43"/>
    <x v="3"/>
    <x v="6"/>
    <x v="6"/>
  </r>
  <r>
    <s v="KiwiBank"/>
    <s v="Credit"/>
    <s v="4833-48__-____-1032"/>
    <d v="2024-02-12T00:00:00"/>
    <s v="PAYMENT THANKYOU . "/>
    <n v="4.9400000000000004"/>
    <x v="1"/>
    <x v="24"/>
    <x v="1"/>
  </r>
  <r>
    <s v="KiwiBank"/>
    <s v="Credit"/>
    <s v="4833-48__-____-1032"/>
    <d v="2024-02-12T00:00:00"/>
    <s v="PAYMENT THANKYOU . "/>
    <n v="202.57"/>
    <x v="1"/>
    <x v="24"/>
    <x v="1"/>
  </r>
  <r>
    <s v="KiwiBank"/>
    <s v="Credit"/>
    <s v="4833-48__-____-1032"/>
    <d v="2024-02-12T00:00:00"/>
    <s v="PAYMENT THANKYOU . "/>
    <n v="4129.54"/>
    <x v="1"/>
    <x v="24"/>
    <x v="1"/>
  </r>
  <r>
    <s v="KiwiBank"/>
    <s v="Credit"/>
    <s v="4833-48__-____-1032"/>
    <d v="2024-02-12T00:00:00"/>
    <s v="Washpod 06 Mt Wellington "/>
    <n v="-13.82"/>
    <x v="0"/>
    <x v="0"/>
    <x v="0"/>
  </r>
  <r>
    <s v="KiwiBank"/>
    <s v="Credit"/>
    <s v="4833-48__-____-1032"/>
    <d v="2024-02-13T00:00:00"/>
    <s v="FOREIGN CURRENCY TXN FEE  "/>
    <n v="-2.96"/>
    <x v="5"/>
    <x v="7"/>
    <x v="7"/>
  </r>
  <r>
    <s v="KiwiBank"/>
    <s v="Credit"/>
    <s v="4833-48__-____-1032"/>
    <d v="2024-02-13T00:00:00"/>
    <s v="CURRENCY CONV ASSESSMENT  "/>
    <n v="-4.84"/>
    <x v="5"/>
    <x v="7"/>
    <x v="7"/>
  </r>
  <r>
    <s v="KiwiBank"/>
    <s v="Credit"/>
    <s v="4833-48__-____-1032"/>
    <d v="2024-02-13T00:00:00"/>
    <s v="EUROWINGS GMDDRWGS_281054 KASTRUP ;1387.02 DANISH KRONE at 4.2026"/>
    <n v="-113.01"/>
    <x v="3"/>
    <x v="6"/>
    <x v="6"/>
  </r>
  <r>
    <s v="KiwiBank"/>
    <s v="Credit"/>
    <s v="4833-48__-____-1032"/>
    <d v="2024-02-12T00:00:00"/>
    <s v="TM *TICKETMASTERNZ 038632151 "/>
    <n v="-90.58"/>
    <x v="3"/>
    <x v="3"/>
    <x v="3"/>
  </r>
  <r>
    <s v="KiwiBank"/>
    <s v="Credit"/>
    <s v="4833-48__-____-1032"/>
    <d v="2024-02-14T00:00:00"/>
    <s v="PAK N SAVE SYLVIA PARK AUCKLAND "/>
    <n v="-113.82"/>
    <x v="0"/>
    <x v="0"/>
    <x v="0"/>
  </r>
  <r>
    <s v="KiwiBank"/>
    <s v="Credit"/>
    <s v="4833-48__-____-1032"/>
    <d v="2024-02-19T00:00:00"/>
    <s v="PAYPAL *AIRBNB  HMQHF5 35314369001 "/>
    <n v="-488.52"/>
    <x v="3"/>
    <x v="6"/>
    <x v="6"/>
  </r>
  <r>
    <s v="KiwiBank"/>
    <s v="Credit"/>
    <s v="4833-48__-____-1032"/>
    <d v="2024-02-16T00:00:00"/>
    <s v="AIA NEW ZEALAND AUCKLAND "/>
    <n v="-27.92"/>
    <x v="3"/>
    <x v="6"/>
    <x v="6"/>
  </r>
  <r>
    <s v="KiwiBank"/>
    <s v="Credit"/>
    <s v="4833-48__-____-1032"/>
    <d v="2024-02-16T00:00:00"/>
    <s v="SAILS RESTAURANT AUCKLAND "/>
    <n v="-73.48"/>
    <x v="3"/>
    <x v="8"/>
    <x v="8"/>
  </r>
  <r>
    <s v="KiwiBank"/>
    <s v="Credit"/>
    <s v="4833-48__-____-1032"/>
    <d v="2024-02-16T00:00:00"/>
    <s v="FOREIGN CURRENCY TXN FEE  "/>
    <n v="-0.14000000000000001"/>
    <x v="5"/>
    <x v="7"/>
    <x v="7"/>
  </r>
  <r>
    <s v="KiwiBank"/>
    <s v="Credit"/>
    <s v="4833-48__-____-1032"/>
    <d v="2024-02-16T00:00:00"/>
    <s v="CURRENCY CONV ASSESSMENT  "/>
    <n v="-3.38"/>
    <x v="5"/>
    <x v="7"/>
    <x v="7"/>
  </r>
  <r>
    <s v="KiwiBank"/>
    <s v="Credit"/>
    <s v="4833-48__-____-1032"/>
    <d v="2024-02-16T00:00:00"/>
    <s v="HOTEL CANAL&amp;WALTER VENEZIA ;196 EURO NATL CURR UNIT (NCU) at 0.5601"/>
    <n v="-34.71"/>
    <x v="3"/>
    <x v="6"/>
    <x v="6"/>
  </r>
  <r>
    <s v="KiwiBank"/>
    <s v="Credit"/>
    <s v="4833-48__-____-1032"/>
    <d v="2024-02-14T00:00:00"/>
    <s v="PAYMENT THANKYOU . "/>
    <n v="4.22"/>
    <x v="1"/>
    <x v="24"/>
    <x v="1"/>
  </r>
  <r>
    <s v="KiwiBank"/>
    <s v="Credit"/>
    <s v="4833-48__-____-1032"/>
    <d v="2024-02-14T00:00:00"/>
    <s v="PAYMENT THANKYOU . "/>
    <n v="126.76"/>
    <x v="1"/>
    <x v="24"/>
    <x v="1"/>
  </r>
  <r>
    <s v="KiwiBank"/>
    <s v="Credit"/>
    <s v="4833-48__-____-1032"/>
    <d v="2024-02-16T00:00:00"/>
    <s v="PAYMENT THANKYOU . "/>
    <n v="819.81"/>
    <x v="1"/>
    <x v="24"/>
    <x v="1"/>
  </r>
  <r>
    <s v="KiwiBank"/>
    <s v="Credit"/>
    <s v="4833-48__-____-1032"/>
    <d v="2024-02-15T00:00:00"/>
    <s v="PAYMENT THANKYOU . "/>
    <n v="76.81"/>
    <x v="1"/>
    <x v="24"/>
    <x v="1"/>
  </r>
  <r>
    <s v="KiwiBank"/>
    <s v="Credit"/>
    <s v="4833-48__-____-1032"/>
    <d v="2024-02-19T00:00:00"/>
    <s v="SP MATAN FLORIST AUCKLAND "/>
    <n v="78.17"/>
    <x v="3"/>
    <x v="3"/>
    <x v="26"/>
  </r>
  <r>
    <s v="KiwiBank"/>
    <s v="Credit"/>
    <s v="4833-48__-____-1032"/>
    <d v="2024-02-19T00:00:00"/>
    <s v="PAYMENT THANKYOU . "/>
    <n v="44.9"/>
    <x v="1"/>
    <x v="24"/>
    <x v="1"/>
  </r>
  <r>
    <s v="KiwiBank"/>
    <s v="Credit"/>
    <s v="4833-48__-____-1032"/>
    <d v="2024-02-19T00:00:00"/>
    <s v="Chemist Warehouse Newmarket "/>
    <n v="-6.76"/>
    <x v="0"/>
    <x v="0"/>
    <x v="0"/>
  </r>
  <r>
    <s v="KiwiBank"/>
    <s v="Credit"/>
    <s v="4833-48__-____-1032"/>
    <d v="2024-02-19T00:00:00"/>
    <s v="Chemist Warehouse NZ Onli Auckland "/>
    <n v="-79.12"/>
    <x v="0"/>
    <x v="0"/>
    <x v="0"/>
  </r>
  <r>
    <s v="KiwiBank"/>
    <s v="Credit"/>
    <s v="4833-48__-____-1032"/>
    <d v="2024-02-19T00:00:00"/>
    <s v="ST PIERRE'S NEWMARKE AUCKLAND "/>
    <n v="-3.07"/>
    <x v="3"/>
    <x v="8"/>
    <x v="8"/>
  </r>
  <r>
    <s v="KiwiBank"/>
    <s v="Credit"/>
    <s v="4833-48__-____-1032"/>
    <d v="2024-02-19T00:00:00"/>
    <s v="ISLAND GELATO NEWMARKET AUCKLAND "/>
    <n v="-1.17"/>
    <x v="3"/>
    <x v="8"/>
    <x v="8"/>
  </r>
  <r>
    <s v="KiwiBank"/>
    <s v="Credit"/>
    <s v="4833-48__-____-1032"/>
    <d v="2024-02-19T00:00:00"/>
    <s v="PASTRAMI &amp; RYE AUCKLAND "/>
    <n v="-19.12"/>
    <x v="0"/>
    <x v="0"/>
    <x v="0"/>
  </r>
  <r>
    <s v="KiwiBank"/>
    <s v="Credit"/>
    <s v="4833-48__-____-1032"/>
    <d v="2024-02-19T00:00:00"/>
    <s v="GOODFOR LUNN AVE AUCKLAND "/>
    <n v="-48"/>
    <x v="0"/>
    <x v="0"/>
    <x v="0"/>
  </r>
  <r>
    <s v="KiwiBank"/>
    <s v="Credit"/>
    <s v="4833-48__-____-1032"/>
    <d v="2024-02-19T00:00:00"/>
    <s v="PAYMENT THANKYOU . "/>
    <n v="3.47"/>
    <x v="1"/>
    <x v="24"/>
    <x v="1"/>
  </r>
  <r>
    <s v="KiwiBank"/>
    <s v="Credit"/>
    <s v="4833-48__-____-1032"/>
    <d v="2024-02-19T00:00:00"/>
    <s v="PAYMENT THANKYOU . "/>
    <n v="7.2"/>
    <x v="1"/>
    <x v="24"/>
    <x v="1"/>
  </r>
  <r>
    <s v="KiwiBank"/>
    <s v="Credit"/>
    <s v="4833-48__-____-1032"/>
    <d v="2024-02-19T00:00:00"/>
    <s v="PAYMENT THANKYOU . "/>
    <n v="25.36"/>
    <x v="1"/>
    <x v="24"/>
    <x v="1"/>
  </r>
  <r>
    <s v="KiwiBank"/>
    <s v="Credit"/>
    <s v="4833-48__-____-1032"/>
    <d v="2024-02-19T00:00:00"/>
    <s v="MITRE 10 MEGA MT WTGN MOUNT WELLING "/>
    <n v="-7.94"/>
    <x v="4"/>
    <x v="12"/>
    <x v="12"/>
  </r>
  <r>
    <s v="KiwiBank"/>
    <s v="Credit"/>
    <s v="4833-48__-____-1032"/>
    <d v="2024-02-19T00:00:00"/>
    <s v="KOHKOZ  REAL LEBANESE CUI MANUREWA "/>
    <n v="-12.73"/>
    <x v="0"/>
    <x v="0"/>
    <x v="0"/>
  </r>
  <r>
    <s v="KiwiBank"/>
    <s v="Credit"/>
    <s v="4833-48__-____-1032"/>
    <d v="2024-02-19T00:00:00"/>
    <s v="Pakihi Marine Farms Papakura "/>
    <n v="-18.46"/>
    <x v="0"/>
    <x v="0"/>
    <x v="0"/>
  </r>
  <r>
    <s v="KiwiBank"/>
    <s v="Credit"/>
    <s v="4833-48__-____-1032"/>
    <d v="2024-02-21T00:00:00"/>
    <s v="TOWER INSURANCE - EIS 093692079 "/>
    <n v="-175.37"/>
    <x v="12"/>
    <x v="33"/>
    <x v="49"/>
  </r>
  <r>
    <s v="KiwiBank"/>
    <s v="Credit"/>
    <s v="4833-48__-____-1032"/>
    <d v="2024-02-21T00:00:00"/>
    <s v="TOWER INSURANCE - EIS 093692079 "/>
    <n v="-120.85"/>
    <x v="2"/>
    <x v="33"/>
    <x v="49"/>
  </r>
  <r>
    <s v="KiwiBank"/>
    <s v="Credit"/>
    <s v="4833-48__-____-1032"/>
    <d v="2024-02-21T00:00:00"/>
    <s v="TOWER INSURANCE - EIS 093692079 "/>
    <n v="-75.349999999999994"/>
    <x v="4"/>
    <x v="11"/>
    <x v="11"/>
  </r>
  <r>
    <s v="KiwiBank"/>
    <s v="Credit"/>
    <s v="4833-48__-____-1032"/>
    <d v="2024-02-21T00:00:00"/>
    <s v="THEA LTD AUCKLAND "/>
    <n v="-16.579999999999998"/>
    <x v="0"/>
    <x v="0"/>
    <x v="0"/>
  </r>
  <r>
    <s v="KiwiBank"/>
    <s v="Credit"/>
    <s v="4833-48__-____-1032"/>
    <d v="2024-02-20T00:00:00"/>
    <s v="PAYMENT THANKYOU . "/>
    <n v="356.36"/>
    <x v="1"/>
    <x v="24"/>
    <x v="1"/>
  </r>
  <r>
    <s v="KiwiBank"/>
    <s v="Credit"/>
    <s v="4833-48__-____-1032"/>
    <d v="2024-02-22T00:00:00"/>
    <s v="FOUR SQUARE ELLERSLIE AAUCKLAND "/>
    <n v="-6.67"/>
    <x v="0"/>
    <x v="0"/>
    <x v="0"/>
  </r>
  <r>
    <s v="KiwiBank"/>
    <s v="Credit"/>
    <s v="4833-48__-____-1032"/>
    <d v="2024-02-21T00:00:00"/>
    <s v="PAYMENT THANKYOU . "/>
    <n v="8.99"/>
    <x v="1"/>
    <x v="24"/>
    <x v="1"/>
  </r>
  <r>
    <s v="KiwiBank"/>
    <s v="Credit"/>
    <s v="4833-48__-____-1032"/>
    <d v="2024-02-23T00:00:00"/>
    <s v="GOODFOR LUNN AVE AUCKLAND "/>
    <n v="-5.24"/>
    <x v="0"/>
    <x v="0"/>
    <x v="0"/>
  </r>
  <r>
    <s v="KiwiBank"/>
    <s v="Credit"/>
    <s v="4833-48__-____-1032"/>
    <d v="2024-02-22T00:00:00"/>
    <s v="PAYMENT THANKYOU . "/>
    <n v="0.26"/>
    <x v="1"/>
    <x v="24"/>
    <x v="1"/>
  </r>
  <r>
    <s v="KiwiBank"/>
    <s v="Credit"/>
    <s v="4833-48__-____-1032"/>
    <d v="2024-02-22T00:00:00"/>
    <s v="PAYMENT THANKYOU . "/>
    <n v="46.25"/>
    <x v="1"/>
    <x v="24"/>
    <x v="1"/>
  </r>
  <r>
    <s v="KiwiBank"/>
    <s v="Credit"/>
    <s v="4833-48__-____-1032"/>
    <d v="2024-02-22T00:00:00"/>
    <s v="CACI CLINIC ON LUNN AUCKLAND "/>
    <n v="-43.53"/>
    <x v="10"/>
    <x v="20"/>
    <x v="27"/>
  </r>
  <r>
    <s v="KiwiBank"/>
    <s v="Credit"/>
    <s v="4833-48__-____-1032"/>
    <d v="2024-02-26T00:00:00"/>
    <s v="FOREIGN CURRENCY TXN FEE  "/>
    <n v="-0.02"/>
    <x v="5"/>
    <x v="7"/>
    <x v="7"/>
  </r>
  <r>
    <s v="KiwiBank"/>
    <s v="Credit"/>
    <s v="4833-48__-____-1032"/>
    <d v="2024-02-26T00:00:00"/>
    <s v="CURRENCY CONV ASSESSMENT  "/>
    <n v="-0.09"/>
    <x v="5"/>
    <x v="7"/>
    <x v="7"/>
  </r>
  <r>
    <s v="KiwiBank"/>
    <s v="Credit"/>
    <s v="4833-48__-____-1032"/>
    <d v="2024-02-26T00:00:00"/>
    <s v="US MOBILE* US MOBILE WWW.USMOBILE. NY;8.57 US DOLLAR  $ at 0.617"/>
    <n v="-9.2899999999999991"/>
    <x v="7"/>
    <x v="13"/>
    <x v="15"/>
  </r>
  <r>
    <s v="KiwiBank"/>
    <s v="Credit"/>
    <s v="4833-48__-____-1032"/>
    <d v="2024-02-26T00:00:00"/>
    <s v="PAYMENT THANKYOU . "/>
    <n v="14.77"/>
    <x v="1"/>
    <x v="24"/>
    <x v="1"/>
  </r>
  <r>
    <s v="KiwiBank"/>
    <s v="Credit"/>
    <s v="4833-48__-____-1032"/>
    <d v="2024-02-26T00:00:00"/>
    <s v="PAYMENT THANKYOU . "/>
    <n v="48.03"/>
    <x v="1"/>
    <x v="24"/>
    <x v="1"/>
  </r>
  <r>
    <s v="KiwiBank"/>
    <s v="Credit"/>
    <s v="4833-48__-____-1032"/>
    <d v="2024-02-26T00:00:00"/>
    <s v="PAK N SAVE SYLVIA PARK AUCKLAND "/>
    <n v="-202.51"/>
    <x v="0"/>
    <x v="0"/>
    <x v="0"/>
  </r>
  <r>
    <s v="KiwiBank"/>
    <s v="Credit"/>
    <s v="4833-48__-____-1032"/>
    <d v="2024-02-26T00:00:00"/>
    <s v="Chemist Warehouse Sylvia Park "/>
    <n v="-24.99"/>
    <x v="0"/>
    <x v="0"/>
    <x v="0"/>
  </r>
  <r>
    <s v="KiwiBank"/>
    <s v="Credit"/>
    <s v="4833-48__-____-1032"/>
    <d v="2024-02-26T00:00:00"/>
    <s v="Life Pharmacy Sylvia PK Sylvia Park "/>
    <n v="-9.6999999999999993"/>
    <x v="10"/>
    <x v="20"/>
    <x v="27"/>
  </r>
  <r>
    <s v="KiwiBank"/>
    <s v="Credit"/>
    <s v="4833-48__-____-1032"/>
    <d v="2024-02-26T00:00:00"/>
    <s v="Cotton On 9932 9932 -S Mt Wellington "/>
    <n v="-2.44"/>
    <x v="9"/>
    <x v="18"/>
    <x v="30"/>
  </r>
  <r>
    <s v="KiwiBank"/>
    <s v="Credit"/>
    <s v="4833-48__-____-1032"/>
    <d v="2024-02-28T00:00:00"/>
    <s v="aliexpress London "/>
    <n v="-129.13999999999999"/>
    <x v="4"/>
    <x v="12"/>
    <x v="12"/>
  </r>
  <r>
    <s v="KiwiBank"/>
    <s v="Credit"/>
    <s v="4833-48__-____-1032"/>
    <d v="2024-02-27T00:00:00"/>
    <s v="PAYMENT THANKYOU . "/>
    <n v="0.18"/>
    <x v="1"/>
    <x v="24"/>
    <x v="1"/>
  </r>
  <r>
    <s v="KiwiBank"/>
    <s v="Credit"/>
    <s v="4833-48__-____-1032"/>
    <d v="2024-02-27T00:00:00"/>
    <s v="PAYMENT THANKYOU . "/>
    <n v="7.08"/>
    <x v="1"/>
    <x v="24"/>
    <x v="1"/>
  </r>
  <r>
    <s v="KiwiBank"/>
    <s v="Credit"/>
    <s v="4833-48__-____-1032"/>
    <d v="2024-02-29T00:00:00"/>
    <s v="AKL COUNCIL ONLINE AUCKLAND "/>
    <n v="-1708.21"/>
    <x v="12"/>
    <x v="28"/>
    <x v="43"/>
  </r>
  <r>
    <s v="KiwiBank"/>
    <s v="Credit"/>
    <s v="4833-48__-____-1032"/>
    <d v="2024-02-29T00:00:00"/>
    <s v="Auckland Council Conv Fee AUCKLAND "/>
    <n v="-22.45"/>
    <x v="4"/>
    <x v="28"/>
    <x v="43"/>
  </r>
  <r>
    <s v="KiwiBank"/>
    <s v="Credit"/>
    <s v="4833-48__-____-1032"/>
    <d v="2024-02-28T00:00:00"/>
    <s v="PAYMENT THANKYOU . "/>
    <n v="16.71"/>
    <x v="1"/>
    <x v="24"/>
    <x v="1"/>
  </r>
  <r>
    <s v="KiwiBank"/>
    <s v="Credit"/>
    <s v="4833-48__-____-1032"/>
    <d v="2024-03-01T00:00:00"/>
    <s v="GOODFOR LUNN AVE AUCKLAND "/>
    <n v="-10.32"/>
    <x v="0"/>
    <x v="0"/>
    <x v="0"/>
  </r>
  <r>
    <s v="KiwiBank"/>
    <s v="Credit"/>
    <s v="4833-48__-____-1032"/>
    <d v="2024-02-29T00:00:00"/>
    <s v="PAYMENT THANKYOU . "/>
    <n v="4.6100000000000003"/>
    <x v="1"/>
    <x v="24"/>
    <x v="1"/>
  </r>
  <r>
    <s v="KiwiBank"/>
    <s v="Credit"/>
    <s v="4833-48__-____-1032"/>
    <d v="2024-02-29T00:00:00"/>
    <s v="Melba Lunn Ave Auckland "/>
    <n v="-5.42"/>
    <x v="3"/>
    <x v="8"/>
    <x v="8"/>
  </r>
  <r>
    <s v="KiwiBank"/>
    <s v="Credit"/>
    <s v="4833-48__-____-1032"/>
    <d v="2024-03-04T00:00:00"/>
    <s v="PAYMENT THANKYOU . "/>
    <n v="16.71"/>
    <x v="1"/>
    <x v="24"/>
    <x v="1"/>
  </r>
  <r>
    <s v="KiwiBank"/>
    <s v="Credit"/>
    <s v="4833-48__-____-1032"/>
    <d v="2024-03-04T00:00:00"/>
    <s v="PAYMENT THANKYOU . "/>
    <n v="67.709999999999994"/>
    <x v="1"/>
    <x v="24"/>
    <x v="1"/>
  </r>
  <r>
    <s v="KiwiBank"/>
    <s v="Credit"/>
    <s v="4833-48__-____-1032"/>
    <d v="2024-03-04T00:00:00"/>
    <s v="TAIPING ASIAN SUPERMARKET AUCKLAND "/>
    <n v="-26.06"/>
    <x v="0"/>
    <x v="0"/>
    <x v="0"/>
  </r>
  <r>
    <s v="KiwiBank"/>
    <s v="Credit"/>
    <s v="4833-48__-____-1032"/>
    <d v="2024-03-04T00:00:00"/>
    <s v="MITRE 10 MEGA MT WTGN MOUNT WELLING "/>
    <n v="-13.05"/>
    <x v="4"/>
    <x v="12"/>
    <x v="12"/>
  </r>
  <r>
    <s v="KiwiBank"/>
    <s v="Credit"/>
    <s v="4833-48__-____-1032"/>
    <d v="2024-03-04T00:00:00"/>
    <s v="SKINNY MOBILE (3) AUCKLAND "/>
    <n v="-7.28"/>
    <x v="7"/>
    <x v="10"/>
    <x v="10"/>
  </r>
  <r>
    <s v="KiwiBank"/>
    <s v="Credit"/>
    <s v="4833-48__-____-1032"/>
    <d v="2024-03-04T00:00:00"/>
    <s v="FOUR SQUARE ELLERSLIE AAUCKLAND "/>
    <n v="-8.82"/>
    <x v="0"/>
    <x v="0"/>
    <x v="0"/>
  </r>
  <r>
    <s v="KiwiBank"/>
    <s v="Credit"/>
    <s v="4833-48__-____-1032"/>
    <d v="2024-03-04T00:00:00"/>
    <s v="Briscoes Panmure Mt Wellington "/>
    <n v="-5.91"/>
    <x v="4"/>
    <x v="12"/>
    <x v="12"/>
  </r>
  <r>
    <s v="KiwiBank"/>
    <s v="Credit"/>
    <s v="4833-48__-____-1032"/>
    <d v="2024-03-04T00:00:00"/>
    <s v="SHAHJI SPICES LTD AUCKLAND "/>
    <n v="-8.9600000000000009"/>
    <x v="0"/>
    <x v="0"/>
    <x v="0"/>
  </r>
  <r>
    <s v="KiwiBank"/>
    <s v="Credit"/>
    <s v="4833-48__-____-1032"/>
    <d v="2024-03-04T00:00:00"/>
    <s v="LIVING PRODUCE MANUKAU "/>
    <n v="-9.4700000000000006"/>
    <x v="0"/>
    <x v="0"/>
    <x v="0"/>
  </r>
  <r>
    <s v="KiwiBank"/>
    <s v="Credit"/>
    <s v="4833-48__-____-1032"/>
    <d v="2024-03-04T00:00:00"/>
    <s v="A &amp; J ZAKNIC &amp; SONS LIMIT KUMEU "/>
    <n v="-3.44"/>
    <x v="0"/>
    <x v="0"/>
    <x v="0"/>
  </r>
  <r>
    <s v="KiwiBank"/>
    <s v="Credit"/>
    <s v="4833-48__-____-1032"/>
    <d v="2024-03-05T00:00:00"/>
    <s v="SKINNY MOBILE (3) AUCKLAND "/>
    <n v="-14.39"/>
    <x v="7"/>
    <x v="10"/>
    <x v="10"/>
  </r>
  <r>
    <s v="KiwiBank"/>
    <s v="Credit"/>
    <s v="4833-48__-____-1032"/>
    <d v="2024-03-04T00:00:00"/>
    <s v="PAYMENT THANKYOU . "/>
    <n v="68.150000000000006"/>
    <x v="1"/>
    <x v="24"/>
    <x v="1"/>
  </r>
  <r>
    <s v="KiwiBank"/>
    <s v="Credit"/>
    <s v="4833-48__-____-1032"/>
    <d v="2024-03-04T00:00:00"/>
    <s v="PAK N SAVE SYLVIA PARK AUCKLAND "/>
    <n v="-21.96"/>
    <x v="0"/>
    <x v="0"/>
    <x v="0"/>
  </r>
  <r>
    <s v="KiwiBank"/>
    <s v="Credit"/>
    <s v="4833-48__-____-1032"/>
    <d v="2024-03-04T00:00:00"/>
    <s v="HESARISUPERMARKETPANMURE AUCKLAND "/>
    <n v="-54.33"/>
    <x v="0"/>
    <x v="0"/>
    <x v="0"/>
  </r>
  <r>
    <s v="KiwiBank"/>
    <s v="Credit"/>
    <s v="4833-48__-____-1032"/>
    <d v="2024-03-04T00:00:00"/>
    <s v="PAYMENT THANKYOU . "/>
    <n v="0.99"/>
    <x v="1"/>
    <x v="24"/>
    <x v="1"/>
  </r>
  <r>
    <s v="KiwiBank"/>
    <s v="Credit"/>
    <s v="4833-48__-____-1032"/>
    <d v="2024-03-07T00:00:00"/>
    <s v="APPLE.COM/BILL SYDNEY "/>
    <n v="-12.3"/>
    <x v="7"/>
    <x v="16"/>
    <x v="19"/>
  </r>
  <r>
    <s v="KiwiBank"/>
    <s v="Credit"/>
    <s v="4833-48__-____-1032"/>
    <d v="2024-03-05T00:00:00"/>
    <s v="PAYMENT THANKYOU . "/>
    <n v="16.63"/>
    <x v="1"/>
    <x v="24"/>
    <x v="1"/>
  </r>
  <r>
    <s v="KiwiBank"/>
    <s v="Credit"/>
    <s v="4833-48__-____-1032"/>
    <d v="2024-03-08T00:00:00"/>
    <s v="Marketplace WWW.ALIEXPRES "/>
    <n v="-30.96"/>
    <x v="9"/>
    <x v="18"/>
    <x v="22"/>
  </r>
  <r>
    <s v="KiwiBank"/>
    <s v="Credit"/>
    <s v="4833-48__-____-1032"/>
    <d v="2024-03-07T00:00:00"/>
    <s v="PAYMENT THANKYOU . "/>
    <n v="125.33"/>
    <x v="1"/>
    <x v="24"/>
    <x v="1"/>
  </r>
  <r>
    <s v="KiwiBank"/>
    <s v="Credit"/>
    <s v="4833-48__-____-1032"/>
    <d v="2024-03-07T00:00:00"/>
    <s v="Watercare Online Remuera "/>
    <n v="-163.22999999999999"/>
    <x v="4"/>
    <x v="4"/>
    <x v="4"/>
  </r>
  <r>
    <s v="KiwiBank"/>
    <s v="Credit"/>
    <s v="4833-48__-____-1032"/>
    <d v="2024-03-07T00:00:00"/>
    <s v="TOWER INSURANCE - EIS 093692079 "/>
    <n v="-41.03"/>
    <x v="4"/>
    <x v="34"/>
    <x v="50"/>
  </r>
  <r>
    <s v="KiwiBank"/>
    <s v="Credit"/>
    <s v="4833-48__-____-1032"/>
    <d v="2024-03-07T00:00:00"/>
    <s v="Z Ellerslie Auckland "/>
    <n v="-47.3"/>
    <x v="6"/>
    <x v="9"/>
    <x v="14"/>
  </r>
  <r>
    <s v="KiwiBank"/>
    <s v="Credit"/>
    <s v="4833-48__-____-1032"/>
    <d v="2024-03-06T00:00:00"/>
    <s v="PAYMENT THANKYOU . "/>
    <n v="61.29"/>
    <x v="1"/>
    <x v="24"/>
    <x v="1"/>
  </r>
  <r>
    <s v="KiwiBank"/>
    <s v="Credit"/>
    <s v="4833-48__-____-1032"/>
    <d v="2024-03-08T00:00:00"/>
    <s v="PAK N SAVE SYLVIA PARK AUCKLAND "/>
    <n v="-115.23"/>
    <x v="0"/>
    <x v="0"/>
    <x v="0"/>
  </r>
  <r>
    <s v="KiwiBank"/>
    <s v="Credit"/>
    <s v="4833-48__-____-1032"/>
    <d v="2024-03-08T00:00:00"/>
    <s v="YUM CHA RESTAURANT AUCKLAND "/>
    <n v="-16.98"/>
    <x v="3"/>
    <x v="8"/>
    <x v="8"/>
  </r>
  <r>
    <s v="KiwiBank"/>
    <s v="Credit"/>
    <s v="4833-48__-____-1032"/>
    <d v="2024-03-07T00:00:00"/>
    <s v="PAYMENT THANKYOU . "/>
    <n v="143.94"/>
    <x v="1"/>
    <x v="24"/>
    <x v="1"/>
  </r>
  <r>
    <s v="KiwiBank"/>
    <s v="Credit"/>
    <s v="4833-48__-____-1032"/>
    <d v="2024-03-11T00:00:00"/>
    <s v="WOOLWORTHS NZ/277 BROADWA NEWMARKET "/>
    <n v="-10.27"/>
    <x v="0"/>
    <x v="0"/>
    <x v="0"/>
  </r>
  <r>
    <s v="KiwiBank"/>
    <s v="Credit"/>
    <s v="4833-48__-____-1032"/>
    <d v="2024-03-11T00:00:00"/>
    <s v="PAYMENT THANKYOU . "/>
    <n v="6.25"/>
    <x v="1"/>
    <x v="24"/>
    <x v="1"/>
  </r>
  <r>
    <s v="KiwiBank"/>
    <s v="Credit"/>
    <s v="4833-48__-____-1032"/>
    <d v="2024-03-11T00:00:00"/>
    <s v="THEA LTD AUCKLAND "/>
    <n v="-34.659999999999997"/>
    <x v="0"/>
    <x v="0"/>
    <x v="0"/>
  </r>
  <r>
    <s v="KiwiBank"/>
    <s v="Credit"/>
    <s v="4833-48__-____-1032"/>
    <d v="2024-03-11T00:00:00"/>
    <s v="EDEN PARK CATERING AUCKLAND "/>
    <n v="-7.57"/>
    <x v="3"/>
    <x v="8"/>
    <x v="8"/>
  </r>
  <r>
    <s v="KiwiBank"/>
    <s v="Credit"/>
    <s v="4833-48__-____-1032"/>
    <d v="2024-03-11T00:00:00"/>
    <s v="PAYMENT THANKYOU . "/>
    <n v="94.28"/>
    <x v="1"/>
    <x v="24"/>
    <x v="1"/>
  </r>
  <r>
    <s v="KiwiBank"/>
    <s v="Credit"/>
    <s v="4833-48__-____-1032"/>
    <d v="2024-03-11T00:00:00"/>
    <s v="MYRENT AUCKLAND "/>
    <n v="-50.27"/>
    <x v="2"/>
    <x v="17"/>
    <x v="51"/>
  </r>
  <r>
    <s v="KiwiBank"/>
    <s v="Credit"/>
    <s v="4833-48__-____-1032"/>
    <d v="2024-03-13T00:00:00"/>
    <s v="CONTACT ENERGY WELLINGTON "/>
    <n v="-258.5"/>
    <x v="4"/>
    <x v="5"/>
    <x v="5"/>
  </r>
  <r>
    <s v="KiwiBank"/>
    <s v="Credit"/>
    <s v="4833-48__-____-1032"/>
    <d v="2024-03-13T00:00:00"/>
    <s v="Wise Auckland "/>
    <n v="-13.4"/>
    <x v="0"/>
    <x v="0"/>
    <x v="0"/>
  </r>
  <r>
    <s v="KiwiBank"/>
    <s v="Credit"/>
    <s v="4833-48__-____-1032"/>
    <d v="2024-03-13T00:00:00"/>
    <s v="PAYMENT THANKYOU . "/>
    <n v="107.99"/>
    <x v="1"/>
    <x v="24"/>
    <x v="1"/>
  </r>
  <r>
    <s v="KiwiBank"/>
    <s v="Credit"/>
    <s v="4833-48__-____-1032"/>
    <d v="2024-03-18T00:00:00"/>
    <s v="AIA NEW ZEALAND AUCKLAND "/>
    <n v="-43.75"/>
    <x v="3"/>
    <x v="6"/>
    <x v="6"/>
  </r>
  <r>
    <s v="KiwiBank"/>
    <s v="Credit"/>
    <s v="4833-48__-____-1032"/>
    <d v="2024-03-15T00:00:00"/>
    <s v="PAYMENT THANKYOU . "/>
    <n v="143.87"/>
    <x v="1"/>
    <x v="24"/>
    <x v="1"/>
  </r>
  <r>
    <s v="KiwiBank"/>
    <s v="Credit"/>
    <s v="4833-48__-____-1032"/>
    <d v="2024-03-15T00:00:00"/>
    <s v="PAK N SAVE SYLVIA PARK AUCKLAND "/>
    <n v="-14.09"/>
    <x v="0"/>
    <x v="0"/>
    <x v="0"/>
  </r>
  <r>
    <s v="KiwiBank"/>
    <s v="Credit"/>
    <s v="4833-48__-____-1032"/>
    <d v="2024-03-15T00:00:00"/>
    <s v="The Warehouse 186 Sylvia Park "/>
    <n v="-9.75"/>
    <x v="4"/>
    <x v="12"/>
    <x v="12"/>
  </r>
  <r>
    <s v="KiwiBank"/>
    <s v="Credit"/>
    <s v="4833-48__-____-1032"/>
    <d v="2024-03-14T00:00:00"/>
    <s v="PAYMENT THANKYOU . "/>
    <n v="185.83"/>
    <x v="1"/>
    <x v="24"/>
    <x v="1"/>
  </r>
  <r>
    <s v="KiwiBank"/>
    <s v="Credit"/>
    <s v="4833-48__-____-1032"/>
    <d v="2024-03-14T00:00:00"/>
    <s v="NEW WORLD STONEFIELDS AUCKLAND NZ "/>
    <n v="-9.82"/>
    <x v="0"/>
    <x v="0"/>
    <x v="0"/>
  </r>
  <r>
    <s v="KiwiBank"/>
    <s v="Credit"/>
    <s v="4833-48__-____-1032"/>
    <d v="2024-03-18T00:00:00"/>
    <s v="PAYMENT THANKYOU . "/>
    <n v="20.66"/>
    <x v="1"/>
    <x v="24"/>
    <x v="1"/>
  </r>
  <r>
    <s v="KiwiBank"/>
    <s v="Credit"/>
    <s v="4833-48__-____-1032"/>
    <d v="2024-03-18T00:00:00"/>
    <s v="Forever New Sylvia Park "/>
    <n v="-86.71"/>
    <x v="9"/>
    <x v="18"/>
    <x v="30"/>
  </r>
  <r>
    <s v="KiwiBank"/>
    <s v="Credit"/>
    <s v="4833-48__-____-1032"/>
    <d v="2024-03-18T00:00:00"/>
    <s v="Modere New Zealand Lim 64 09 828 901 "/>
    <n v="-20.49"/>
    <x v="10"/>
    <x v="20"/>
    <x v="27"/>
  </r>
  <r>
    <s v="KiwiBank"/>
    <s v="Credit"/>
    <s v="4833-48__-____-1032"/>
    <d v="2024-03-18T00:00:00"/>
    <s v="WUCHA SYLVIA PARK AUCKLAND "/>
    <n v="-13.23"/>
    <x v="3"/>
    <x v="8"/>
    <x v="8"/>
  </r>
  <r>
    <s v="KiwiBank"/>
    <s v="Credit"/>
    <s v="4833-48__-____-1032"/>
    <d v="2024-03-18T00:00:00"/>
    <s v="KMART AUCKLAND "/>
    <n v="-12.26"/>
    <x v="4"/>
    <x v="12"/>
    <x v="12"/>
  </r>
  <r>
    <s v="KiwiBank"/>
    <s v="Credit"/>
    <s v="4833-48__-____-1032"/>
    <d v="2024-03-18T00:00:00"/>
    <s v="SMIGGLE 006 SYLVIA PARK MT WELLINGTON "/>
    <n v="-3.9"/>
    <x v="9"/>
    <x v="18"/>
    <x v="30"/>
  </r>
  <r>
    <s v="KiwiBank"/>
    <s v="Credit"/>
    <s v="4833-48__-____-1032"/>
    <d v="2024-03-18T00:00:00"/>
    <s v="Cotton On 9932 9932 -S Mt Wellington "/>
    <n v="-7.51"/>
    <x v="9"/>
    <x v="18"/>
    <x v="30"/>
  </r>
  <r>
    <s v="KiwiBank"/>
    <s v="Credit"/>
    <s v="4833-48__-____-1032"/>
    <d v="2024-03-18T00:00:00"/>
    <s v="PAYMENT THANKYOU . "/>
    <n v="116.18"/>
    <x v="1"/>
    <x v="24"/>
    <x v="1"/>
  </r>
  <r>
    <s v="KiwiBank"/>
    <s v="Credit"/>
    <s v="4833-48__-____-1032"/>
    <d v="2024-03-19T00:00:00"/>
    <s v="UBER* TRIP CHRISTCHURCH "/>
    <n v="-4.45"/>
    <x v="6"/>
    <x v="9"/>
    <x v="33"/>
  </r>
  <r>
    <s v="KiwiBank"/>
    <s v="Credit"/>
    <s v="4833-48__-____-1032"/>
    <d v="2024-03-25T00:00:00"/>
    <s v="PAYPAL *AIRBNB  HMSHCK 35314369001 "/>
    <n v="-427.26"/>
    <x v="3"/>
    <x v="6"/>
    <x v="6"/>
  </r>
  <r>
    <s v="KiwiBank"/>
    <s v="Credit"/>
    <s v="4833-48__-____-1032"/>
    <d v="2024-03-19T00:00:00"/>
    <s v="PAYMENT THANKYOU . "/>
    <n v="2.92"/>
    <x v="1"/>
    <x v="24"/>
    <x v="1"/>
  </r>
  <r>
    <s v="KiwiBank"/>
    <s v="Credit"/>
    <s v="4833-48__-____-1032"/>
    <d v="2024-03-21T00:00:00"/>
    <s v="TOWER INSURANCE - EIS 093692079 "/>
    <n v="-66.83"/>
    <x v="12"/>
    <x v="33"/>
    <x v="49"/>
  </r>
  <r>
    <s v="KiwiBank"/>
    <s v="Credit"/>
    <s v="4833-48__-____-1032"/>
    <d v="2024-03-21T00:00:00"/>
    <s v="TOWER INSURANCE - EIS 093692079 "/>
    <n v="-123.86"/>
    <x v="2"/>
    <x v="33"/>
    <x v="49"/>
  </r>
  <r>
    <s v="KiwiBank"/>
    <s v="Credit"/>
    <s v="4833-48__-____-1032"/>
    <d v="2024-03-21T00:00:00"/>
    <s v="TOWER INSURANCE - EIS 093692079 "/>
    <n v="-139.06"/>
    <x v="4"/>
    <x v="11"/>
    <x v="11"/>
  </r>
  <r>
    <s v="KiwiBank"/>
    <s v="Credit"/>
    <s v="4833-48__-____-1032"/>
    <d v="2024-03-20T00:00:00"/>
    <s v="PAYMENT THANKYOU . "/>
    <n v="2.44"/>
    <x v="1"/>
    <x v="24"/>
    <x v="1"/>
  </r>
  <r>
    <s v="KiwiBank"/>
    <s v="Credit"/>
    <s v="4833-48__-____-1032"/>
    <d v="2024-03-20T00:00:00"/>
    <s v="PAYMENT THANKYOU . "/>
    <n v="258.43"/>
    <x v="1"/>
    <x v="24"/>
    <x v="1"/>
  </r>
  <r>
    <s v="KiwiBank"/>
    <s v="Credit"/>
    <s v="4833-48__-____-1032"/>
    <d v="2024-03-20T00:00:00"/>
    <s v="Caltex Sylvia Park Mt Wellington "/>
    <n v="-131.76"/>
    <x v="6"/>
    <x v="9"/>
    <x v="14"/>
  </r>
  <r>
    <s v="KiwiBank"/>
    <s v="Credit"/>
    <s v="4833-48__-____-1032"/>
    <d v="2024-03-20T00:00:00"/>
    <s v="PAK N SAVE SYLVIA PARK AUCKLAND "/>
    <n v="-64.819999999999993"/>
    <x v="0"/>
    <x v="0"/>
    <x v="0"/>
  </r>
  <r>
    <s v="KiwiBank"/>
    <s v="Credit"/>
    <s v="4833-48__-____-1032"/>
    <d v="2024-03-20T00:00:00"/>
    <s v="Washpod 06 Mt Wellington "/>
    <n v="-4.8099999999999996"/>
    <x v="0"/>
    <x v="0"/>
    <x v="0"/>
  </r>
  <r>
    <s v="KiwiBank"/>
    <s v="Credit"/>
    <s v="4833-48__-____-1032"/>
    <d v="2024-03-25T00:00:00"/>
    <s v="Forever New Botany East Tamaki "/>
    <n v="290.52999999999997"/>
    <x v="9"/>
    <x v="18"/>
    <x v="30"/>
  </r>
  <r>
    <s v="KiwiBank"/>
    <s v="Credit"/>
    <s v="4833-48__-____-1032"/>
    <d v="2024-03-25T00:00:00"/>
    <s v="DIVINE PATISSERIE AUCKLAND "/>
    <n v="-9.56"/>
    <x v="3"/>
    <x v="8"/>
    <x v="8"/>
  </r>
  <r>
    <s v="KiwiBank"/>
    <s v="Credit"/>
    <s v="4833-48__-____-1032"/>
    <d v="2024-03-25T00:00:00"/>
    <s v="KMART NEW ZEALAND LT AUCKLAND "/>
    <n v="-13.93"/>
    <x v="4"/>
    <x v="12"/>
    <x v="12"/>
  </r>
  <r>
    <s v="KiwiBank"/>
    <s v="Credit"/>
    <s v="4833-48__-____-1032"/>
    <d v="2024-03-25T00:00:00"/>
    <s v="Thai Kitchen AUCKLAND "/>
    <n v="-2.46"/>
    <x v="3"/>
    <x v="8"/>
    <x v="8"/>
  </r>
  <r>
    <s v="KiwiBank"/>
    <s v="Credit"/>
    <s v="4833-48__-____-1032"/>
    <d v="2024-03-26T00:00:00"/>
    <s v="FOREIGN CURRENCY TXN FEE  "/>
    <n v="-0.15"/>
    <x v="5"/>
    <x v="7"/>
    <x v="7"/>
  </r>
  <r>
    <s v="KiwiBank"/>
    <s v="Credit"/>
    <s v="4833-48__-____-1032"/>
    <d v="2024-03-26T00:00:00"/>
    <s v="CURRENCY CONV ASSESSMENT  "/>
    <n v="-0.2"/>
    <x v="5"/>
    <x v="7"/>
    <x v="7"/>
  </r>
  <r>
    <s v="KiwiBank"/>
    <s v="Credit"/>
    <s v="4833-48__-____-1032"/>
    <d v="2024-03-26T00:00:00"/>
    <s v="US MOBILE* US MOBILE WWW.USMOBILE. NY;8.57 US DOLLAR  $ at 0.5985"/>
    <n v="-4.0999999999999996"/>
    <x v="7"/>
    <x v="13"/>
    <x v="15"/>
  </r>
  <r>
    <s v="KiwiBank"/>
    <s v="Credit"/>
    <s v="4833-48__-____-1032"/>
    <d v="2024-03-25T00:00:00"/>
    <s v="PAYMENT THANKYOU . "/>
    <n v="43.25"/>
    <x v="1"/>
    <x v="24"/>
    <x v="1"/>
  </r>
  <r>
    <s v="KiwiBank"/>
    <s v="Credit"/>
    <s v="4833-48__-____-1032"/>
    <d v="2024-03-27T00:00:00"/>
    <s v="THEA LTD AUCKLAND "/>
    <n v="-25.26"/>
    <x v="0"/>
    <x v="0"/>
    <x v="0"/>
  </r>
  <r>
    <s v="KiwiBank"/>
    <s v="Credit"/>
    <s v="4833-48__-____-1032"/>
    <d v="2024-03-28T00:00:00"/>
    <s v="YUM CHA RESTAURANT AUCKLAND "/>
    <n v="-76.25"/>
    <x v="3"/>
    <x v="8"/>
    <x v="8"/>
  </r>
  <r>
    <s v="KiwiBank"/>
    <s v="Credit"/>
    <s v="4833-48__-____-1032"/>
    <d v="2024-03-28T00:00:00"/>
    <s v="PAYMENT THANKYOU . "/>
    <n v="316.35000000000002"/>
    <x v="1"/>
    <x v="24"/>
    <x v="1"/>
  </r>
  <r>
    <s v="KiwiBank"/>
    <s v="Credit"/>
    <s v="4833-48__-____-1032"/>
    <d v="2024-03-28T00:00:00"/>
    <s v="TM *TICKETMASTERNZ 038632151 "/>
    <n v="-299.68"/>
    <x v="3"/>
    <x v="3"/>
    <x v="3"/>
  </r>
  <r>
    <m/>
    <m/>
    <m/>
    <m/>
    <m/>
    <m/>
    <x v="16"/>
    <x v="35"/>
    <x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08E56-2C0F-4FDE-B546-18B3FCEAD45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4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axis="axisRow" showAll="0">
      <items count="18">
        <item x="2"/>
        <item x="12"/>
        <item x="4"/>
        <item x="0"/>
        <item x="11"/>
        <item x="8"/>
        <item x="1"/>
        <item x="15"/>
        <item x="10"/>
        <item x="14"/>
        <item x="5"/>
        <item x="9"/>
        <item x="3"/>
        <item x="13"/>
        <item x="7"/>
        <item x="6"/>
        <item x="16"/>
        <item t="default"/>
      </items>
    </pivotField>
    <pivotField axis="axisRow" showAll="0">
      <items count="37">
        <item x="34"/>
        <item x="11"/>
        <item x="21"/>
        <item x="16"/>
        <item x="1"/>
        <item x="18"/>
        <item x="28"/>
        <item x="8"/>
        <item x="5"/>
        <item x="3"/>
        <item x="0"/>
        <item x="14"/>
        <item x="25"/>
        <item x="12"/>
        <item x="33"/>
        <item x="2"/>
        <item x="26"/>
        <item x="24"/>
        <item x="19"/>
        <item x="31"/>
        <item x="20"/>
        <item x="10"/>
        <item x="30"/>
        <item x="23"/>
        <item x="32"/>
        <item x="17"/>
        <item x="7"/>
        <item x="29"/>
        <item x="9"/>
        <item x="27"/>
        <item x="22"/>
        <item x="6"/>
        <item x="13"/>
        <item x="15"/>
        <item x="4"/>
        <item x="35"/>
        <item t="default"/>
      </items>
    </pivotField>
    <pivotField axis="axisRow" showAll="0">
      <items count="58">
        <item x="50"/>
        <item x="11"/>
        <item x="19"/>
        <item x="29"/>
        <item x="43"/>
        <item x="8"/>
        <item x="5"/>
        <item x="3"/>
        <item m="1" x="56"/>
        <item x="26"/>
        <item x="0"/>
        <item x="17"/>
        <item x="44"/>
        <item x="39"/>
        <item x="12"/>
        <item x="49"/>
        <item x="52"/>
        <item x="37"/>
        <item x="1"/>
        <item x="40"/>
        <item x="13"/>
        <item m="1" x="55"/>
        <item x="23"/>
        <item x="34"/>
        <item x="45"/>
        <item x="48"/>
        <item x="27"/>
        <item x="35"/>
        <item x="10"/>
        <item x="47"/>
        <item x="20"/>
        <item x="51"/>
        <item x="31"/>
        <item x="7"/>
        <item x="16"/>
        <item x="32"/>
        <item x="25"/>
        <item x="41"/>
        <item x="2"/>
        <item x="36"/>
        <item x="38"/>
        <item x="30"/>
        <item x="22"/>
        <item x="46"/>
        <item x="9"/>
        <item x="14"/>
        <item x="21"/>
        <item x="24"/>
        <item x="33"/>
        <item x="6"/>
        <item x="15"/>
        <item x="28"/>
        <item x="18"/>
        <item x="4"/>
        <item m="1" x="54"/>
        <item x="53"/>
        <item x="42"/>
        <item t="default"/>
      </items>
    </pivotField>
  </pivotFields>
  <rowFields count="3">
    <field x="6"/>
    <field x="7"/>
    <field x="8"/>
  </rowFields>
  <rowItems count="131">
    <i>
      <x/>
    </i>
    <i r="1">
      <x v="6"/>
    </i>
    <i r="2">
      <x v="4"/>
    </i>
    <i r="1">
      <x v="14"/>
    </i>
    <i r="2">
      <x v="15"/>
    </i>
    <i r="1">
      <x v="15"/>
    </i>
    <i r="2">
      <x v="38"/>
    </i>
    <i r="1">
      <x v="23"/>
    </i>
    <i r="2">
      <x v="17"/>
    </i>
    <i r="2">
      <x v="39"/>
    </i>
    <i r="1">
      <x v="25"/>
    </i>
    <i r="2">
      <x v="31"/>
    </i>
    <i>
      <x v="1"/>
    </i>
    <i r="1">
      <x v="6"/>
    </i>
    <i r="2">
      <x v="4"/>
    </i>
    <i r="1">
      <x v="14"/>
    </i>
    <i r="2">
      <x v="15"/>
    </i>
    <i r="1">
      <x v="15"/>
    </i>
    <i r="2">
      <x v="38"/>
    </i>
    <i r="1">
      <x v="22"/>
    </i>
    <i r="2">
      <x v="17"/>
    </i>
    <i r="2">
      <x v="24"/>
    </i>
    <i r="2">
      <x v="39"/>
    </i>
    <i r="1">
      <x v="25"/>
    </i>
    <i r="2">
      <x v="31"/>
    </i>
    <i r="1">
      <x v="29"/>
    </i>
    <i r="2">
      <x v="37"/>
    </i>
    <i>
      <x v="2"/>
    </i>
    <i r="1">
      <x/>
    </i>
    <i r="2">
      <x/>
    </i>
    <i r="1">
      <x v="1"/>
    </i>
    <i r="2">
      <x v="1"/>
    </i>
    <i r="1">
      <x v="6"/>
    </i>
    <i r="2">
      <x v="4"/>
    </i>
    <i r="1">
      <x v="8"/>
    </i>
    <i r="2">
      <x v="6"/>
    </i>
    <i r="1">
      <x v="13"/>
    </i>
    <i r="2">
      <x v="14"/>
    </i>
    <i r="1">
      <x v="22"/>
    </i>
    <i r="2">
      <x v="17"/>
    </i>
    <i r="2">
      <x v="39"/>
    </i>
    <i r="1">
      <x v="25"/>
    </i>
    <i r="2">
      <x v="30"/>
    </i>
    <i r="1">
      <x v="34"/>
    </i>
    <i r="2">
      <x v="53"/>
    </i>
    <i>
      <x v="3"/>
    </i>
    <i r="1">
      <x v="10"/>
    </i>
    <i r="2">
      <x v="10"/>
    </i>
    <i>
      <x v="4"/>
    </i>
    <i r="1">
      <x v="30"/>
    </i>
    <i r="2">
      <x v="27"/>
    </i>
    <i r="2">
      <x v="40"/>
    </i>
    <i r="2">
      <x v="56"/>
    </i>
    <i>
      <x v="5"/>
    </i>
    <i r="1">
      <x v="12"/>
    </i>
    <i r="2">
      <x v="13"/>
    </i>
    <i r="2">
      <x v="56"/>
    </i>
    <i r="1">
      <x v="18"/>
    </i>
    <i r="2">
      <x v="22"/>
    </i>
    <i r="1">
      <x v="33"/>
    </i>
    <i r="2">
      <x v="52"/>
    </i>
    <i>
      <x v="6"/>
    </i>
    <i r="1">
      <x v="2"/>
    </i>
    <i r="2">
      <x v="18"/>
    </i>
    <i r="1">
      <x v="4"/>
    </i>
    <i r="2">
      <x v="18"/>
    </i>
    <i r="2">
      <x v="34"/>
    </i>
    <i r="1">
      <x v="17"/>
    </i>
    <i r="2">
      <x v="18"/>
    </i>
    <i r="2">
      <x v="56"/>
    </i>
    <i>
      <x v="7"/>
    </i>
    <i r="1">
      <x v="24"/>
    </i>
    <i r="2">
      <x v="29"/>
    </i>
    <i>
      <x v="8"/>
    </i>
    <i r="1">
      <x v="20"/>
    </i>
    <i r="2">
      <x v="26"/>
    </i>
    <i>
      <x v="9"/>
    </i>
    <i r="1">
      <x v="19"/>
    </i>
    <i r="2">
      <x v="43"/>
    </i>
    <i>
      <x v="10"/>
    </i>
    <i r="1">
      <x v="26"/>
    </i>
    <i r="2">
      <x v="16"/>
    </i>
    <i r="2">
      <x v="20"/>
    </i>
    <i r="2">
      <x v="32"/>
    </i>
    <i r="2">
      <x v="33"/>
    </i>
    <i r="2">
      <x v="35"/>
    </i>
    <i r="2">
      <x v="36"/>
    </i>
    <i>
      <x v="11"/>
    </i>
    <i r="1">
      <x v="5"/>
    </i>
    <i r="2">
      <x v="41"/>
    </i>
    <i r="2">
      <x v="42"/>
    </i>
    <i r="1">
      <x v="27"/>
    </i>
    <i r="2">
      <x v="12"/>
    </i>
    <i r="2">
      <x v="25"/>
    </i>
    <i>
      <x v="12"/>
    </i>
    <i r="1">
      <x v="7"/>
    </i>
    <i r="2">
      <x v="5"/>
    </i>
    <i r="1">
      <x v="9"/>
    </i>
    <i r="2">
      <x v="3"/>
    </i>
    <i r="2">
      <x v="7"/>
    </i>
    <i r="2">
      <x v="9"/>
    </i>
    <i r="2">
      <x v="23"/>
    </i>
    <i r="2">
      <x v="51"/>
    </i>
    <i r="1">
      <x v="11"/>
    </i>
    <i r="2">
      <x v="11"/>
    </i>
    <i r="1">
      <x v="31"/>
    </i>
    <i r="2">
      <x v="49"/>
    </i>
    <i>
      <x v="13"/>
    </i>
    <i r="1">
      <x v="17"/>
    </i>
    <i r="2">
      <x v="56"/>
    </i>
    <i>
      <x v="14"/>
    </i>
    <i r="1">
      <x v="3"/>
    </i>
    <i r="2">
      <x v="2"/>
    </i>
    <i r="1">
      <x v="16"/>
    </i>
    <i r="2">
      <x v="19"/>
    </i>
    <i r="2">
      <x v="56"/>
    </i>
    <i r="1">
      <x v="21"/>
    </i>
    <i r="2">
      <x v="28"/>
    </i>
    <i r="1">
      <x v="32"/>
    </i>
    <i r="2">
      <x v="50"/>
    </i>
    <i>
      <x v="15"/>
    </i>
    <i r="1">
      <x v="28"/>
    </i>
    <i r="2">
      <x v="44"/>
    </i>
    <i r="2">
      <x v="45"/>
    </i>
    <i r="2">
      <x v="46"/>
    </i>
    <i r="2">
      <x v="47"/>
    </i>
    <i r="2">
      <x v="48"/>
    </i>
    <i>
      <x v="16"/>
    </i>
    <i r="1">
      <x v="35"/>
    </i>
    <i r="2">
      <x v="55"/>
    </i>
    <i t="grand">
      <x/>
    </i>
  </rowItems>
  <colItems count="1">
    <i/>
  </colItems>
  <dataFields count="1">
    <dataField name="Sum of Amount" fld="5" baseField="0" baseItem="0" numFmtId="4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87"/>
  <sheetViews>
    <sheetView topLeftCell="F1" workbookViewId="0">
      <selection activeCell="J1" sqref="J1:J1048576"/>
    </sheetView>
  </sheetViews>
  <sheetFormatPr defaultRowHeight="15" x14ac:dyDescent="0.25"/>
  <cols>
    <col min="1" max="1" width="9.140625" bestFit="1" customWidth="1"/>
    <col min="2" max="2" width="7.5703125" bestFit="1" customWidth="1"/>
    <col min="3" max="3" width="19.42578125" bestFit="1" customWidth="1"/>
    <col min="4" max="4" width="10.7109375" bestFit="1" customWidth="1"/>
    <col min="5" max="5" width="136.140625" bestFit="1" customWidth="1"/>
    <col min="6" max="6" width="10.42578125" bestFit="1" customWidth="1"/>
    <col min="7" max="7" width="27.85546875" bestFit="1" customWidth="1"/>
    <col min="8" max="8" width="27.28515625" bestFit="1" customWidth="1"/>
    <col min="9" max="9" width="29.85546875" bestFit="1" customWidth="1"/>
    <col min="11" max="11" width="5.7109375" bestFit="1" customWidth="1"/>
  </cols>
  <sheetData>
    <row r="1" spans="1:9" x14ac:dyDescent="0.25">
      <c r="A1" t="s">
        <v>1</v>
      </c>
      <c r="B1" t="s">
        <v>99</v>
      </c>
      <c r="C1" t="s">
        <v>2</v>
      </c>
      <c r="D1" t="s">
        <v>0</v>
      </c>
      <c r="E1" t="s">
        <v>4</v>
      </c>
      <c r="F1" t="s">
        <v>3</v>
      </c>
      <c r="G1" t="s">
        <v>5</v>
      </c>
      <c r="H1" t="s">
        <v>6</v>
      </c>
      <c r="I1" t="s">
        <v>7</v>
      </c>
    </row>
    <row r="2" spans="1:9" x14ac:dyDescent="0.25">
      <c r="A2" t="s">
        <v>71</v>
      </c>
      <c r="B2" t="s">
        <v>100</v>
      </c>
      <c r="C2" t="s">
        <v>762</v>
      </c>
      <c r="D2" s="1">
        <v>45018</v>
      </c>
      <c r="E2" t="s">
        <v>768</v>
      </c>
      <c r="F2">
        <v>-511.37</v>
      </c>
      <c r="G2" t="s">
        <v>68</v>
      </c>
      <c r="H2" t="s">
        <v>69</v>
      </c>
      <c r="I2" t="s">
        <v>69</v>
      </c>
    </row>
    <row r="3" spans="1:9" x14ac:dyDescent="0.25">
      <c r="A3" t="s">
        <v>71</v>
      </c>
      <c r="B3" t="s">
        <v>100</v>
      </c>
      <c r="C3" t="s">
        <v>762</v>
      </c>
      <c r="D3" s="1">
        <v>45020</v>
      </c>
      <c r="E3" t="s">
        <v>8</v>
      </c>
      <c r="F3">
        <v>48.35</v>
      </c>
      <c r="G3" t="s">
        <v>70</v>
      </c>
      <c r="H3" t="s">
        <v>71</v>
      </c>
      <c r="I3" t="s">
        <v>72</v>
      </c>
    </row>
    <row r="4" spans="1:9" x14ac:dyDescent="0.25">
      <c r="A4" t="s">
        <v>71</v>
      </c>
      <c r="B4" t="s">
        <v>100</v>
      </c>
      <c r="C4" t="s">
        <v>762</v>
      </c>
      <c r="D4" s="1">
        <v>45020</v>
      </c>
      <c r="E4" t="s">
        <v>9</v>
      </c>
      <c r="F4">
        <v>0.97</v>
      </c>
      <c r="G4" t="s">
        <v>70</v>
      </c>
      <c r="H4" t="s">
        <v>71</v>
      </c>
      <c r="I4" t="s">
        <v>72</v>
      </c>
    </row>
    <row r="5" spans="1:9" x14ac:dyDescent="0.25">
      <c r="A5" t="s">
        <v>71</v>
      </c>
      <c r="B5" t="s">
        <v>100</v>
      </c>
      <c r="C5" t="s">
        <v>762</v>
      </c>
      <c r="D5" s="1">
        <v>45021</v>
      </c>
      <c r="E5" t="s">
        <v>10</v>
      </c>
      <c r="F5">
        <v>258</v>
      </c>
      <c r="G5" t="s">
        <v>70</v>
      </c>
      <c r="H5" t="s">
        <v>71</v>
      </c>
      <c r="I5" t="s">
        <v>72</v>
      </c>
    </row>
    <row r="6" spans="1:9" x14ac:dyDescent="0.25">
      <c r="A6" t="s">
        <v>71</v>
      </c>
      <c r="B6" t="s">
        <v>100</v>
      </c>
      <c r="C6" t="s">
        <v>762</v>
      </c>
      <c r="D6" s="1">
        <v>45021</v>
      </c>
      <c r="E6" t="s">
        <v>766</v>
      </c>
      <c r="F6">
        <v>-93.1</v>
      </c>
      <c r="G6" t="s">
        <v>70</v>
      </c>
      <c r="H6" t="s">
        <v>71</v>
      </c>
      <c r="I6" t="s">
        <v>72</v>
      </c>
    </row>
    <row r="7" spans="1:9" x14ac:dyDescent="0.25">
      <c r="A7" t="s">
        <v>71</v>
      </c>
      <c r="B7" t="s">
        <v>100</v>
      </c>
      <c r="C7" t="s">
        <v>762</v>
      </c>
      <c r="D7" s="1">
        <v>45022</v>
      </c>
      <c r="E7" t="s">
        <v>772</v>
      </c>
      <c r="F7">
        <v>-300.37</v>
      </c>
      <c r="G7" t="s">
        <v>70</v>
      </c>
      <c r="H7" t="s">
        <v>71</v>
      </c>
      <c r="I7" t="s">
        <v>72</v>
      </c>
    </row>
    <row r="8" spans="1:9" x14ac:dyDescent="0.25">
      <c r="A8" t="s">
        <v>71</v>
      </c>
      <c r="B8" t="s">
        <v>100</v>
      </c>
      <c r="C8" t="s">
        <v>762</v>
      </c>
      <c r="D8" s="1">
        <v>45022</v>
      </c>
      <c r="E8" t="s">
        <v>11</v>
      </c>
      <c r="F8">
        <v>136.34</v>
      </c>
      <c r="G8" t="s">
        <v>70</v>
      </c>
      <c r="H8" t="s">
        <v>71</v>
      </c>
      <c r="I8" t="s">
        <v>72</v>
      </c>
    </row>
    <row r="9" spans="1:9" x14ac:dyDescent="0.25">
      <c r="A9" t="s">
        <v>71</v>
      </c>
      <c r="B9" t="s">
        <v>100</v>
      </c>
      <c r="C9" t="s">
        <v>762</v>
      </c>
      <c r="D9" s="1">
        <v>45022</v>
      </c>
      <c r="E9" t="s">
        <v>12</v>
      </c>
      <c r="F9">
        <v>7.52</v>
      </c>
      <c r="G9" t="s">
        <v>70</v>
      </c>
      <c r="H9" t="s">
        <v>71</v>
      </c>
      <c r="I9" t="s">
        <v>72</v>
      </c>
    </row>
    <row r="10" spans="1:9" x14ac:dyDescent="0.25">
      <c r="A10" t="s">
        <v>71</v>
      </c>
      <c r="B10" t="s">
        <v>100</v>
      </c>
      <c r="C10" t="s">
        <v>762</v>
      </c>
      <c r="D10" s="1">
        <v>45022</v>
      </c>
      <c r="E10" t="s">
        <v>766</v>
      </c>
      <c r="F10">
        <v>-0.41</v>
      </c>
      <c r="G10" t="s">
        <v>70</v>
      </c>
      <c r="H10" t="s">
        <v>71</v>
      </c>
      <c r="I10" t="s">
        <v>72</v>
      </c>
    </row>
    <row r="11" spans="1:9" x14ac:dyDescent="0.25">
      <c r="A11" t="s">
        <v>71</v>
      </c>
      <c r="B11" t="s">
        <v>100</v>
      </c>
      <c r="C11" t="s">
        <v>762</v>
      </c>
      <c r="D11" s="1">
        <v>45024</v>
      </c>
      <c r="E11" t="s">
        <v>766</v>
      </c>
      <c r="F11">
        <v>-79.790000000000006</v>
      </c>
      <c r="G11" t="s">
        <v>70</v>
      </c>
      <c r="H11" t="s">
        <v>71</v>
      </c>
      <c r="I11" t="s">
        <v>72</v>
      </c>
    </row>
    <row r="12" spans="1:9" x14ac:dyDescent="0.25">
      <c r="A12" t="s">
        <v>71</v>
      </c>
      <c r="B12" t="s">
        <v>100</v>
      </c>
      <c r="C12" t="s">
        <v>762</v>
      </c>
      <c r="D12" s="1">
        <v>45026</v>
      </c>
      <c r="E12" t="s">
        <v>766</v>
      </c>
      <c r="F12">
        <v>-51.72</v>
      </c>
      <c r="G12" t="s">
        <v>70</v>
      </c>
      <c r="H12" t="s">
        <v>71</v>
      </c>
      <c r="I12" t="s">
        <v>72</v>
      </c>
    </row>
    <row r="13" spans="1:9" x14ac:dyDescent="0.25">
      <c r="A13" t="s">
        <v>71</v>
      </c>
      <c r="B13" t="s">
        <v>100</v>
      </c>
      <c r="C13" t="s">
        <v>762</v>
      </c>
      <c r="D13" s="1">
        <v>45026</v>
      </c>
      <c r="E13" t="s">
        <v>766</v>
      </c>
      <c r="F13">
        <v>-27.09</v>
      </c>
      <c r="G13" t="s">
        <v>70</v>
      </c>
      <c r="H13" t="s">
        <v>71</v>
      </c>
      <c r="I13" t="s">
        <v>72</v>
      </c>
    </row>
    <row r="14" spans="1:9" x14ac:dyDescent="0.25">
      <c r="A14" t="s">
        <v>71</v>
      </c>
      <c r="B14" t="s">
        <v>100</v>
      </c>
      <c r="C14" t="s">
        <v>762</v>
      </c>
      <c r="D14" s="1">
        <v>45027</v>
      </c>
      <c r="E14" t="s">
        <v>766</v>
      </c>
      <c r="F14">
        <v>-17.93</v>
      </c>
      <c r="G14" t="s">
        <v>70</v>
      </c>
      <c r="H14" t="s">
        <v>71</v>
      </c>
      <c r="I14" t="s">
        <v>72</v>
      </c>
    </row>
    <row r="15" spans="1:9" x14ac:dyDescent="0.25">
      <c r="A15" t="s">
        <v>71</v>
      </c>
      <c r="B15" t="s">
        <v>100</v>
      </c>
      <c r="C15" t="s">
        <v>762</v>
      </c>
      <c r="D15" s="1">
        <v>45028</v>
      </c>
      <c r="E15" t="s">
        <v>13</v>
      </c>
      <c r="F15">
        <v>816.33</v>
      </c>
      <c r="G15" t="s">
        <v>73</v>
      </c>
      <c r="H15" t="s">
        <v>74</v>
      </c>
      <c r="I15" t="s">
        <v>75</v>
      </c>
    </row>
    <row r="16" spans="1:9" x14ac:dyDescent="0.25">
      <c r="A16" t="s">
        <v>71</v>
      </c>
      <c r="B16" t="s">
        <v>100</v>
      </c>
      <c r="C16" t="s">
        <v>762</v>
      </c>
      <c r="D16" s="1">
        <v>45028</v>
      </c>
      <c r="E16" t="s">
        <v>766</v>
      </c>
      <c r="F16">
        <v>-17.440000000000001</v>
      </c>
      <c r="G16" t="s">
        <v>70</v>
      </c>
      <c r="H16" t="s">
        <v>71</v>
      </c>
      <c r="I16" t="s">
        <v>72</v>
      </c>
    </row>
    <row r="17" spans="1:9" x14ac:dyDescent="0.25">
      <c r="A17" t="s">
        <v>71</v>
      </c>
      <c r="B17" t="s">
        <v>100</v>
      </c>
      <c r="C17" t="s">
        <v>762</v>
      </c>
      <c r="D17" s="1">
        <v>45028</v>
      </c>
      <c r="E17" t="s">
        <v>772</v>
      </c>
      <c r="F17">
        <v>-1151.95</v>
      </c>
      <c r="G17" t="s">
        <v>70</v>
      </c>
      <c r="H17" t="s">
        <v>71</v>
      </c>
      <c r="I17" t="s">
        <v>72</v>
      </c>
    </row>
    <row r="18" spans="1:9" x14ac:dyDescent="0.25">
      <c r="A18" t="s">
        <v>71</v>
      </c>
      <c r="B18" t="s">
        <v>100</v>
      </c>
      <c r="C18" t="s">
        <v>762</v>
      </c>
      <c r="D18" s="1">
        <v>45028</v>
      </c>
      <c r="E18" t="s">
        <v>768</v>
      </c>
      <c r="F18">
        <v>-75.97</v>
      </c>
      <c r="G18" t="s">
        <v>68</v>
      </c>
      <c r="H18" t="s">
        <v>69</v>
      </c>
      <c r="I18" t="s">
        <v>69</v>
      </c>
    </row>
    <row r="19" spans="1:9" x14ac:dyDescent="0.25">
      <c r="A19" t="s">
        <v>71</v>
      </c>
      <c r="B19" t="s">
        <v>100</v>
      </c>
      <c r="C19" t="s">
        <v>762</v>
      </c>
      <c r="D19" s="1">
        <v>45029</v>
      </c>
      <c r="E19" t="s">
        <v>768</v>
      </c>
      <c r="F19">
        <v>-66.16</v>
      </c>
      <c r="G19" t="s">
        <v>68</v>
      </c>
      <c r="H19" t="s">
        <v>69</v>
      </c>
      <c r="I19" t="s">
        <v>69</v>
      </c>
    </row>
    <row r="20" spans="1:9" x14ac:dyDescent="0.25">
      <c r="A20" t="s">
        <v>71</v>
      </c>
      <c r="B20" t="s">
        <v>100</v>
      </c>
      <c r="C20" t="s">
        <v>762</v>
      </c>
      <c r="D20" s="1">
        <v>45029</v>
      </c>
      <c r="E20" t="s">
        <v>14</v>
      </c>
      <c r="F20">
        <v>33.619999999999997</v>
      </c>
      <c r="G20" t="s">
        <v>70</v>
      </c>
      <c r="H20" t="s">
        <v>71</v>
      </c>
      <c r="I20" t="s">
        <v>72</v>
      </c>
    </row>
    <row r="21" spans="1:9" x14ac:dyDescent="0.25">
      <c r="A21" t="s">
        <v>71</v>
      </c>
      <c r="B21" t="s">
        <v>100</v>
      </c>
      <c r="C21" t="s">
        <v>762</v>
      </c>
      <c r="D21" s="1">
        <v>45029</v>
      </c>
      <c r="E21" t="s">
        <v>766</v>
      </c>
      <c r="F21">
        <v>-0.95</v>
      </c>
      <c r="G21" t="s">
        <v>70</v>
      </c>
      <c r="H21" t="s">
        <v>71</v>
      </c>
      <c r="I21" t="s">
        <v>72</v>
      </c>
    </row>
    <row r="22" spans="1:9" x14ac:dyDescent="0.25">
      <c r="A22" t="s">
        <v>71</v>
      </c>
      <c r="B22" t="s">
        <v>100</v>
      </c>
      <c r="C22" t="s">
        <v>762</v>
      </c>
      <c r="D22" s="1">
        <v>45030</v>
      </c>
      <c r="E22" t="s">
        <v>15</v>
      </c>
      <c r="F22">
        <v>112.45</v>
      </c>
      <c r="G22" t="s">
        <v>70</v>
      </c>
      <c r="H22" t="s">
        <v>71</v>
      </c>
      <c r="I22" t="s">
        <v>72</v>
      </c>
    </row>
    <row r="23" spans="1:9" x14ac:dyDescent="0.25">
      <c r="A23" t="s">
        <v>71</v>
      </c>
      <c r="B23" t="s">
        <v>100</v>
      </c>
      <c r="C23" t="s">
        <v>762</v>
      </c>
      <c r="D23" s="1">
        <v>45030</v>
      </c>
      <c r="E23" t="s">
        <v>16</v>
      </c>
      <c r="F23">
        <v>7.81</v>
      </c>
      <c r="G23" t="s">
        <v>70</v>
      </c>
      <c r="H23" t="s">
        <v>71</v>
      </c>
      <c r="I23" t="s">
        <v>72</v>
      </c>
    </row>
    <row r="24" spans="1:9" x14ac:dyDescent="0.25">
      <c r="A24" t="s">
        <v>71</v>
      </c>
      <c r="B24" t="s">
        <v>100</v>
      </c>
      <c r="C24" t="s">
        <v>762</v>
      </c>
      <c r="D24" s="1">
        <v>45031</v>
      </c>
      <c r="E24" t="s">
        <v>17</v>
      </c>
      <c r="F24">
        <v>-92.2</v>
      </c>
      <c r="G24" t="s">
        <v>76</v>
      </c>
      <c r="H24" t="s">
        <v>77</v>
      </c>
      <c r="I24" t="s">
        <v>78</v>
      </c>
    </row>
    <row r="25" spans="1:9" x14ac:dyDescent="0.25">
      <c r="A25" t="s">
        <v>71</v>
      </c>
      <c r="B25" t="s">
        <v>100</v>
      </c>
      <c r="C25" t="s">
        <v>762</v>
      </c>
      <c r="D25" s="1">
        <v>45031</v>
      </c>
      <c r="E25" t="s">
        <v>766</v>
      </c>
      <c r="F25">
        <v>-108.57</v>
      </c>
      <c r="G25" t="s">
        <v>70</v>
      </c>
      <c r="H25" t="s">
        <v>71</v>
      </c>
      <c r="I25" t="s">
        <v>72</v>
      </c>
    </row>
    <row r="26" spans="1:9" x14ac:dyDescent="0.25">
      <c r="A26" t="s">
        <v>71</v>
      </c>
      <c r="B26" t="s">
        <v>100</v>
      </c>
      <c r="C26" t="s">
        <v>762</v>
      </c>
      <c r="D26" s="1">
        <v>45031</v>
      </c>
      <c r="E26" t="s">
        <v>766</v>
      </c>
      <c r="F26">
        <v>-29.08</v>
      </c>
      <c r="G26" t="s">
        <v>70</v>
      </c>
      <c r="H26" t="s">
        <v>71</v>
      </c>
      <c r="I26" t="s">
        <v>72</v>
      </c>
    </row>
    <row r="27" spans="1:9" x14ac:dyDescent="0.25">
      <c r="A27" t="s">
        <v>71</v>
      </c>
      <c r="B27" t="s">
        <v>100</v>
      </c>
      <c r="C27" t="s">
        <v>762</v>
      </c>
      <c r="D27" s="1">
        <v>45031</v>
      </c>
      <c r="E27" t="s">
        <v>766</v>
      </c>
      <c r="F27">
        <v>-9.65</v>
      </c>
      <c r="G27" t="s">
        <v>70</v>
      </c>
      <c r="H27" t="s">
        <v>71</v>
      </c>
      <c r="I27" t="s">
        <v>72</v>
      </c>
    </row>
    <row r="28" spans="1:9" x14ac:dyDescent="0.25">
      <c r="A28" t="s">
        <v>71</v>
      </c>
      <c r="B28" t="s">
        <v>100</v>
      </c>
      <c r="C28" t="s">
        <v>762</v>
      </c>
      <c r="D28" s="1">
        <v>45031</v>
      </c>
      <c r="E28" t="s">
        <v>766</v>
      </c>
      <c r="F28">
        <v>-16.059999999999999</v>
      </c>
      <c r="G28" t="s">
        <v>70</v>
      </c>
      <c r="H28" t="s">
        <v>71</v>
      </c>
      <c r="I28" t="s">
        <v>72</v>
      </c>
    </row>
    <row r="29" spans="1:9" x14ac:dyDescent="0.25">
      <c r="A29" t="s">
        <v>71</v>
      </c>
      <c r="B29" t="s">
        <v>100</v>
      </c>
      <c r="C29" t="s">
        <v>762</v>
      </c>
      <c r="D29" s="1">
        <v>45032</v>
      </c>
      <c r="E29" t="s">
        <v>766</v>
      </c>
      <c r="F29">
        <v>-0.6</v>
      </c>
      <c r="G29" t="s">
        <v>70</v>
      </c>
      <c r="H29" t="s">
        <v>71</v>
      </c>
      <c r="I29" t="s">
        <v>72</v>
      </c>
    </row>
    <row r="30" spans="1:9" x14ac:dyDescent="0.25">
      <c r="A30" t="s">
        <v>71</v>
      </c>
      <c r="B30" t="s">
        <v>100</v>
      </c>
      <c r="C30" t="s">
        <v>762</v>
      </c>
      <c r="D30" s="1">
        <v>45034</v>
      </c>
      <c r="E30" t="s">
        <v>18</v>
      </c>
      <c r="F30">
        <v>96.02</v>
      </c>
      <c r="G30" t="s">
        <v>70</v>
      </c>
      <c r="H30" t="s">
        <v>71</v>
      </c>
      <c r="I30" t="s">
        <v>72</v>
      </c>
    </row>
    <row r="31" spans="1:9" x14ac:dyDescent="0.25">
      <c r="A31" t="s">
        <v>71</v>
      </c>
      <c r="B31" t="s">
        <v>100</v>
      </c>
      <c r="C31" t="s">
        <v>762</v>
      </c>
      <c r="D31" s="1">
        <v>45034</v>
      </c>
      <c r="E31" t="s">
        <v>19</v>
      </c>
      <c r="F31">
        <v>74.680000000000007</v>
      </c>
      <c r="G31" t="s">
        <v>70</v>
      </c>
      <c r="H31" t="s">
        <v>71</v>
      </c>
      <c r="I31" t="s">
        <v>72</v>
      </c>
    </row>
    <row r="32" spans="1:9" x14ac:dyDescent="0.25">
      <c r="A32" t="s">
        <v>71</v>
      </c>
      <c r="B32" t="s">
        <v>100</v>
      </c>
      <c r="C32" t="s">
        <v>762</v>
      </c>
      <c r="D32" s="1">
        <v>45034</v>
      </c>
      <c r="E32" t="s">
        <v>20</v>
      </c>
      <c r="F32">
        <v>143.81</v>
      </c>
      <c r="G32" t="s">
        <v>70</v>
      </c>
      <c r="H32" t="s">
        <v>71</v>
      </c>
      <c r="I32" t="s">
        <v>72</v>
      </c>
    </row>
    <row r="33" spans="1:9" x14ac:dyDescent="0.25">
      <c r="A33" t="s">
        <v>71</v>
      </c>
      <c r="B33" t="s">
        <v>100</v>
      </c>
      <c r="C33" t="s">
        <v>762</v>
      </c>
      <c r="D33" s="1">
        <v>45035</v>
      </c>
      <c r="E33" t="s">
        <v>766</v>
      </c>
      <c r="F33">
        <v>-248.94</v>
      </c>
      <c r="G33" t="s">
        <v>70</v>
      </c>
      <c r="H33" t="s">
        <v>71</v>
      </c>
      <c r="I33" t="s">
        <v>72</v>
      </c>
    </row>
    <row r="34" spans="1:9" x14ac:dyDescent="0.25">
      <c r="A34" t="s">
        <v>71</v>
      </c>
      <c r="B34" t="s">
        <v>100</v>
      </c>
      <c r="C34" t="s">
        <v>762</v>
      </c>
      <c r="D34" s="1">
        <v>45036</v>
      </c>
      <c r="E34" t="s">
        <v>21</v>
      </c>
      <c r="F34">
        <v>168.69</v>
      </c>
      <c r="G34" t="s">
        <v>70</v>
      </c>
      <c r="H34" t="s">
        <v>71</v>
      </c>
      <c r="I34" t="s">
        <v>72</v>
      </c>
    </row>
    <row r="35" spans="1:9" x14ac:dyDescent="0.25">
      <c r="A35" t="s">
        <v>71</v>
      </c>
      <c r="B35" t="s">
        <v>100</v>
      </c>
      <c r="C35" t="s">
        <v>762</v>
      </c>
      <c r="D35" s="1">
        <v>45036</v>
      </c>
      <c r="E35" t="s">
        <v>10</v>
      </c>
      <c r="F35">
        <v>1096.19</v>
      </c>
      <c r="G35" t="s">
        <v>70</v>
      </c>
      <c r="H35" t="s">
        <v>71</v>
      </c>
      <c r="I35" t="s">
        <v>72</v>
      </c>
    </row>
    <row r="36" spans="1:9" x14ac:dyDescent="0.25">
      <c r="A36" t="s">
        <v>71</v>
      </c>
      <c r="B36" t="s">
        <v>100</v>
      </c>
      <c r="C36" t="s">
        <v>762</v>
      </c>
      <c r="D36" s="1">
        <v>45036</v>
      </c>
      <c r="E36" t="s">
        <v>22</v>
      </c>
      <c r="F36">
        <v>792.22</v>
      </c>
      <c r="G36" t="s">
        <v>70</v>
      </c>
      <c r="H36" t="s">
        <v>71</v>
      </c>
      <c r="I36" t="s">
        <v>72</v>
      </c>
    </row>
    <row r="37" spans="1:9" x14ac:dyDescent="0.25">
      <c r="A37" t="s">
        <v>71</v>
      </c>
      <c r="B37" t="s">
        <v>100</v>
      </c>
      <c r="C37" t="s">
        <v>762</v>
      </c>
      <c r="D37" s="1">
        <v>45036</v>
      </c>
      <c r="E37" t="s">
        <v>766</v>
      </c>
      <c r="F37">
        <v>-634.28</v>
      </c>
      <c r="G37" t="s">
        <v>70</v>
      </c>
      <c r="H37" t="s">
        <v>71</v>
      </c>
      <c r="I37" t="s">
        <v>72</v>
      </c>
    </row>
    <row r="38" spans="1:9" x14ac:dyDescent="0.25">
      <c r="A38" t="s">
        <v>71</v>
      </c>
      <c r="B38" t="s">
        <v>100</v>
      </c>
      <c r="C38" t="s">
        <v>762</v>
      </c>
      <c r="D38" s="1">
        <v>45036</v>
      </c>
      <c r="E38" t="s">
        <v>768</v>
      </c>
      <c r="F38">
        <v>-73.489999999999995</v>
      </c>
      <c r="G38" t="s">
        <v>68</v>
      </c>
      <c r="H38" t="s">
        <v>69</v>
      </c>
      <c r="I38" t="s">
        <v>69</v>
      </c>
    </row>
    <row r="39" spans="1:9" x14ac:dyDescent="0.25">
      <c r="A39" t="s">
        <v>71</v>
      </c>
      <c r="B39" t="s">
        <v>100</v>
      </c>
      <c r="C39" t="s">
        <v>762</v>
      </c>
      <c r="D39" s="1">
        <v>45036</v>
      </c>
      <c r="E39" t="s">
        <v>766</v>
      </c>
      <c r="F39">
        <v>-4.16</v>
      </c>
      <c r="G39" t="s">
        <v>70</v>
      </c>
      <c r="H39" t="s">
        <v>71</v>
      </c>
      <c r="I39" t="s">
        <v>72</v>
      </c>
    </row>
    <row r="40" spans="1:9" x14ac:dyDescent="0.25">
      <c r="A40" t="s">
        <v>71</v>
      </c>
      <c r="B40" t="s">
        <v>100</v>
      </c>
      <c r="C40" t="s">
        <v>762</v>
      </c>
      <c r="D40" s="1">
        <v>45038</v>
      </c>
      <c r="E40" t="s">
        <v>766</v>
      </c>
      <c r="F40">
        <v>-9.09</v>
      </c>
      <c r="G40" t="s">
        <v>70</v>
      </c>
      <c r="H40" t="s">
        <v>71</v>
      </c>
      <c r="I40" t="s">
        <v>72</v>
      </c>
    </row>
    <row r="41" spans="1:9" x14ac:dyDescent="0.25">
      <c r="A41" t="s">
        <v>71</v>
      </c>
      <c r="B41" t="s">
        <v>100</v>
      </c>
      <c r="C41" t="s">
        <v>762</v>
      </c>
      <c r="D41" s="1">
        <v>45040</v>
      </c>
      <c r="E41" t="s">
        <v>766</v>
      </c>
      <c r="F41">
        <v>-16.21</v>
      </c>
      <c r="G41" t="s">
        <v>70</v>
      </c>
      <c r="H41" t="s">
        <v>71</v>
      </c>
      <c r="I41" t="s">
        <v>72</v>
      </c>
    </row>
    <row r="42" spans="1:9" x14ac:dyDescent="0.25">
      <c r="A42" t="s">
        <v>71</v>
      </c>
      <c r="B42" t="s">
        <v>100</v>
      </c>
      <c r="C42" t="s">
        <v>762</v>
      </c>
      <c r="D42" s="1">
        <v>45040</v>
      </c>
      <c r="E42" t="s">
        <v>23</v>
      </c>
      <c r="F42">
        <v>17.170000000000002</v>
      </c>
      <c r="G42" t="s">
        <v>70</v>
      </c>
      <c r="H42" t="s">
        <v>71</v>
      </c>
      <c r="I42" t="s">
        <v>72</v>
      </c>
    </row>
    <row r="43" spans="1:9" x14ac:dyDescent="0.25">
      <c r="A43" t="s">
        <v>71</v>
      </c>
      <c r="B43" t="s">
        <v>100</v>
      </c>
      <c r="C43" t="s">
        <v>762</v>
      </c>
      <c r="D43" s="1">
        <v>45040</v>
      </c>
      <c r="E43" t="s">
        <v>24</v>
      </c>
      <c r="F43">
        <v>20.03</v>
      </c>
      <c r="G43" t="s">
        <v>70</v>
      </c>
      <c r="H43" t="s">
        <v>71</v>
      </c>
      <c r="I43" t="s">
        <v>72</v>
      </c>
    </row>
    <row r="44" spans="1:9" x14ac:dyDescent="0.25">
      <c r="A44" t="s">
        <v>71</v>
      </c>
      <c r="B44" t="s">
        <v>100</v>
      </c>
      <c r="C44" t="s">
        <v>762</v>
      </c>
      <c r="D44" s="1">
        <v>45040</v>
      </c>
      <c r="E44" t="s">
        <v>25</v>
      </c>
      <c r="F44">
        <v>-2.69</v>
      </c>
      <c r="G44" t="s">
        <v>68</v>
      </c>
      <c r="H44" t="s">
        <v>69</v>
      </c>
      <c r="I44" t="s">
        <v>69</v>
      </c>
    </row>
    <row r="45" spans="1:9" x14ac:dyDescent="0.25">
      <c r="A45" t="s">
        <v>71</v>
      </c>
      <c r="B45" t="s">
        <v>100</v>
      </c>
      <c r="C45" t="s">
        <v>762</v>
      </c>
      <c r="D45" s="1">
        <v>45042</v>
      </c>
      <c r="E45" t="s">
        <v>781</v>
      </c>
      <c r="F45">
        <v>-0.62</v>
      </c>
      <c r="G45" t="s">
        <v>79</v>
      </c>
      <c r="H45" t="s">
        <v>80</v>
      </c>
      <c r="I45" t="s">
        <v>80</v>
      </c>
    </row>
    <row r="46" spans="1:9" x14ac:dyDescent="0.25">
      <c r="A46" t="s">
        <v>71</v>
      </c>
      <c r="B46" t="s">
        <v>100</v>
      </c>
      <c r="C46" t="s">
        <v>762</v>
      </c>
      <c r="D46" s="1">
        <v>45043</v>
      </c>
      <c r="E46" t="s">
        <v>10</v>
      </c>
      <c r="F46">
        <v>1184.25</v>
      </c>
      <c r="G46" t="s">
        <v>70</v>
      </c>
      <c r="H46" t="s">
        <v>71</v>
      </c>
      <c r="I46" t="s">
        <v>72</v>
      </c>
    </row>
    <row r="47" spans="1:9" x14ac:dyDescent="0.25">
      <c r="A47" t="s">
        <v>71</v>
      </c>
      <c r="B47" t="s">
        <v>100</v>
      </c>
      <c r="C47" t="s">
        <v>762</v>
      </c>
      <c r="D47" s="1">
        <v>45043</v>
      </c>
      <c r="E47" t="s">
        <v>766</v>
      </c>
      <c r="F47">
        <v>-554.52</v>
      </c>
      <c r="G47" t="s">
        <v>70</v>
      </c>
      <c r="H47" t="s">
        <v>71</v>
      </c>
      <c r="I47" t="s">
        <v>72</v>
      </c>
    </row>
    <row r="48" spans="1:9" x14ac:dyDescent="0.25">
      <c r="A48" t="s">
        <v>71</v>
      </c>
      <c r="B48" t="s">
        <v>100</v>
      </c>
      <c r="C48" t="s">
        <v>762</v>
      </c>
      <c r="D48" s="1">
        <v>45043</v>
      </c>
      <c r="E48" t="s">
        <v>26</v>
      </c>
      <c r="F48">
        <v>1533.46</v>
      </c>
      <c r="G48" t="s">
        <v>73</v>
      </c>
      <c r="H48" t="s">
        <v>74</v>
      </c>
      <c r="I48" t="s">
        <v>75</v>
      </c>
    </row>
    <row r="49" spans="1:9" x14ac:dyDescent="0.25">
      <c r="A49" t="s">
        <v>71</v>
      </c>
      <c r="B49" t="s">
        <v>100</v>
      </c>
      <c r="C49" t="s">
        <v>762</v>
      </c>
      <c r="D49" s="1">
        <v>45043</v>
      </c>
      <c r="E49" t="s">
        <v>772</v>
      </c>
      <c r="F49">
        <v>-410.32</v>
      </c>
      <c r="G49" t="s">
        <v>70</v>
      </c>
      <c r="H49" t="s">
        <v>71</v>
      </c>
      <c r="I49" t="s">
        <v>72</v>
      </c>
    </row>
    <row r="50" spans="1:9" x14ac:dyDescent="0.25">
      <c r="A50" t="s">
        <v>71</v>
      </c>
      <c r="B50" t="s">
        <v>100</v>
      </c>
      <c r="C50" t="s">
        <v>762</v>
      </c>
      <c r="D50" s="1">
        <v>45043</v>
      </c>
      <c r="E50" t="s">
        <v>766</v>
      </c>
      <c r="F50">
        <v>-97.07</v>
      </c>
      <c r="G50" t="s">
        <v>70</v>
      </c>
      <c r="H50" t="s">
        <v>71</v>
      </c>
      <c r="I50" t="s">
        <v>72</v>
      </c>
    </row>
    <row r="51" spans="1:9" x14ac:dyDescent="0.25">
      <c r="A51" t="s">
        <v>71</v>
      </c>
      <c r="B51" t="s">
        <v>100</v>
      </c>
      <c r="C51" t="s">
        <v>762</v>
      </c>
      <c r="D51" s="1">
        <v>45044</v>
      </c>
      <c r="E51" t="s">
        <v>766</v>
      </c>
      <c r="F51">
        <v>-5.31</v>
      </c>
      <c r="G51" t="s">
        <v>70</v>
      </c>
      <c r="H51" t="s">
        <v>71</v>
      </c>
      <c r="I51" t="s">
        <v>72</v>
      </c>
    </row>
    <row r="52" spans="1:9" x14ac:dyDescent="0.25">
      <c r="A52" t="s">
        <v>71</v>
      </c>
      <c r="B52" t="s">
        <v>100</v>
      </c>
      <c r="C52" t="s">
        <v>762</v>
      </c>
      <c r="D52" s="1">
        <v>45044</v>
      </c>
      <c r="E52" t="s">
        <v>766</v>
      </c>
      <c r="F52">
        <v>-13.53</v>
      </c>
      <c r="G52" t="s">
        <v>70</v>
      </c>
      <c r="H52" t="s">
        <v>71</v>
      </c>
      <c r="I52" t="s">
        <v>72</v>
      </c>
    </row>
    <row r="53" spans="1:9" x14ac:dyDescent="0.25">
      <c r="A53" t="s">
        <v>71</v>
      </c>
      <c r="B53" t="s">
        <v>100</v>
      </c>
      <c r="C53" t="s">
        <v>762</v>
      </c>
      <c r="D53" s="1">
        <v>45044</v>
      </c>
      <c r="E53" t="s">
        <v>769</v>
      </c>
      <c r="F53">
        <v>-134.4</v>
      </c>
      <c r="G53" t="s">
        <v>79</v>
      </c>
      <c r="H53" t="s">
        <v>81</v>
      </c>
      <c r="I53" t="s">
        <v>81</v>
      </c>
    </row>
    <row r="54" spans="1:9" x14ac:dyDescent="0.25">
      <c r="A54" t="s">
        <v>71</v>
      </c>
      <c r="B54" t="s">
        <v>100</v>
      </c>
      <c r="C54" t="s">
        <v>762</v>
      </c>
      <c r="D54" s="1">
        <v>45046</v>
      </c>
      <c r="E54" t="s">
        <v>766</v>
      </c>
      <c r="F54">
        <v>-18.739999999999998</v>
      </c>
      <c r="G54" t="s">
        <v>70</v>
      </c>
      <c r="H54" t="s">
        <v>71</v>
      </c>
      <c r="I54" t="s">
        <v>72</v>
      </c>
    </row>
    <row r="55" spans="1:9" x14ac:dyDescent="0.25">
      <c r="A55" t="s">
        <v>71</v>
      </c>
      <c r="B55" t="s">
        <v>100</v>
      </c>
      <c r="C55" t="s">
        <v>762</v>
      </c>
      <c r="D55" s="1">
        <v>45047</v>
      </c>
      <c r="E55" t="s">
        <v>766</v>
      </c>
      <c r="F55">
        <v>-1.54</v>
      </c>
      <c r="G55" t="s">
        <v>70</v>
      </c>
      <c r="H55" t="s">
        <v>71</v>
      </c>
      <c r="I55" t="s">
        <v>72</v>
      </c>
    </row>
    <row r="56" spans="1:9" x14ac:dyDescent="0.25">
      <c r="A56" t="s">
        <v>71</v>
      </c>
      <c r="B56" t="s">
        <v>100</v>
      </c>
      <c r="C56" t="s">
        <v>762</v>
      </c>
      <c r="D56" s="1">
        <v>45048</v>
      </c>
      <c r="E56" t="s">
        <v>766</v>
      </c>
      <c r="F56">
        <v>-48.27</v>
      </c>
      <c r="G56" t="s">
        <v>70</v>
      </c>
      <c r="H56" t="s">
        <v>71</v>
      </c>
      <c r="I56" t="s">
        <v>72</v>
      </c>
    </row>
    <row r="57" spans="1:9" x14ac:dyDescent="0.25">
      <c r="A57" t="s">
        <v>71</v>
      </c>
      <c r="B57" t="s">
        <v>100</v>
      </c>
      <c r="C57" t="s">
        <v>762</v>
      </c>
      <c r="D57" s="1">
        <v>45049</v>
      </c>
      <c r="E57" t="s">
        <v>10</v>
      </c>
      <c r="F57">
        <v>260.45</v>
      </c>
      <c r="G57" t="s">
        <v>70</v>
      </c>
      <c r="H57" t="s">
        <v>71</v>
      </c>
      <c r="I57" t="s">
        <v>72</v>
      </c>
    </row>
    <row r="58" spans="1:9" x14ac:dyDescent="0.25">
      <c r="A58" t="s">
        <v>71</v>
      </c>
      <c r="B58" t="s">
        <v>100</v>
      </c>
      <c r="C58" t="s">
        <v>762</v>
      </c>
      <c r="D58" s="1">
        <v>45050</v>
      </c>
      <c r="E58" t="s">
        <v>766</v>
      </c>
      <c r="F58">
        <v>-102.36</v>
      </c>
      <c r="G58" t="s">
        <v>70</v>
      </c>
      <c r="H58" t="s">
        <v>71</v>
      </c>
      <c r="I58" t="s">
        <v>72</v>
      </c>
    </row>
    <row r="59" spans="1:9" x14ac:dyDescent="0.25">
      <c r="A59" t="s">
        <v>71</v>
      </c>
      <c r="B59" t="s">
        <v>100</v>
      </c>
      <c r="C59" t="s">
        <v>762</v>
      </c>
      <c r="D59" s="1">
        <v>45050</v>
      </c>
      <c r="E59" t="s">
        <v>8</v>
      </c>
      <c r="F59">
        <v>47.35</v>
      </c>
      <c r="G59" t="s">
        <v>70</v>
      </c>
      <c r="H59" t="s">
        <v>71</v>
      </c>
      <c r="I59" t="s">
        <v>72</v>
      </c>
    </row>
    <row r="60" spans="1:9" x14ac:dyDescent="0.25">
      <c r="A60" t="s">
        <v>71</v>
      </c>
      <c r="B60" t="s">
        <v>100</v>
      </c>
      <c r="C60" t="s">
        <v>762</v>
      </c>
      <c r="D60" s="1">
        <v>45050</v>
      </c>
      <c r="E60" t="s">
        <v>9</v>
      </c>
      <c r="F60">
        <v>15.09</v>
      </c>
      <c r="G60" t="s">
        <v>70</v>
      </c>
      <c r="H60" t="s">
        <v>71</v>
      </c>
      <c r="I60" t="s">
        <v>72</v>
      </c>
    </row>
    <row r="61" spans="1:9" x14ac:dyDescent="0.25">
      <c r="A61" t="s">
        <v>71</v>
      </c>
      <c r="B61" t="s">
        <v>100</v>
      </c>
      <c r="C61" t="s">
        <v>762</v>
      </c>
      <c r="D61" s="1">
        <v>45050</v>
      </c>
      <c r="E61" t="s">
        <v>766</v>
      </c>
      <c r="F61">
        <v>-23.73</v>
      </c>
      <c r="G61" t="s">
        <v>70</v>
      </c>
      <c r="H61" t="s">
        <v>71</v>
      </c>
      <c r="I61" t="s">
        <v>72</v>
      </c>
    </row>
    <row r="62" spans="1:9" x14ac:dyDescent="0.25">
      <c r="A62" t="s">
        <v>71</v>
      </c>
      <c r="B62" t="s">
        <v>100</v>
      </c>
      <c r="C62" t="s">
        <v>762</v>
      </c>
      <c r="D62" s="1">
        <v>45050</v>
      </c>
      <c r="E62" t="s">
        <v>772</v>
      </c>
      <c r="F62">
        <v>-528.67999999999995</v>
      </c>
      <c r="G62" t="s">
        <v>70</v>
      </c>
      <c r="H62" t="s">
        <v>71</v>
      </c>
      <c r="I62" t="s">
        <v>72</v>
      </c>
    </row>
    <row r="63" spans="1:9" x14ac:dyDescent="0.25">
      <c r="A63" t="s">
        <v>71</v>
      </c>
      <c r="B63" t="s">
        <v>100</v>
      </c>
      <c r="C63" t="s">
        <v>762</v>
      </c>
      <c r="D63" s="1">
        <v>45050</v>
      </c>
      <c r="E63" t="s">
        <v>766</v>
      </c>
      <c r="F63">
        <v>-67.45</v>
      </c>
      <c r="G63" t="s">
        <v>70</v>
      </c>
      <c r="H63" t="s">
        <v>71</v>
      </c>
      <c r="I63" t="s">
        <v>72</v>
      </c>
    </row>
    <row r="64" spans="1:9" x14ac:dyDescent="0.25">
      <c r="A64" t="s">
        <v>71</v>
      </c>
      <c r="B64" t="s">
        <v>100</v>
      </c>
      <c r="C64" t="s">
        <v>762</v>
      </c>
      <c r="D64" s="1">
        <v>45051</v>
      </c>
      <c r="E64" t="s">
        <v>766</v>
      </c>
      <c r="F64">
        <v>-43.75</v>
      </c>
      <c r="G64" t="s">
        <v>70</v>
      </c>
      <c r="H64" t="s">
        <v>71</v>
      </c>
      <c r="I64" t="s">
        <v>72</v>
      </c>
    </row>
    <row r="65" spans="1:9" x14ac:dyDescent="0.25">
      <c r="A65" t="s">
        <v>71</v>
      </c>
      <c r="B65" t="s">
        <v>100</v>
      </c>
      <c r="C65" t="s">
        <v>762</v>
      </c>
      <c r="D65" s="1">
        <v>45052</v>
      </c>
      <c r="E65" t="s">
        <v>766</v>
      </c>
      <c r="F65">
        <v>-39.450000000000003</v>
      </c>
      <c r="G65" t="s">
        <v>70</v>
      </c>
      <c r="H65" t="s">
        <v>71</v>
      </c>
      <c r="I65" t="s">
        <v>72</v>
      </c>
    </row>
    <row r="66" spans="1:9" x14ac:dyDescent="0.25">
      <c r="A66" t="s">
        <v>71</v>
      </c>
      <c r="B66" t="s">
        <v>100</v>
      </c>
      <c r="C66" t="s">
        <v>762</v>
      </c>
      <c r="D66" s="1">
        <v>45054</v>
      </c>
      <c r="E66" t="s">
        <v>766</v>
      </c>
      <c r="F66">
        <v>-4.25</v>
      </c>
      <c r="G66" t="s">
        <v>70</v>
      </c>
      <c r="H66" t="s">
        <v>71</v>
      </c>
      <c r="I66" t="s">
        <v>72</v>
      </c>
    </row>
    <row r="67" spans="1:9" x14ac:dyDescent="0.25">
      <c r="A67" t="s">
        <v>71</v>
      </c>
      <c r="B67" t="s">
        <v>100</v>
      </c>
      <c r="C67" t="s">
        <v>762</v>
      </c>
      <c r="D67" s="1">
        <v>45054</v>
      </c>
      <c r="E67" t="s">
        <v>11</v>
      </c>
      <c r="F67">
        <v>107.14</v>
      </c>
      <c r="G67" t="s">
        <v>70</v>
      </c>
      <c r="H67" t="s">
        <v>71</v>
      </c>
      <c r="I67" t="s">
        <v>72</v>
      </c>
    </row>
    <row r="68" spans="1:9" x14ac:dyDescent="0.25">
      <c r="A68" t="s">
        <v>71</v>
      </c>
      <c r="B68" t="s">
        <v>100</v>
      </c>
      <c r="C68" t="s">
        <v>762</v>
      </c>
      <c r="D68" s="1">
        <v>45054</v>
      </c>
      <c r="E68" t="s">
        <v>12</v>
      </c>
      <c r="F68">
        <v>1.0900000000000001</v>
      </c>
      <c r="G68" t="s">
        <v>70</v>
      </c>
      <c r="H68" t="s">
        <v>71</v>
      </c>
      <c r="I68" t="s">
        <v>72</v>
      </c>
    </row>
    <row r="69" spans="1:9" x14ac:dyDescent="0.25">
      <c r="A69" t="s">
        <v>71</v>
      </c>
      <c r="B69" t="s">
        <v>100</v>
      </c>
      <c r="C69" t="s">
        <v>762</v>
      </c>
      <c r="D69" s="1">
        <v>45054</v>
      </c>
      <c r="E69" t="s">
        <v>768</v>
      </c>
      <c r="F69">
        <v>-171.26</v>
      </c>
      <c r="G69" t="s">
        <v>68</v>
      </c>
      <c r="H69" t="s">
        <v>69</v>
      </c>
      <c r="I69" t="s">
        <v>69</v>
      </c>
    </row>
    <row r="70" spans="1:9" x14ac:dyDescent="0.25">
      <c r="A70" t="s">
        <v>71</v>
      </c>
      <c r="B70" t="s">
        <v>100</v>
      </c>
      <c r="C70" t="s">
        <v>762</v>
      </c>
      <c r="D70" s="1">
        <v>45055</v>
      </c>
      <c r="E70" t="s">
        <v>766</v>
      </c>
      <c r="F70">
        <v>-29.77</v>
      </c>
      <c r="G70" t="s">
        <v>70</v>
      </c>
      <c r="H70" t="s">
        <v>71</v>
      </c>
      <c r="I70" t="s">
        <v>72</v>
      </c>
    </row>
    <row r="71" spans="1:9" x14ac:dyDescent="0.25">
      <c r="A71" t="s">
        <v>71</v>
      </c>
      <c r="B71" t="s">
        <v>100</v>
      </c>
      <c r="C71" t="s">
        <v>762</v>
      </c>
      <c r="D71" s="1">
        <v>45055</v>
      </c>
      <c r="E71" t="s">
        <v>766</v>
      </c>
      <c r="F71">
        <v>-49.21</v>
      </c>
      <c r="G71" t="s">
        <v>70</v>
      </c>
      <c r="H71" t="s">
        <v>71</v>
      </c>
      <c r="I71" t="s">
        <v>72</v>
      </c>
    </row>
    <row r="72" spans="1:9" x14ac:dyDescent="0.25">
      <c r="A72" t="s">
        <v>71</v>
      </c>
      <c r="B72" t="s">
        <v>100</v>
      </c>
      <c r="C72" t="s">
        <v>762</v>
      </c>
      <c r="D72" s="1">
        <v>45056</v>
      </c>
      <c r="E72" t="s">
        <v>27</v>
      </c>
      <c r="F72">
        <v>1835.86</v>
      </c>
      <c r="G72" t="s">
        <v>73</v>
      </c>
      <c r="H72" t="s">
        <v>74</v>
      </c>
      <c r="I72" t="s">
        <v>75</v>
      </c>
    </row>
    <row r="73" spans="1:9" x14ac:dyDescent="0.25">
      <c r="A73" t="s">
        <v>71</v>
      </c>
      <c r="B73" t="s">
        <v>100</v>
      </c>
      <c r="C73" t="s">
        <v>762</v>
      </c>
      <c r="D73" s="1">
        <v>45056</v>
      </c>
      <c r="E73" t="s">
        <v>772</v>
      </c>
      <c r="F73">
        <v>-851.51</v>
      </c>
      <c r="G73" t="s">
        <v>70</v>
      </c>
      <c r="H73" t="s">
        <v>71</v>
      </c>
      <c r="I73" t="s">
        <v>72</v>
      </c>
    </row>
    <row r="74" spans="1:9" x14ac:dyDescent="0.25">
      <c r="A74" t="s">
        <v>71</v>
      </c>
      <c r="B74" t="s">
        <v>100</v>
      </c>
      <c r="C74" t="s">
        <v>762</v>
      </c>
      <c r="D74" s="1">
        <v>45056</v>
      </c>
      <c r="E74" t="s">
        <v>768</v>
      </c>
      <c r="F74">
        <v>-373.56</v>
      </c>
      <c r="G74" t="s">
        <v>68</v>
      </c>
      <c r="H74" t="s">
        <v>69</v>
      </c>
      <c r="I74" t="s">
        <v>69</v>
      </c>
    </row>
    <row r="75" spans="1:9" x14ac:dyDescent="0.25">
      <c r="A75" t="s">
        <v>71</v>
      </c>
      <c r="B75" t="s">
        <v>100</v>
      </c>
      <c r="C75" t="s">
        <v>762</v>
      </c>
      <c r="D75" s="1">
        <v>45057</v>
      </c>
      <c r="E75" t="s">
        <v>15</v>
      </c>
      <c r="F75">
        <v>143.87</v>
      </c>
      <c r="G75" t="s">
        <v>70</v>
      </c>
      <c r="H75" t="s">
        <v>71</v>
      </c>
      <c r="I75" t="s">
        <v>72</v>
      </c>
    </row>
    <row r="76" spans="1:9" x14ac:dyDescent="0.25">
      <c r="A76" t="s">
        <v>71</v>
      </c>
      <c r="B76" t="s">
        <v>100</v>
      </c>
      <c r="C76" t="s">
        <v>762</v>
      </c>
      <c r="D76" s="1">
        <v>45058</v>
      </c>
      <c r="E76" t="s">
        <v>766</v>
      </c>
      <c r="F76">
        <v>-46.52</v>
      </c>
      <c r="G76" t="s">
        <v>70</v>
      </c>
      <c r="H76" t="s">
        <v>71</v>
      </c>
      <c r="I76" t="s">
        <v>72</v>
      </c>
    </row>
    <row r="77" spans="1:9" x14ac:dyDescent="0.25">
      <c r="A77" t="s">
        <v>71</v>
      </c>
      <c r="B77" t="s">
        <v>100</v>
      </c>
      <c r="C77" t="s">
        <v>762</v>
      </c>
      <c r="D77" s="1">
        <v>45058</v>
      </c>
      <c r="E77" t="s">
        <v>16</v>
      </c>
      <c r="F77">
        <v>5.05</v>
      </c>
      <c r="G77" t="s">
        <v>70</v>
      </c>
      <c r="H77" t="s">
        <v>71</v>
      </c>
      <c r="I77" t="s">
        <v>72</v>
      </c>
    </row>
    <row r="78" spans="1:9" x14ac:dyDescent="0.25">
      <c r="A78" t="s">
        <v>71</v>
      </c>
      <c r="B78" t="s">
        <v>100</v>
      </c>
      <c r="C78" t="s">
        <v>762</v>
      </c>
      <c r="D78" s="1">
        <v>45058</v>
      </c>
      <c r="E78" t="s">
        <v>766</v>
      </c>
      <c r="F78">
        <v>-4.3600000000000003</v>
      </c>
      <c r="G78" t="s">
        <v>70</v>
      </c>
      <c r="H78" t="s">
        <v>71</v>
      </c>
      <c r="I78" t="s">
        <v>72</v>
      </c>
    </row>
    <row r="79" spans="1:9" x14ac:dyDescent="0.25">
      <c r="A79" t="s">
        <v>71</v>
      </c>
      <c r="B79" t="s">
        <v>100</v>
      </c>
      <c r="C79" t="s">
        <v>762</v>
      </c>
      <c r="D79" s="1">
        <v>45061</v>
      </c>
      <c r="E79" t="s">
        <v>14</v>
      </c>
      <c r="F79">
        <v>51.34</v>
      </c>
      <c r="G79" t="s">
        <v>70</v>
      </c>
      <c r="H79" t="s">
        <v>71</v>
      </c>
      <c r="I79" t="s">
        <v>72</v>
      </c>
    </row>
    <row r="80" spans="1:9" x14ac:dyDescent="0.25">
      <c r="A80" t="s">
        <v>71</v>
      </c>
      <c r="B80" t="s">
        <v>100</v>
      </c>
      <c r="C80" t="s">
        <v>762</v>
      </c>
      <c r="D80" s="1">
        <v>45061</v>
      </c>
      <c r="F80">
        <v>176.64</v>
      </c>
      <c r="G80" t="s">
        <v>70</v>
      </c>
      <c r="H80" t="s">
        <v>71</v>
      </c>
      <c r="I80" t="s">
        <v>72</v>
      </c>
    </row>
    <row r="81" spans="1:9" x14ac:dyDescent="0.25">
      <c r="A81" t="s">
        <v>71</v>
      </c>
      <c r="B81" t="s">
        <v>100</v>
      </c>
      <c r="C81" t="s">
        <v>762</v>
      </c>
      <c r="D81" s="1">
        <v>45061</v>
      </c>
      <c r="E81" t="s">
        <v>766</v>
      </c>
      <c r="F81">
        <v>-124.56</v>
      </c>
      <c r="G81" t="s">
        <v>70</v>
      </c>
      <c r="H81" t="s">
        <v>71</v>
      </c>
      <c r="I81" t="s">
        <v>72</v>
      </c>
    </row>
    <row r="82" spans="1:9" x14ac:dyDescent="0.25">
      <c r="A82" t="s">
        <v>71</v>
      </c>
      <c r="B82" t="s">
        <v>100</v>
      </c>
      <c r="C82" t="s">
        <v>762</v>
      </c>
      <c r="D82" s="1">
        <v>45063</v>
      </c>
      <c r="E82" t="s">
        <v>766</v>
      </c>
      <c r="F82">
        <v>-76.900000000000006</v>
      </c>
      <c r="G82" t="s">
        <v>70</v>
      </c>
      <c r="H82" t="s">
        <v>71</v>
      </c>
      <c r="I82" t="s">
        <v>72</v>
      </c>
    </row>
    <row r="83" spans="1:9" x14ac:dyDescent="0.25">
      <c r="A83" t="s">
        <v>71</v>
      </c>
      <c r="B83" t="s">
        <v>100</v>
      </c>
      <c r="C83" t="s">
        <v>762</v>
      </c>
      <c r="D83" s="1">
        <v>45064</v>
      </c>
      <c r="E83" t="s">
        <v>18</v>
      </c>
      <c r="F83">
        <v>79.66</v>
      </c>
      <c r="G83" t="s">
        <v>70</v>
      </c>
      <c r="H83" t="s">
        <v>71</v>
      </c>
      <c r="I83" t="s">
        <v>72</v>
      </c>
    </row>
    <row r="84" spans="1:9" x14ac:dyDescent="0.25">
      <c r="A84" t="s">
        <v>71</v>
      </c>
      <c r="B84" t="s">
        <v>100</v>
      </c>
      <c r="C84" t="s">
        <v>762</v>
      </c>
      <c r="D84" s="1">
        <v>45064</v>
      </c>
      <c r="E84" t="s">
        <v>19</v>
      </c>
      <c r="F84">
        <v>42.77</v>
      </c>
      <c r="G84" t="s">
        <v>70</v>
      </c>
      <c r="H84" t="s">
        <v>71</v>
      </c>
      <c r="I84" t="s">
        <v>72</v>
      </c>
    </row>
    <row r="85" spans="1:9" x14ac:dyDescent="0.25">
      <c r="A85" t="s">
        <v>71</v>
      </c>
      <c r="B85" t="s">
        <v>100</v>
      </c>
      <c r="C85" t="s">
        <v>762</v>
      </c>
      <c r="D85" s="1">
        <v>45064</v>
      </c>
      <c r="E85" t="s">
        <v>20</v>
      </c>
      <c r="F85">
        <v>94.4</v>
      </c>
      <c r="G85" t="s">
        <v>70</v>
      </c>
      <c r="H85" t="s">
        <v>71</v>
      </c>
      <c r="I85" t="s">
        <v>72</v>
      </c>
    </row>
    <row r="86" spans="1:9" x14ac:dyDescent="0.25">
      <c r="A86" t="s">
        <v>71</v>
      </c>
      <c r="B86" t="s">
        <v>100</v>
      </c>
      <c r="C86" t="s">
        <v>762</v>
      </c>
      <c r="D86" s="1">
        <v>45065</v>
      </c>
      <c r="E86" t="s">
        <v>766</v>
      </c>
      <c r="F86">
        <v>-13.4</v>
      </c>
      <c r="G86" t="s">
        <v>70</v>
      </c>
      <c r="H86" t="s">
        <v>71</v>
      </c>
      <c r="I86" t="s">
        <v>72</v>
      </c>
    </row>
    <row r="87" spans="1:9" x14ac:dyDescent="0.25">
      <c r="A87" t="s">
        <v>71</v>
      </c>
      <c r="B87" t="s">
        <v>100</v>
      </c>
      <c r="C87" t="s">
        <v>762</v>
      </c>
      <c r="D87" s="1">
        <v>45065</v>
      </c>
      <c r="E87" t="s">
        <v>770</v>
      </c>
      <c r="F87">
        <v>-104.84</v>
      </c>
      <c r="G87" t="s">
        <v>79</v>
      </c>
      <c r="H87" t="s">
        <v>81</v>
      </c>
      <c r="I87" t="s">
        <v>81</v>
      </c>
    </row>
    <row r="88" spans="1:9" x14ac:dyDescent="0.25">
      <c r="A88" t="s">
        <v>71</v>
      </c>
      <c r="B88" t="s">
        <v>100</v>
      </c>
      <c r="C88" t="s">
        <v>762</v>
      </c>
      <c r="D88" s="1">
        <v>45065</v>
      </c>
      <c r="F88">
        <v>122.06</v>
      </c>
      <c r="G88" t="s">
        <v>70</v>
      </c>
      <c r="H88" t="s">
        <v>71</v>
      </c>
      <c r="I88" t="s">
        <v>72</v>
      </c>
    </row>
    <row r="89" spans="1:9" x14ac:dyDescent="0.25">
      <c r="A89" t="s">
        <v>71</v>
      </c>
      <c r="B89" t="s">
        <v>100</v>
      </c>
      <c r="C89" t="s">
        <v>762</v>
      </c>
      <c r="D89" s="1">
        <v>45066</v>
      </c>
      <c r="E89" t="s">
        <v>766</v>
      </c>
      <c r="F89">
        <v>-1.99</v>
      </c>
      <c r="G89" t="s">
        <v>70</v>
      </c>
      <c r="H89" t="s">
        <v>71</v>
      </c>
      <c r="I89" t="s">
        <v>72</v>
      </c>
    </row>
    <row r="90" spans="1:9" x14ac:dyDescent="0.25">
      <c r="A90" t="s">
        <v>71</v>
      </c>
      <c r="B90" t="s">
        <v>100</v>
      </c>
      <c r="C90" t="s">
        <v>762</v>
      </c>
      <c r="D90" s="1">
        <v>45066</v>
      </c>
      <c r="E90" t="s">
        <v>768</v>
      </c>
      <c r="F90">
        <v>-14.66</v>
      </c>
      <c r="G90" t="s">
        <v>68</v>
      </c>
      <c r="H90" t="s">
        <v>69</v>
      </c>
      <c r="I90" t="s">
        <v>69</v>
      </c>
    </row>
    <row r="91" spans="1:9" x14ac:dyDescent="0.25">
      <c r="A91" t="s">
        <v>71</v>
      </c>
      <c r="B91" t="s">
        <v>100</v>
      </c>
      <c r="C91" t="s">
        <v>762</v>
      </c>
      <c r="D91" s="1">
        <v>45067</v>
      </c>
      <c r="E91" t="s">
        <v>766</v>
      </c>
      <c r="F91">
        <v>-75.08</v>
      </c>
      <c r="G91" t="s">
        <v>70</v>
      </c>
      <c r="H91" t="s">
        <v>71</v>
      </c>
      <c r="I91" t="s">
        <v>72</v>
      </c>
    </row>
    <row r="92" spans="1:9" x14ac:dyDescent="0.25">
      <c r="A92" t="s">
        <v>71</v>
      </c>
      <c r="B92" t="s">
        <v>100</v>
      </c>
      <c r="C92" t="s">
        <v>762</v>
      </c>
      <c r="D92" s="1">
        <v>45068</v>
      </c>
      <c r="E92" t="s">
        <v>21</v>
      </c>
      <c r="F92">
        <v>56.28</v>
      </c>
      <c r="G92" t="s">
        <v>70</v>
      </c>
      <c r="H92" t="s">
        <v>71</v>
      </c>
      <c r="I92" t="s">
        <v>72</v>
      </c>
    </row>
    <row r="93" spans="1:9" x14ac:dyDescent="0.25">
      <c r="A93" t="s">
        <v>71</v>
      </c>
      <c r="B93" t="s">
        <v>100</v>
      </c>
      <c r="C93" t="s">
        <v>762</v>
      </c>
      <c r="D93" s="1">
        <v>45068</v>
      </c>
      <c r="E93" t="s">
        <v>24</v>
      </c>
      <c r="F93">
        <v>22.41</v>
      </c>
      <c r="G93" t="s">
        <v>70</v>
      </c>
      <c r="H93" t="s">
        <v>71</v>
      </c>
      <c r="I93" t="s">
        <v>72</v>
      </c>
    </row>
    <row r="94" spans="1:9" x14ac:dyDescent="0.25">
      <c r="A94" t="s">
        <v>71</v>
      </c>
      <c r="B94" t="s">
        <v>100</v>
      </c>
      <c r="C94" t="s">
        <v>762</v>
      </c>
      <c r="D94" s="1">
        <v>45068</v>
      </c>
      <c r="E94" t="s">
        <v>766</v>
      </c>
      <c r="F94">
        <v>-209.1</v>
      </c>
      <c r="G94" t="s">
        <v>70</v>
      </c>
      <c r="H94" t="s">
        <v>71</v>
      </c>
      <c r="I94" t="s">
        <v>72</v>
      </c>
    </row>
    <row r="95" spans="1:9" x14ac:dyDescent="0.25">
      <c r="A95" t="s">
        <v>71</v>
      </c>
      <c r="B95" t="s">
        <v>100</v>
      </c>
      <c r="C95" t="s">
        <v>762</v>
      </c>
      <c r="D95" s="1">
        <v>45069</v>
      </c>
      <c r="E95" t="s">
        <v>781</v>
      </c>
      <c r="F95">
        <v>-58.46</v>
      </c>
      <c r="G95" t="s">
        <v>79</v>
      </c>
      <c r="H95" t="s">
        <v>80</v>
      </c>
      <c r="I95" t="s">
        <v>80</v>
      </c>
    </row>
    <row r="96" spans="1:9" x14ac:dyDescent="0.25">
      <c r="A96" t="s">
        <v>71</v>
      </c>
      <c r="B96" t="s">
        <v>100</v>
      </c>
      <c r="C96" t="s">
        <v>762</v>
      </c>
      <c r="D96" s="1">
        <v>45069</v>
      </c>
      <c r="E96" t="s">
        <v>10</v>
      </c>
      <c r="F96">
        <v>24.9</v>
      </c>
      <c r="G96" t="s">
        <v>70</v>
      </c>
      <c r="H96" t="s">
        <v>71</v>
      </c>
      <c r="I96" t="s">
        <v>72</v>
      </c>
    </row>
    <row r="97" spans="1:9" x14ac:dyDescent="0.25">
      <c r="A97" t="s">
        <v>71</v>
      </c>
      <c r="B97" t="s">
        <v>100</v>
      </c>
      <c r="C97" t="s">
        <v>762</v>
      </c>
      <c r="D97" s="1">
        <v>45069</v>
      </c>
      <c r="F97">
        <v>5.33</v>
      </c>
      <c r="G97" t="s">
        <v>70</v>
      </c>
      <c r="H97" t="s">
        <v>71</v>
      </c>
      <c r="I97" t="s">
        <v>72</v>
      </c>
    </row>
    <row r="98" spans="1:9" x14ac:dyDescent="0.25">
      <c r="A98" t="s">
        <v>71</v>
      </c>
      <c r="B98" t="s">
        <v>100</v>
      </c>
      <c r="C98" t="s">
        <v>762</v>
      </c>
      <c r="D98" s="1">
        <v>45070</v>
      </c>
      <c r="E98" t="s">
        <v>23</v>
      </c>
      <c r="F98">
        <v>8.1300000000000008</v>
      </c>
      <c r="G98" t="s">
        <v>70</v>
      </c>
      <c r="H98" t="s">
        <v>71</v>
      </c>
      <c r="I98" t="s">
        <v>72</v>
      </c>
    </row>
    <row r="99" spans="1:9" x14ac:dyDescent="0.25">
      <c r="A99" t="s">
        <v>71</v>
      </c>
      <c r="B99" t="s">
        <v>100</v>
      </c>
      <c r="C99" t="s">
        <v>762</v>
      </c>
      <c r="D99" s="1">
        <v>45070</v>
      </c>
      <c r="E99" t="s">
        <v>28</v>
      </c>
      <c r="F99">
        <v>1143.6500000000001</v>
      </c>
      <c r="G99" t="s">
        <v>73</v>
      </c>
      <c r="H99" t="s">
        <v>74</v>
      </c>
      <c r="I99" t="s">
        <v>75</v>
      </c>
    </row>
    <row r="100" spans="1:9" x14ac:dyDescent="0.25">
      <c r="A100" t="s">
        <v>71</v>
      </c>
      <c r="B100" t="s">
        <v>100</v>
      </c>
      <c r="C100" t="s">
        <v>762</v>
      </c>
      <c r="D100" s="1">
        <v>45070</v>
      </c>
      <c r="E100" t="s">
        <v>766</v>
      </c>
      <c r="F100">
        <v>-201.97</v>
      </c>
      <c r="G100" t="s">
        <v>70</v>
      </c>
      <c r="H100" t="s">
        <v>71</v>
      </c>
      <c r="I100" t="s">
        <v>72</v>
      </c>
    </row>
    <row r="101" spans="1:9" x14ac:dyDescent="0.25">
      <c r="A101" t="s">
        <v>71</v>
      </c>
      <c r="B101" t="s">
        <v>100</v>
      </c>
      <c r="C101" t="s">
        <v>762</v>
      </c>
      <c r="D101" s="1">
        <v>45070</v>
      </c>
      <c r="E101" t="s">
        <v>772</v>
      </c>
      <c r="F101">
        <v>-1406.75</v>
      </c>
      <c r="G101" t="s">
        <v>70</v>
      </c>
      <c r="H101" t="s">
        <v>71</v>
      </c>
      <c r="I101" t="s">
        <v>72</v>
      </c>
    </row>
    <row r="102" spans="1:9" x14ac:dyDescent="0.25">
      <c r="A102" t="s">
        <v>71</v>
      </c>
      <c r="B102" t="s">
        <v>100</v>
      </c>
      <c r="C102" t="s">
        <v>762</v>
      </c>
      <c r="D102" s="1">
        <v>45072</v>
      </c>
      <c r="E102" t="s">
        <v>766</v>
      </c>
      <c r="F102">
        <v>-2.96</v>
      </c>
      <c r="G102" t="s">
        <v>70</v>
      </c>
      <c r="H102" t="s">
        <v>71</v>
      </c>
      <c r="I102" t="s">
        <v>72</v>
      </c>
    </row>
    <row r="103" spans="1:9" x14ac:dyDescent="0.25">
      <c r="A103" t="s">
        <v>71</v>
      </c>
      <c r="B103" t="s">
        <v>100</v>
      </c>
      <c r="C103" t="s">
        <v>762</v>
      </c>
      <c r="D103" s="1">
        <v>45073</v>
      </c>
      <c r="E103" t="s">
        <v>29</v>
      </c>
      <c r="F103">
        <v>874.8</v>
      </c>
      <c r="G103" t="s">
        <v>70</v>
      </c>
      <c r="H103" t="s">
        <v>71</v>
      </c>
      <c r="I103" t="s">
        <v>72</v>
      </c>
    </row>
    <row r="104" spans="1:9" x14ac:dyDescent="0.25">
      <c r="A104" t="s">
        <v>71</v>
      </c>
      <c r="B104" t="s">
        <v>100</v>
      </c>
      <c r="C104" t="s">
        <v>762</v>
      </c>
      <c r="D104" s="1">
        <v>45073</v>
      </c>
      <c r="E104" t="s">
        <v>30</v>
      </c>
      <c r="F104">
        <v>777.74</v>
      </c>
      <c r="G104" t="s">
        <v>70</v>
      </c>
      <c r="H104" t="s">
        <v>71</v>
      </c>
      <c r="I104" t="s">
        <v>72</v>
      </c>
    </row>
    <row r="105" spans="1:9" x14ac:dyDescent="0.25">
      <c r="A105" t="s">
        <v>71</v>
      </c>
      <c r="B105" t="s">
        <v>100</v>
      </c>
      <c r="C105" t="s">
        <v>762</v>
      </c>
      <c r="D105" s="1">
        <v>45073</v>
      </c>
      <c r="E105" t="s">
        <v>31</v>
      </c>
      <c r="F105">
        <v>932.66</v>
      </c>
      <c r="G105" t="s">
        <v>70</v>
      </c>
      <c r="H105" t="s">
        <v>71</v>
      </c>
      <c r="I105" t="s">
        <v>72</v>
      </c>
    </row>
    <row r="106" spans="1:9" x14ac:dyDescent="0.25">
      <c r="A106" t="s">
        <v>71</v>
      </c>
      <c r="B106" t="s">
        <v>100</v>
      </c>
      <c r="C106" t="s">
        <v>762</v>
      </c>
      <c r="D106" s="1">
        <v>45073</v>
      </c>
      <c r="E106" t="s">
        <v>773</v>
      </c>
      <c r="F106">
        <v>-213.68</v>
      </c>
      <c r="G106" t="s">
        <v>70</v>
      </c>
      <c r="H106" t="s">
        <v>71</v>
      </c>
      <c r="I106" t="s">
        <v>72</v>
      </c>
    </row>
    <row r="107" spans="1:9" x14ac:dyDescent="0.25">
      <c r="A107" t="s">
        <v>71</v>
      </c>
      <c r="B107" t="s">
        <v>100</v>
      </c>
      <c r="C107" t="s">
        <v>762</v>
      </c>
      <c r="D107" s="1">
        <v>45077</v>
      </c>
      <c r="E107" t="s">
        <v>10</v>
      </c>
      <c r="F107">
        <v>525.6</v>
      </c>
      <c r="G107" t="s">
        <v>70</v>
      </c>
      <c r="H107" t="s">
        <v>71</v>
      </c>
      <c r="I107" t="s">
        <v>72</v>
      </c>
    </row>
    <row r="108" spans="1:9" x14ac:dyDescent="0.25">
      <c r="A108" t="s">
        <v>71</v>
      </c>
      <c r="B108" t="s">
        <v>100</v>
      </c>
      <c r="C108" t="s">
        <v>762</v>
      </c>
      <c r="D108" s="1">
        <v>45077</v>
      </c>
      <c r="E108" t="s">
        <v>768</v>
      </c>
      <c r="F108">
        <v>-32.97</v>
      </c>
      <c r="G108" t="s">
        <v>68</v>
      </c>
      <c r="H108" t="s">
        <v>69</v>
      </c>
      <c r="I108" t="s">
        <v>69</v>
      </c>
    </row>
    <row r="109" spans="1:9" x14ac:dyDescent="0.25">
      <c r="A109" t="s">
        <v>71</v>
      </c>
      <c r="B109" t="s">
        <v>100</v>
      </c>
      <c r="C109" t="s">
        <v>762</v>
      </c>
      <c r="D109" s="1">
        <v>45078</v>
      </c>
      <c r="E109" t="s">
        <v>766</v>
      </c>
      <c r="F109">
        <v>-57.19</v>
      </c>
      <c r="G109" t="s">
        <v>70</v>
      </c>
      <c r="H109" t="s">
        <v>71</v>
      </c>
      <c r="I109" t="s">
        <v>72</v>
      </c>
    </row>
    <row r="110" spans="1:9" x14ac:dyDescent="0.25">
      <c r="A110" t="s">
        <v>71</v>
      </c>
      <c r="B110" t="s">
        <v>100</v>
      </c>
      <c r="C110" t="s">
        <v>762</v>
      </c>
      <c r="D110" s="1">
        <v>45081</v>
      </c>
      <c r="E110" t="s">
        <v>8</v>
      </c>
      <c r="F110">
        <v>6.34</v>
      </c>
      <c r="G110" t="s">
        <v>70</v>
      </c>
      <c r="H110" t="s">
        <v>71</v>
      </c>
      <c r="I110" t="s">
        <v>72</v>
      </c>
    </row>
    <row r="111" spans="1:9" x14ac:dyDescent="0.25">
      <c r="A111" t="s">
        <v>71</v>
      </c>
      <c r="B111" t="s">
        <v>100</v>
      </c>
      <c r="C111" t="s">
        <v>762</v>
      </c>
      <c r="D111" s="1">
        <v>45081</v>
      </c>
      <c r="E111" t="s">
        <v>9</v>
      </c>
      <c r="F111">
        <v>9.0500000000000007</v>
      </c>
      <c r="G111" t="s">
        <v>70</v>
      </c>
      <c r="H111" t="s">
        <v>71</v>
      </c>
      <c r="I111" t="s">
        <v>72</v>
      </c>
    </row>
    <row r="112" spans="1:9" x14ac:dyDescent="0.25">
      <c r="A112" t="s">
        <v>71</v>
      </c>
      <c r="B112" t="s">
        <v>100</v>
      </c>
      <c r="C112" t="s">
        <v>762</v>
      </c>
      <c r="D112" s="1">
        <v>45082</v>
      </c>
      <c r="E112" t="s">
        <v>766</v>
      </c>
      <c r="F112">
        <v>-66.72</v>
      </c>
      <c r="G112" t="s">
        <v>70</v>
      </c>
      <c r="H112" t="s">
        <v>71</v>
      </c>
      <c r="I112" t="s">
        <v>72</v>
      </c>
    </row>
    <row r="113" spans="1:9" x14ac:dyDescent="0.25">
      <c r="A113" t="s">
        <v>71</v>
      </c>
      <c r="B113" t="s">
        <v>100</v>
      </c>
      <c r="C113" t="s">
        <v>762</v>
      </c>
      <c r="D113" s="1">
        <v>45083</v>
      </c>
      <c r="E113" t="s">
        <v>11</v>
      </c>
      <c r="F113">
        <v>70.72</v>
      </c>
      <c r="G113" t="s">
        <v>70</v>
      </c>
      <c r="H113" t="s">
        <v>71</v>
      </c>
      <c r="I113" t="s">
        <v>72</v>
      </c>
    </row>
    <row r="114" spans="1:9" x14ac:dyDescent="0.25">
      <c r="A114" t="s">
        <v>71</v>
      </c>
      <c r="B114" t="s">
        <v>100</v>
      </c>
      <c r="C114" t="s">
        <v>762</v>
      </c>
      <c r="D114" s="1">
        <v>45083</v>
      </c>
      <c r="E114" t="s">
        <v>12</v>
      </c>
      <c r="F114">
        <v>1.89</v>
      </c>
      <c r="G114" t="s">
        <v>70</v>
      </c>
      <c r="H114" t="s">
        <v>71</v>
      </c>
      <c r="I114" t="s">
        <v>72</v>
      </c>
    </row>
    <row r="115" spans="1:9" x14ac:dyDescent="0.25">
      <c r="A115" t="s">
        <v>71</v>
      </c>
      <c r="B115" t="s">
        <v>100</v>
      </c>
      <c r="C115" t="s">
        <v>762</v>
      </c>
      <c r="D115" s="1">
        <v>45084</v>
      </c>
      <c r="E115" t="s">
        <v>32</v>
      </c>
      <c r="F115">
        <v>223.49</v>
      </c>
      <c r="G115" t="s">
        <v>73</v>
      </c>
      <c r="H115" t="s">
        <v>74</v>
      </c>
      <c r="I115" t="s">
        <v>75</v>
      </c>
    </row>
    <row r="116" spans="1:9" x14ac:dyDescent="0.25">
      <c r="A116" t="s">
        <v>71</v>
      </c>
      <c r="B116" t="s">
        <v>100</v>
      </c>
      <c r="C116" t="s">
        <v>762</v>
      </c>
      <c r="D116" s="1">
        <v>45084</v>
      </c>
      <c r="E116" t="s">
        <v>772</v>
      </c>
      <c r="F116">
        <v>-195.56</v>
      </c>
      <c r="G116" t="s">
        <v>70</v>
      </c>
      <c r="H116" t="s">
        <v>71</v>
      </c>
      <c r="I116" t="s">
        <v>72</v>
      </c>
    </row>
    <row r="117" spans="1:9" x14ac:dyDescent="0.25">
      <c r="A117" t="s">
        <v>71</v>
      </c>
      <c r="B117" t="s">
        <v>100</v>
      </c>
      <c r="C117" t="s">
        <v>762</v>
      </c>
      <c r="D117" s="1">
        <v>45085</v>
      </c>
      <c r="E117" t="s">
        <v>766</v>
      </c>
      <c r="F117">
        <v>-4.08</v>
      </c>
      <c r="G117" t="s">
        <v>70</v>
      </c>
      <c r="H117" t="s">
        <v>71</v>
      </c>
      <c r="I117" t="s">
        <v>72</v>
      </c>
    </row>
    <row r="118" spans="1:9" x14ac:dyDescent="0.25">
      <c r="A118" t="s">
        <v>71</v>
      </c>
      <c r="B118" t="s">
        <v>100</v>
      </c>
      <c r="C118" t="s">
        <v>762</v>
      </c>
      <c r="D118" s="1">
        <v>45086</v>
      </c>
      <c r="E118" t="s">
        <v>16</v>
      </c>
      <c r="F118">
        <v>16.649999999999999</v>
      </c>
      <c r="G118" t="s">
        <v>70</v>
      </c>
      <c r="H118" t="s">
        <v>71</v>
      </c>
      <c r="I118" t="s">
        <v>72</v>
      </c>
    </row>
    <row r="119" spans="1:9" x14ac:dyDescent="0.25">
      <c r="A119" t="s">
        <v>71</v>
      </c>
      <c r="B119" t="s">
        <v>100</v>
      </c>
      <c r="C119" t="s">
        <v>762</v>
      </c>
      <c r="D119" s="1">
        <v>45087</v>
      </c>
      <c r="E119" t="s">
        <v>771</v>
      </c>
      <c r="F119">
        <v>-193.44</v>
      </c>
      <c r="G119" t="s">
        <v>79</v>
      </c>
      <c r="H119" t="s">
        <v>81</v>
      </c>
      <c r="I119" t="s">
        <v>81</v>
      </c>
    </row>
    <row r="120" spans="1:9" x14ac:dyDescent="0.25">
      <c r="A120" t="s">
        <v>71</v>
      </c>
      <c r="B120" t="s">
        <v>100</v>
      </c>
      <c r="C120" t="s">
        <v>762</v>
      </c>
      <c r="D120" s="1">
        <v>45090</v>
      </c>
      <c r="E120" t="s">
        <v>14</v>
      </c>
      <c r="F120">
        <v>58.83</v>
      </c>
      <c r="G120" t="s">
        <v>70</v>
      </c>
      <c r="H120" t="s">
        <v>71</v>
      </c>
      <c r="I120" t="s">
        <v>72</v>
      </c>
    </row>
    <row r="121" spans="1:9" x14ac:dyDescent="0.25">
      <c r="A121" t="s">
        <v>71</v>
      </c>
      <c r="B121" t="s">
        <v>100</v>
      </c>
      <c r="C121" t="s">
        <v>762</v>
      </c>
      <c r="D121" s="1">
        <v>45090</v>
      </c>
      <c r="E121" t="s">
        <v>766</v>
      </c>
      <c r="F121">
        <v>-38.24</v>
      </c>
      <c r="G121" t="s">
        <v>70</v>
      </c>
      <c r="H121" t="s">
        <v>71</v>
      </c>
      <c r="I121" t="s">
        <v>72</v>
      </c>
    </row>
    <row r="122" spans="1:9" x14ac:dyDescent="0.25">
      <c r="A122" t="s">
        <v>71</v>
      </c>
      <c r="B122" t="s">
        <v>100</v>
      </c>
      <c r="C122" t="s">
        <v>762</v>
      </c>
      <c r="D122" s="1">
        <v>45091</v>
      </c>
      <c r="E122" t="s">
        <v>10</v>
      </c>
      <c r="F122">
        <v>130.53</v>
      </c>
      <c r="G122" t="s">
        <v>70</v>
      </c>
      <c r="H122" t="s">
        <v>71</v>
      </c>
      <c r="I122" t="s">
        <v>72</v>
      </c>
    </row>
    <row r="123" spans="1:9" x14ac:dyDescent="0.25">
      <c r="A123" t="s">
        <v>71</v>
      </c>
      <c r="B123" t="s">
        <v>100</v>
      </c>
      <c r="C123" t="s">
        <v>762</v>
      </c>
      <c r="D123" s="1">
        <v>45095</v>
      </c>
      <c r="E123" t="s">
        <v>18</v>
      </c>
      <c r="F123">
        <v>33.340000000000003</v>
      </c>
      <c r="G123" t="s">
        <v>70</v>
      </c>
      <c r="H123" t="s">
        <v>71</v>
      </c>
      <c r="I123" t="s">
        <v>72</v>
      </c>
    </row>
    <row r="124" spans="1:9" x14ac:dyDescent="0.25">
      <c r="A124" t="s">
        <v>71</v>
      </c>
      <c r="B124" t="s">
        <v>100</v>
      </c>
      <c r="C124" t="s">
        <v>762</v>
      </c>
      <c r="D124" s="1">
        <v>45095</v>
      </c>
      <c r="E124" t="s">
        <v>19</v>
      </c>
      <c r="F124">
        <v>122.98</v>
      </c>
      <c r="G124" t="s">
        <v>70</v>
      </c>
      <c r="H124" t="s">
        <v>71</v>
      </c>
      <c r="I124" t="s">
        <v>72</v>
      </c>
    </row>
    <row r="125" spans="1:9" x14ac:dyDescent="0.25">
      <c r="A125" t="s">
        <v>71</v>
      </c>
      <c r="B125" t="s">
        <v>100</v>
      </c>
      <c r="C125" t="s">
        <v>762</v>
      </c>
      <c r="D125" s="1">
        <v>45095</v>
      </c>
      <c r="E125" t="s">
        <v>20</v>
      </c>
      <c r="F125">
        <v>117.39</v>
      </c>
      <c r="G125" t="s">
        <v>70</v>
      </c>
      <c r="H125" t="s">
        <v>71</v>
      </c>
      <c r="I125" t="s">
        <v>72</v>
      </c>
    </row>
    <row r="126" spans="1:9" x14ac:dyDescent="0.25">
      <c r="A126" t="s">
        <v>71</v>
      </c>
      <c r="B126" t="s">
        <v>100</v>
      </c>
      <c r="C126" t="s">
        <v>762</v>
      </c>
      <c r="D126" s="1">
        <v>45095</v>
      </c>
      <c r="E126" t="s">
        <v>24</v>
      </c>
      <c r="F126">
        <v>11.67</v>
      </c>
      <c r="G126" t="s">
        <v>70</v>
      </c>
      <c r="H126" t="s">
        <v>71</v>
      </c>
      <c r="I126" t="s">
        <v>72</v>
      </c>
    </row>
    <row r="127" spans="1:9" x14ac:dyDescent="0.25">
      <c r="A127" t="s">
        <v>71</v>
      </c>
      <c r="B127" t="s">
        <v>100</v>
      </c>
      <c r="C127" t="s">
        <v>762</v>
      </c>
      <c r="D127" s="1">
        <v>45097</v>
      </c>
      <c r="E127" t="s">
        <v>21</v>
      </c>
      <c r="F127">
        <v>32.75</v>
      </c>
      <c r="G127" t="s">
        <v>70</v>
      </c>
      <c r="H127" t="s">
        <v>71</v>
      </c>
      <c r="I127" t="s">
        <v>72</v>
      </c>
    </row>
    <row r="128" spans="1:9" x14ac:dyDescent="0.25">
      <c r="A128" t="s">
        <v>71</v>
      </c>
      <c r="B128" t="s">
        <v>100</v>
      </c>
      <c r="C128" t="s">
        <v>762</v>
      </c>
      <c r="D128" s="1">
        <v>45098</v>
      </c>
      <c r="E128" t="s">
        <v>33</v>
      </c>
      <c r="F128">
        <v>560.51</v>
      </c>
      <c r="G128" t="s">
        <v>73</v>
      </c>
      <c r="H128" t="s">
        <v>74</v>
      </c>
      <c r="I128" t="s">
        <v>75</v>
      </c>
    </row>
    <row r="129" spans="1:9" x14ac:dyDescent="0.25">
      <c r="A129" t="s">
        <v>71</v>
      </c>
      <c r="B129" t="s">
        <v>100</v>
      </c>
      <c r="C129" t="s">
        <v>762</v>
      </c>
      <c r="D129" s="1">
        <v>45098</v>
      </c>
      <c r="E129" t="s">
        <v>766</v>
      </c>
      <c r="F129">
        <v>-2815.3</v>
      </c>
      <c r="G129" t="s">
        <v>70</v>
      </c>
      <c r="H129" t="s">
        <v>71</v>
      </c>
      <c r="I129" t="s">
        <v>72</v>
      </c>
    </row>
    <row r="130" spans="1:9" x14ac:dyDescent="0.25">
      <c r="A130" t="s">
        <v>71</v>
      </c>
      <c r="B130" t="s">
        <v>100</v>
      </c>
      <c r="C130" t="s">
        <v>762</v>
      </c>
      <c r="D130" s="1">
        <v>45098</v>
      </c>
      <c r="E130" t="s">
        <v>767</v>
      </c>
      <c r="F130">
        <v>1392.21</v>
      </c>
      <c r="G130" t="s">
        <v>70</v>
      </c>
      <c r="H130" t="s">
        <v>71</v>
      </c>
      <c r="I130" t="s">
        <v>72</v>
      </c>
    </row>
    <row r="131" spans="1:9" x14ac:dyDescent="0.25">
      <c r="A131" t="s">
        <v>71</v>
      </c>
      <c r="B131" t="s">
        <v>100</v>
      </c>
      <c r="C131" t="s">
        <v>762</v>
      </c>
      <c r="D131" s="1">
        <v>45098</v>
      </c>
      <c r="E131" t="s">
        <v>772</v>
      </c>
      <c r="F131">
        <v>-694.06</v>
      </c>
      <c r="G131" t="s">
        <v>70</v>
      </c>
      <c r="H131" t="s">
        <v>71</v>
      </c>
      <c r="I131" t="s">
        <v>72</v>
      </c>
    </row>
    <row r="132" spans="1:9" x14ac:dyDescent="0.25">
      <c r="A132" t="s">
        <v>71</v>
      </c>
      <c r="B132" t="s">
        <v>100</v>
      </c>
      <c r="C132" t="s">
        <v>762</v>
      </c>
      <c r="D132" s="1">
        <v>45101</v>
      </c>
      <c r="E132" t="s">
        <v>23</v>
      </c>
      <c r="F132">
        <v>23.81</v>
      </c>
      <c r="G132" t="s">
        <v>70</v>
      </c>
      <c r="H132" t="s">
        <v>71</v>
      </c>
      <c r="I132" t="s">
        <v>72</v>
      </c>
    </row>
    <row r="133" spans="1:9" x14ac:dyDescent="0.25">
      <c r="A133" t="s">
        <v>71</v>
      </c>
      <c r="B133" t="s">
        <v>100</v>
      </c>
      <c r="C133" t="s">
        <v>762</v>
      </c>
      <c r="D133" s="1">
        <v>45102</v>
      </c>
      <c r="E133" t="s">
        <v>766</v>
      </c>
      <c r="F133">
        <v>-0.83</v>
      </c>
      <c r="G133" t="s">
        <v>70</v>
      </c>
      <c r="H133" t="s">
        <v>71</v>
      </c>
      <c r="I133" t="s">
        <v>72</v>
      </c>
    </row>
    <row r="134" spans="1:9" x14ac:dyDescent="0.25">
      <c r="A134" t="s">
        <v>71</v>
      </c>
      <c r="B134" t="s">
        <v>100</v>
      </c>
      <c r="C134" t="s">
        <v>762</v>
      </c>
      <c r="D134" s="1">
        <v>45103</v>
      </c>
      <c r="E134" t="s">
        <v>766</v>
      </c>
      <c r="F134">
        <v>-62.95</v>
      </c>
      <c r="G134" t="s">
        <v>70</v>
      </c>
      <c r="H134" t="s">
        <v>71</v>
      </c>
      <c r="I134" t="s">
        <v>72</v>
      </c>
    </row>
    <row r="135" spans="1:9" x14ac:dyDescent="0.25">
      <c r="A135" t="s">
        <v>71</v>
      </c>
      <c r="B135" t="s">
        <v>100</v>
      </c>
      <c r="C135" t="s">
        <v>762</v>
      </c>
      <c r="D135" s="1">
        <v>45104</v>
      </c>
      <c r="E135" t="s">
        <v>766</v>
      </c>
      <c r="F135">
        <v>-42.28</v>
      </c>
      <c r="G135" t="s">
        <v>70</v>
      </c>
      <c r="H135" t="s">
        <v>71</v>
      </c>
      <c r="I135" t="s">
        <v>72</v>
      </c>
    </row>
    <row r="136" spans="1:9" x14ac:dyDescent="0.25">
      <c r="A136" t="s">
        <v>71</v>
      </c>
      <c r="B136" t="s">
        <v>100</v>
      </c>
      <c r="C136" t="s">
        <v>762</v>
      </c>
      <c r="D136" s="1">
        <v>45105</v>
      </c>
      <c r="E136" t="s">
        <v>766</v>
      </c>
      <c r="F136">
        <v>-1.29</v>
      </c>
      <c r="G136" t="s">
        <v>70</v>
      </c>
      <c r="H136" t="s">
        <v>71</v>
      </c>
      <c r="I136" t="s">
        <v>72</v>
      </c>
    </row>
    <row r="137" spans="1:9" x14ac:dyDescent="0.25">
      <c r="A137" t="s">
        <v>71</v>
      </c>
      <c r="B137" t="s">
        <v>100</v>
      </c>
      <c r="C137" t="s">
        <v>762</v>
      </c>
      <c r="D137" s="1">
        <v>45105</v>
      </c>
      <c r="E137" t="s">
        <v>10</v>
      </c>
      <c r="F137">
        <v>7.83</v>
      </c>
      <c r="G137" t="s">
        <v>70</v>
      </c>
      <c r="H137" t="s">
        <v>71</v>
      </c>
      <c r="I137" t="s">
        <v>72</v>
      </c>
    </row>
    <row r="138" spans="1:9" x14ac:dyDescent="0.25">
      <c r="A138" t="s">
        <v>71</v>
      </c>
      <c r="B138" t="s">
        <v>100</v>
      </c>
      <c r="C138" t="s">
        <v>762</v>
      </c>
      <c r="D138" s="1">
        <v>45108</v>
      </c>
      <c r="E138" t="s">
        <v>782</v>
      </c>
      <c r="F138">
        <v>-41.2</v>
      </c>
      <c r="G138" t="s">
        <v>70</v>
      </c>
      <c r="H138" t="s">
        <v>71</v>
      </c>
      <c r="I138" t="s">
        <v>72</v>
      </c>
    </row>
    <row r="139" spans="1:9" x14ac:dyDescent="0.25">
      <c r="A139" t="s">
        <v>71</v>
      </c>
      <c r="B139" t="s">
        <v>100</v>
      </c>
      <c r="C139" t="s">
        <v>762</v>
      </c>
      <c r="D139" s="1">
        <v>45111</v>
      </c>
      <c r="E139" t="s">
        <v>766</v>
      </c>
      <c r="F139">
        <v>-80.400000000000006</v>
      </c>
      <c r="G139" t="s">
        <v>70</v>
      </c>
      <c r="H139" t="s">
        <v>71</v>
      </c>
      <c r="I139" t="s">
        <v>72</v>
      </c>
    </row>
    <row r="140" spans="1:9" x14ac:dyDescent="0.25">
      <c r="A140" t="s">
        <v>71</v>
      </c>
      <c r="B140" t="s">
        <v>100</v>
      </c>
      <c r="C140" t="s">
        <v>762</v>
      </c>
      <c r="D140" s="1">
        <v>45111</v>
      </c>
      <c r="E140" t="s">
        <v>8</v>
      </c>
      <c r="F140">
        <v>67.599999999999994</v>
      </c>
      <c r="G140" t="s">
        <v>70</v>
      </c>
      <c r="H140" t="s">
        <v>71</v>
      </c>
      <c r="I140" t="s">
        <v>72</v>
      </c>
    </row>
    <row r="141" spans="1:9" x14ac:dyDescent="0.25">
      <c r="A141" t="s">
        <v>71</v>
      </c>
      <c r="B141" t="s">
        <v>100</v>
      </c>
      <c r="C141" t="s">
        <v>762</v>
      </c>
      <c r="D141" s="1">
        <v>45111</v>
      </c>
      <c r="E141" t="s">
        <v>9</v>
      </c>
      <c r="F141">
        <v>16.48</v>
      </c>
      <c r="G141" t="s">
        <v>70</v>
      </c>
      <c r="H141" t="s">
        <v>71</v>
      </c>
      <c r="I141" t="s">
        <v>72</v>
      </c>
    </row>
    <row r="142" spans="1:9" x14ac:dyDescent="0.25">
      <c r="A142" t="s">
        <v>71</v>
      </c>
      <c r="B142" t="s">
        <v>100</v>
      </c>
      <c r="C142" t="s">
        <v>762</v>
      </c>
      <c r="D142" s="1">
        <v>45111</v>
      </c>
      <c r="E142" t="s">
        <v>766</v>
      </c>
      <c r="F142">
        <v>-21.23</v>
      </c>
      <c r="G142" t="s">
        <v>70</v>
      </c>
      <c r="H142" t="s">
        <v>71</v>
      </c>
      <c r="I142" t="s">
        <v>72</v>
      </c>
    </row>
    <row r="143" spans="1:9" x14ac:dyDescent="0.25">
      <c r="A143" t="s">
        <v>71</v>
      </c>
      <c r="B143" t="s">
        <v>100</v>
      </c>
      <c r="C143" t="s">
        <v>762</v>
      </c>
      <c r="D143" s="1">
        <v>45112</v>
      </c>
      <c r="E143" t="s">
        <v>34</v>
      </c>
      <c r="F143">
        <v>1581.95</v>
      </c>
      <c r="G143" t="s">
        <v>73</v>
      </c>
      <c r="H143" t="s">
        <v>74</v>
      </c>
      <c r="I143" t="s">
        <v>75</v>
      </c>
    </row>
    <row r="144" spans="1:9" x14ac:dyDescent="0.25">
      <c r="A144" t="s">
        <v>71</v>
      </c>
      <c r="B144" t="s">
        <v>100</v>
      </c>
      <c r="C144" t="s">
        <v>762</v>
      </c>
      <c r="D144" s="1">
        <v>45112</v>
      </c>
      <c r="E144" t="s">
        <v>772</v>
      </c>
      <c r="F144">
        <v>-75.959999999999994</v>
      </c>
      <c r="G144" t="s">
        <v>70</v>
      </c>
      <c r="H144" t="s">
        <v>71</v>
      </c>
      <c r="I144" t="s">
        <v>72</v>
      </c>
    </row>
    <row r="145" spans="1:9" x14ac:dyDescent="0.25">
      <c r="A145" t="s">
        <v>71</v>
      </c>
      <c r="B145" t="s">
        <v>100</v>
      </c>
      <c r="C145" t="s">
        <v>762</v>
      </c>
      <c r="D145" s="1">
        <v>45112</v>
      </c>
      <c r="E145" t="s">
        <v>10</v>
      </c>
      <c r="F145">
        <v>124.72</v>
      </c>
      <c r="G145" t="s">
        <v>70</v>
      </c>
      <c r="H145" t="s">
        <v>71</v>
      </c>
      <c r="I145" t="s">
        <v>72</v>
      </c>
    </row>
    <row r="146" spans="1:9" x14ac:dyDescent="0.25">
      <c r="A146" t="s">
        <v>71</v>
      </c>
      <c r="B146" t="s">
        <v>100</v>
      </c>
      <c r="C146" t="s">
        <v>762</v>
      </c>
      <c r="D146" s="1">
        <v>45112</v>
      </c>
      <c r="E146" t="s">
        <v>10</v>
      </c>
      <c r="F146">
        <v>18</v>
      </c>
      <c r="G146" t="s">
        <v>70</v>
      </c>
      <c r="H146" t="s">
        <v>71</v>
      </c>
      <c r="I146" t="s">
        <v>72</v>
      </c>
    </row>
    <row r="147" spans="1:9" x14ac:dyDescent="0.25">
      <c r="A147" t="s">
        <v>71</v>
      </c>
      <c r="B147" t="s">
        <v>100</v>
      </c>
      <c r="C147" t="s">
        <v>762</v>
      </c>
      <c r="D147" s="1">
        <v>45112</v>
      </c>
      <c r="E147" t="s">
        <v>766</v>
      </c>
      <c r="F147">
        <v>-5.8</v>
      </c>
      <c r="G147" t="s">
        <v>70</v>
      </c>
      <c r="H147" t="s">
        <v>71</v>
      </c>
      <c r="I147" t="s">
        <v>72</v>
      </c>
    </row>
    <row r="148" spans="1:9" x14ac:dyDescent="0.25">
      <c r="A148" t="s">
        <v>71</v>
      </c>
      <c r="B148" t="s">
        <v>100</v>
      </c>
      <c r="C148" t="s">
        <v>762</v>
      </c>
      <c r="D148" s="1">
        <v>45113</v>
      </c>
      <c r="E148" t="s">
        <v>11</v>
      </c>
      <c r="F148">
        <v>139.33000000000001</v>
      </c>
      <c r="G148" t="s">
        <v>70</v>
      </c>
      <c r="H148" t="s">
        <v>71</v>
      </c>
      <c r="I148" t="s">
        <v>72</v>
      </c>
    </row>
    <row r="149" spans="1:9" x14ac:dyDescent="0.25">
      <c r="A149" t="s">
        <v>71</v>
      </c>
      <c r="B149" t="s">
        <v>100</v>
      </c>
      <c r="C149" t="s">
        <v>762</v>
      </c>
      <c r="D149" s="1">
        <v>45113</v>
      </c>
      <c r="E149" t="s">
        <v>12</v>
      </c>
      <c r="F149">
        <v>3.29</v>
      </c>
      <c r="G149" t="s">
        <v>70</v>
      </c>
      <c r="H149" t="s">
        <v>71</v>
      </c>
      <c r="I149" t="s">
        <v>72</v>
      </c>
    </row>
    <row r="150" spans="1:9" x14ac:dyDescent="0.25">
      <c r="A150" t="s">
        <v>71</v>
      </c>
      <c r="B150" t="s">
        <v>100</v>
      </c>
      <c r="C150" t="s">
        <v>762</v>
      </c>
      <c r="D150" s="1">
        <v>45114</v>
      </c>
      <c r="E150" t="s">
        <v>16</v>
      </c>
      <c r="F150">
        <v>14.16</v>
      </c>
      <c r="G150" t="s">
        <v>70</v>
      </c>
      <c r="H150" t="s">
        <v>71</v>
      </c>
      <c r="I150" t="s">
        <v>72</v>
      </c>
    </row>
    <row r="151" spans="1:9" x14ac:dyDescent="0.25">
      <c r="A151" t="s">
        <v>71</v>
      </c>
      <c r="B151" t="s">
        <v>100</v>
      </c>
      <c r="C151" t="s">
        <v>762</v>
      </c>
      <c r="D151" s="1">
        <v>45114</v>
      </c>
      <c r="E151" t="s">
        <v>766</v>
      </c>
      <c r="F151">
        <v>-38.840000000000003</v>
      </c>
      <c r="G151" t="s">
        <v>70</v>
      </c>
      <c r="H151" t="s">
        <v>71</v>
      </c>
      <c r="I151" t="s">
        <v>72</v>
      </c>
    </row>
    <row r="152" spans="1:9" x14ac:dyDescent="0.25">
      <c r="A152" t="s">
        <v>71</v>
      </c>
      <c r="B152" t="s">
        <v>100</v>
      </c>
      <c r="C152" t="s">
        <v>762</v>
      </c>
      <c r="D152" s="1">
        <v>45114</v>
      </c>
      <c r="E152" t="s">
        <v>766</v>
      </c>
      <c r="F152">
        <v>-5.78</v>
      </c>
      <c r="G152" t="s">
        <v>70</v>
      </c>
      <c r="H152" t="s">
        <v>71</v>
      </c>
      <c r="I152" t="s">
        <v>72</v>
      </c>
    </row>
    <row r="153" spans="1:9" x14ac:dyDescent="0.25">
      <c r="A153" t="s">
        <v>71</v>
      </c>
      <c r="B153" t="s">
        <v>100</v>
      </c>
      <c r="C153" t="s">
        <v>762</v>
      </c>
      <c r="D153" s="1">
        <v>45114</v>
      </c>
      <c r="E153" t="s">
        <v>766</v>
      </c>
      <c r="F153">
        <v>-27.07</v>
      </c>
      <c r="G153" t="s">
        <v>70</v>
      </c>
      <c r="H153" t="s">
        <v>71</v>
      </c>
      <c r="I153" t="s">
        <v>72</v>
      </c>
    </row>
    <row r="154" spans="1:9" x14ac:dyDescent="0.25">
      <c r="A154" t="s">
        <v>71</v>
      </c>
      <c r="B154" t="s">
        <v>100</v>
      </c>
      <c r="C154" t="s">
        <v>762</v>
      </c>
      <c r="D154" s="1">
        <v>45116</v>
      </c>
      <c r="E154" t="s">
        <v>766</v>
      </c>
      <c r="F154">
        <v>-9.76</v>
      </c>
      <c r="G154" t="s">
        <v>70</v>
      </c>
      <c r="H154" t="s">
        <v>71</v>
      </c>
      <c r="I154" t="s">
        <v>72</v>
      </c>
    </row>
    <row r="155" spans="1:9" x14ac:dyDescent="0.25">
      <c r="A155" t="s">
        <v>71</v>
      </c>
      <c r="B155" t="s">
        <v>100</v>
      </c>
      <c r="C155" t="s">
        <v>762</v>
      </c>
      <c r="D155" s="1">
        <v>45116</v>
      </c>
      <c r="E155" t="s">
        <v>766</v>
      </c>
      <c r="F155">
        <v>-5.32</v>
      </c>
      <c r="G155" t="s">
        <v>70</v>
      </c>
      <c r="H155" t="s">
        <v>71</v>
      </c>
      <c r="I155" t="s">
        <v>72</v>
      </c>
    </row>
    <row r="156" spans="1:9" x14ac:dyDescent="0.25">
      <c r="A156" t="s">
        <v>71</v>
      </c>
      <c r="B156" t="s">
        <v>100</v>
      </c>
      <c r="C156" t="s">
        <v>762</v>
      </c>
      <c r="D156" s="1">
        <v>45117</v>
      </c>
      <c r="E156" t="s">
        <v>766</v>
      </c>
      <c r="F156">
        <v>-0.83</v>
      </c>
      <c r="G156" t="s">
        <v>70</v>
      </c>
      <c r="H156" t="s">
        <v>71</v>
      </c>
      <c r="I156" t="s">
        <v>72</v>
      </c>
    </row>
    <row r="157" spans="1:9" x14ac:dyDescent="0.25">
      <c r="A157" t="s">
        <v>71</v>
      </c>
      <c r="B157" t="s">
        <v>100</v>
      </c>
      <c r="C157" t="s">
        <v>762</v>
      </c>
      <c r="D157" s="1">
        <v>45117</v>
      </c>
      <c r="E157" t="s">
        <v>766</v>
      </c>
      <c r="F157">
        <v>-0.49</v>
      </c>
      <c r="G157" t="s">
        <v>70</v>
      </c>
      <c r="H157" t="s">
        <v>71</v>
      </c>
      <c r="I157" t="s">
        <v>72</v>
      </c>
    </row>
    <row r="158" spans="1:9" x14ac:dyDescent="0.25">
      <c r="A158" t="s">
        <v>71</v>
      </c>
      <c r="B158" t="s">
        <v>100</v>
      </c>
      <c r="C158" t="s">
        <v>762</v>
      </c>
      <c r="D158" s="1">
        <v>45119</v>
      </c>
      <c r="E158" t="s">
        <v>10</v>
      </c>
      <c r="F158">
        <v>666.61</v>
      </c>
      <c r="G158" t="s">
        <v>70</v>
      </c>
      <c r="H158" t="s">
        <v>71</v>
      </c>
      <c r="I158" t="s">
        <v>72</v>
      </c>
    </row>
    <row r="159" spans="1:9" x14ac:dyDescent="0.25">
      <c r="A159" t="s">
        <v>71</v>
      </c>
      <c r="B159" t="s">
        <v>100</v>
      </c>
      <c r="C159" t="s">
        <v>762</v>
      </c>
      <c r="D159" s="1">
        <v>45119</v>
      </c>
      <c r="E159" t="s">
        <v>766</v>
      </c>
      <c r="F159">
        <v>-147.66</v>
      </c>
      <c r="G159" t="s">
        <v>70</v>
      </c>
      <c r="H159" t="s">
        <v>71</v>
      </c>
      <c r="I159" t="s">
        <v>72</v>
      </c>
    </row>
    <row r="160" spans="1:9" x14ac:dyDescent="0.25">
      <c r="A160" t="s">
        <v>71</v>
      </c>
      <c r="B160" t="s">
        <v>100</v>
      </c>
      <c r="C160" t="s">
        <v>762</v>
      </c>
      <c r="D160" s="1">
        <v>45119</v>
      </c>
      <c r="E160" t="s">
        <v>768</v>
      </c>
      <c r="F160">
        <v>-139.66</v>
      </c>
      <c r="G160" t="s">
        <v>68</v>
      </c>
      <c r="H160" t="s">
        <v>69</v>
      </c>
      <c r="I160" t="s">
        <v>69</v>
      </c>
    </row>
    <row r="161" spans="1:9" x14ac:dyDescent="0.25">
      <c r="A161" t="s">
        <v>71</v>
      </c>
      <c r="B161" t="s">
        <v>100</v>
      </c>
      <c r="C161" t="s">
        <v>762</v>
      </c>
      <c r="D161" s="1">
        <v>45119</v>
      </c>
      <c r="F161">
        <v>2206.4</v>
      </c>
      <c r="G161" t="s">
        <v>70</v>
      </c>
      <c r="H161" t="s">
        <v>71</v>
      </c>
      <c r="I161" t="s">
        <v>72</v>
      </c>
    </row>
    <row r="162" spans="1:9" x14ac:dyDescent="0.25">
      <c r="A162" t="s">
        <v>71</v>
      </c>
      <c r="B162" t="s">
        <v>100</v>
      </c>
      <c r="C162" t="s">
        <v>762</v>
      </c>
      <c r="D162" s="1">
        <v>45120</v>
      </c>
      <c r="E162" t="s">
        <v>14</v>
      </c>
      <c r="F162">
        <v>57.42</v>
      </c>
      <c r="G162" t="s">
        <v>70</v>
      </c>
      <c r="H162" t="s">
        <v>71</v>
      </c>
      <c r="I162" t="s">
        <v>72</v>
      </c>
    </row>
    <row r="163" spans="1:9" x14ac:dyDescent="0.25">
      <c r="A163" t="s">
        <v>71</v>
      </c>
      <c r="B163" t="s">
        <v>100</v>
      </c>
      <c r="C163" t="s">
        <v>762</v>
      </c>
      <c r="D163" s="1">
        <v>45120</v>
      </c>
      <c r="E163" t="s">
        <v>35</v>
      </c>
      <c r="F163">
        <v>-178.28</v>
      </c>
      <c r="G163" t="s">
        <v>76</v>
      </c>
      <c r="H163" t="s">
        <v>82</v>
      </c>
      <c r="I163" t="s">
        <v>83</v>
      </c>
    </row>
    <row r="164" spans="1:9" x14ac:dyDescent="0.25">
      <c r="A164" t="s">
        <v>71</v>
      </c>
      <c r="B164" t="s">
        <v>100</v>
      </c>
      <c r="C164" t="s">
        <v>762</v>
      </c>
      <c r="D164" s="1">
        <v>45123</v>
      </c>
      <c r="E164" t="s">
        <v>24</v>
      </c>
      <c r="F164">
        <v>10.86</v>
      </c>
      <c r="G164" t="s">
        <v>70</v>
      </c>
      <c r="H164" t="s">
        <v>71</v>
      </c>
      <c r="I164" t="s">
        <v>72</v>
      </c>
    </row>
    <row r="165" spans="1:9" x14ac:dyDescent="0.25">
      <c r="A165" t="s">
        <v>71</v>
      </c>
      <c r="B165" t="s">
        <v>100</v>
      </c>
      <c r="C165" t="s">
        <v>762</v>
      </c>
      <c r="D165" s="1">
        <v>45124</v>
      </c>
      <c r="E165" t="s">
        <v>783</v>
      </c>
      <c r="F165">
        <v>-27.02</v>
      </c>
      <c r="G165" t="s">
        <v>84</v>
      </c>
      <c r="H165" t="s">
        <v>85</v>
      </c>
      <c r="I165" t="s">
        <v>86</v>
      </c>
    </row>
    <row r="166" spans="1:9" x14ac:dyDescent="0.25">
      <c r="A166" t="s">
        <v>71</v>
      </c>
      <c r="B166" t="s">
        <v>100</v>
      </c>
      <c r="C166" t="s">
        <v>762</v>
      </c>
      <c r="D166" s="1">
        <v>45124</v>
      </c>
      <c r="E166" t="s">
        <v>766</v>
      </c>
      <c r="F166">
        <v>-11.57</v>
      </c>
      <c r="G166" t="s">
        <v>70</v>
      </c>
      <c r="H166" t="s">
        <v>71</v>
      </c>
      <c r="I166" t="s">
        <v>72</v>
      </c>
    </row>
    <row r="167" spans="1:9" x14ac:dyDescent="0.25">
      <c r="A167" t="s">
        <v>71</v>
      </c>
      <c r="B167" t="s">
        <v>100</v>
      </c>
      <c r="C167" t="s">
        <v>762</v>
      </c>
      <c r="D167" s="1">
        <v>45125</v>
      </c>
      <c r="E167" t="s">
        <v>18</v>
      </c>
      <c r="F167">
        <v>26.88</v>
      </c>
      <c r="G167" t="s">
        <v>70</v>
      </c>
      <c r="H167" t="s">
        <v>71</v>
      </c>
      <c r="I167" t="s">
        <v>72</v>
      </c>
    </row>
    <row r="168" spans="1:9" x14ac:dyDescent="0.25">
      <c r="A168" t="s">
        <v>71</v>
      </c>
      <c r="B168" t="s">
        <v>100</v>
      </c>
      <c r="C168" t="s">
        <v>762</v>
      </c>
      <c r="D168" s="1">
        <v>45125</v>
      </c>
      <c r="E168" t="s">
        <v>20</v>
      </c>
      <c r="F168">
        <v>78.52</v>
      </c>
      <c r="G168" t="s">
        <v>70</v>
      </c>
      <c r="H168" t="s">
        <v>71</v>
      </c>
      <c r="I168" t="s">
        <v>72</v>
      </c>
    </row>
    <row r="169" spans="1:9" x14ac:dyDescent="0.25">
      <c r="A169" t="s">
        <v>71</v>
      </c>
      <c r="B169" t="s">
        <v>100</v>
      </c>
      <c r="C169" t="s">
        <v>762</v>
      </c>
      <c r="D169" s="1">
        <v>45125</v>
      </c>
      <c r="E169" t="s">
        <v>19</v>
      </c>
      <c r="F169">
        <v>16.600000000000001</v>
      </c>
      <c r="G169" t="s">
        <v>70</v>
      </c>
      <c r="H169" t="s">
        <v>71</v>
      </c>
      <c r="I169" t="s">
        <v>72</v>
      </c>
    </row>
    <row r="170" spans="1:9" x14ac:dyDescent="0.25">
      <c r="A170" t="s">
        <v>71</v>
      </c>
      <c r="B170" t="s">
        <v>100</v>
      </c>
      <c r="C170" t="s">
        <v>762</v>
      </c>
      <c r="D170" s="1">
        <v>45126</v>
      </c>
      <c r="E170" t="s">
        <v>36</v>
      </c>
      <c r="F170">
        <v>1745.88</v>
      </c>
      <c r="G170" t="s">
        <v>73</v>
      </c>
      <c r="H170" t="s">
        <v>74</v>
      </c>
      <c r="I170" t="s">
        <v>75</v>
      </c>
    </row>
    <row r="171" spans="1:9" x14ac:dyDescent="0.25">
      <c r="A171" t="s">
        <v>71</v>
      </c>
      <c r="B171" t="s">
        <v>100</v>
      </c>
      <c r="C171" t="s">
        <v>762</v>
      </c>
      <c r="D171" s="1">
        <v>45126</v>
      </c>
      <c r="E171" t="s">
        <v>772</v>
      </c>
      <c r="F171">
        <v>-181.46</v>
      </c>
      <c r="G171" t="s">
        <v>70</v>
      </c>
      <c r="H171" t="s">
        <v>71</v>
      </c>
      <c r="I171" t="s">
        <v>72</v>
      </c>
    </row>
    <row r="172" spans="1:9" x14ac:dyDescent="0.25">
      <c r="A172" t="s">
        <v>71</v>
      </c>
      <c r="B172" t="s">
        <v>100</v>
      </c>
      <c r="C172" t="s">
        <v>762</v>
      </c>
      <c r="D172" s="1">
        <v>45126</v>
      </c>
      <c r="E172" t="s">
        <v>10</v>
      </c>
      <c r="F172">
        <v>88.4</v>
      </c>
      <c r="G172" t="s">
        <v>70</v>
      </c>
      <c r="H172" t="s">
        <v>71</v>
      </c>
      <c r="I172" t="s">
        <v>72</v>
      </c>
    </row>
    <row r="173" spans="1:9" x14ac:dyDescent="0.25">
      <c r="A173" t="s">
        <v>71</v>
      </c>
      <c r="B173" t="s">
        <v>100</v>
      </c>
      <c r="C173" t="s">
        <v>762</v>
      </c>
      <c r="D173" s="1">
        <v>45127</v>
      </c>
      <c r="E173" t="s">
        <v>21</v>
      </c>
      <c r="F173">
        <v>67.94</v>
      </c>
      <c r="G173" t="s">
        <v>70</v>
      </c>
      <c r="H173" t="s">
        <v>71</v>
      </c>
      <c r="I173" t="s">
        <v>72</v>
      </c>
    </row>
    <row r="174" spans="1:9" x14ac:dyDescent="0.25">
      <c r="A174" t="s">
        <v>71</v>
      </c>
      <c r="B174" t="s">
        <v>100</v>
      </c>
      <c r="C174" t="s">
        <v>762</v>
      </c>
      <c r="D174" s="1">
        <v>45128</v>
      </c>
      <c r="E174" t="s">
        <v>25</v>
      </c>
      <c r="F174">
        <v>-12.22</v>
      </c>
      <c r="G174" t="s">
        <v>76</v>
      </c>
      <c r="H174" t="s">
        <v>87</v>
      </c>
      <c r="I174" t="s">
        <v>88</v>
      </c>
    </row>
    <row r="175" spans="1:9" x14ac:dyDescent="0.25">
      <c r="A175" t="s">
        <v>71</v>
      </c>
      <c r="B175" t="s">
        <v>100</v>
      </c>
      <c r="C175" t="s">
        <v>762</v>
      </c>
      <c r="D175" s="1">
        <v>45129</v>
      </c>
      <c r="E175" t="s">
        <v>772</v>
      </c>
      <c r="F175">
        <v>-223.07</v>
      </c>
      <c r="G175" t="s">
        <v>70</v>
      </c>
      <c r="H175" t="s">
        <v>71</v>
      </c>
      <c r="I175" t="s">
        <v>72</v>
      </c>
    </row>
    <row r="176" spans="1:9" x14ac:dyDescent="0.25">
      <c r="A176" t="s">
        <v>71</v>
      </c>
      <c r="B176" t="s">
        <v>100</v>
      </c>
      <c r="C176" t="s">
        <v>762</v>
      </c>
      <c r="D176" s="1">
        <v>45131</v>
      </c>
      <c r="E176" t="s">
        <v>23</v>
      </c>
      <c r="F176">
        <v>18.79</v>
      </c>
      <c r="G176" t="s">
        <v>70</v>
      </c>
      <c r="H176" t="s">
        <v>71</v>
      </c>
      <c r="I176" t="s">
        <v>72</v>
      </c>
    </row>
    <row r="177" spans="1:9" x14ac:dyDescent="0.25">
      <c r="A177" t="s">
        <v>71</v>
      </c>
      <c r="B177" t="s">
        <v>100</v>
      </c>
      <c r="C177" t="s">
        <v>762</v>
      </c>
      <c r="D177" s="1">
        <v>45133</v>
      </c>
      <c r="E177" t="s">
        <v>766</v>
      </c>
      <c r="F177">
        <v>-39.44</v>
      </c>
      <c r="G177" t="s">
        <v>70</v>
      </c>
      <c r="H177" t="s">
        <v>71</v>
      </c>
      <c r="I177" t="s">
        <v>72</v>
      </c>
    </row>
    <row r="178" spans="1:9" x14ac:dyDescent="0.25">
      <c r="A178" t="s">
        <v>71</v>
      </c>
      <c r="B178" t="s">
        <v>100</v>
      </c>
      <c r="C178" t="s">
        <v>762</v>
      </c>
      <c r="D178" s="1">
        <v>45133</v>
      </c>
      <c r="E178" t="s">
        <v>10</v>
      </c>
      <c r="F178">
        <v>6.25</v>
      </c>
      <c r="G178" t="s">
        <v>70</v>
      </c>
      <c r="H178" t="s">
        <v>71</v>
      </c>
      <c r="I178" t="s">
        <v>72</v>
      </c>
    </row>
    <row r="179" spans="1:9" x14ac:dyDescent="0.25">
      <c r="A179" t="s">
        <v>71</v>
      </c>
      <c r="B179" t="s">
        <v>100</v>
      </c>
      <c r="C179" t="s">
        <v>762</v>
      </c>
      <c r="D179" s="1">
        <v>45134</v>
      </c>
      <c r="E179" t="s">
        <v>784</v>
      </c>
      <c r="F179">
        <v>-9.24</v>
      </c>
      <c r="G179" t="s">
        <v>89</v>
      </c>
      <c r="H179" t="s">
        <v>90</v>
      </c>
      <c r="I179" t="s">
        <v>91</v>
      </c>
    </row>
    <row r="180" spans="1:9" x14ac:dyDescent="0.25">
      <c r="A180" t="s">
        <v>71</v>
      </c>
      <c r="B180" t="s">
        <v>100</v>
      </c>
      <c r="C180" t="s">
        <v>762</v>
      </c>
      <c r="D180" s="1">
        <v>45137</v>
      </c>
      <c r="E180" t="s">
        <v>766</v>
      </c>
      <c r="F180">
        <v>-12.25</v>
      </c>
      <c r="G180" t="s">
        <v>70</v>
      </c>
      <c r="H180" t="s">
        <v>71</v>
      </c>
      <c r="I180" t="s">
        <v>72</v>
      </c>
    </row>
    <row r="181" spans="1:9" x14ac:dyDescent="0.25">
      <c r="A181" t="s">
        <v>71</v>
      </c>
      <c r="B181" t="s">
        <v>100</v>
      </c>
      <c r="C181" t="s">
        <v>762</v>
      </c>
      <c r="D181" s="1">
        <v>45140</v>
      </c>
      <c r="E181" t="s">
        <v>37</v>
      </c>
      <c r="F181">
        <v>689.25</v>
      </c>
      <c r="G181" t="s">
        <v>73</v>
      </c>
      <c r="H181" t="s">
        <v>74</v>
      </c>
      <c r="I181" t="s">
        <v>75</v>
      </c>
    </row>
    <row r="182" spans="1:9" x14ac:dyDescent="0.25">
      <c r="A182" t="s">
        <v>71</v>
      </c>
      <c r="B182" t="s">
        <v>100</v>
      </c>
      <c r="C182" t="s">
        <v>762</v>
      </c>
      <c r="D182" s="1">
        <v>45140</v>
      </c>
      <c r="E182" t="s">
        <v>766</v>
      </c>
      <c r="F182">
        <v>-18.190000000000001</v>
      </c>
      <c r="G182" t="s">
        <v>70</v>
      </c>
      <c r="H182" t="s">
        <v>71</v>
      </c>
      <c r="I182" t="s">
        <v>72</v>
      </c>
    </row>
    <row r="183" spans="1:9" x14ac:dyDescent="0.25">
      <c r="A183" t="s">
        <v>71</v>
      </c>
      <c r="B183" t="s">
        <v>100</v>
      </c>
      <c r="C183" t="s">
        <v>762</v>
      </c>
      <c r="D183" s="1">
        <v>45140</v>
      </c>
      <c r="E183" t="s">
        <v>772</v>
      </c>
      <c r="F183">
        <v>-215.11</v>
      </c>
      <c r="G183" t="s">
        <v>70</v>
      </c>
      <c r="H183" t="s">
        <v>71</v>
      </c>
      <c r="I183" t="s">
        <v>72</v>
      </c>
    </row>
    <row r="184" spans="1:9" x14ac:dyDescent="0.25">
      <c r="A184" t="s">
        <v>71</v>
      </c>
      <c r="B184" t="s">
        <v>100</v>
      </c>
      <c r="C184" t="s">
        <v>762</v>
      </c>
      <c r="D184" s="1">
        <v>45140</v>
      </c>
      <c r="E184" t="s">
        <v>10</v>
      </c>
      <c r="F184">
        <v>73.540000000000006</v>
      </c>
      <c r="G184" t="s">
        <v>70</v>
      </c>
      <c r="H184" t="s">
        <v>71</v>
      </c>
      <c r="I184" t="s">
        <v>72</v>
      </c>
    </row>
    <row r="185" spans="1:9" x14ac:dyDescent="0.25">
      <c r="A185" t="s">
        <v>71</v>
      </c>
      <c r="B185" t="s">
        <v>100</v>
      </c>
      <c r="C185" t="s">
        <v>762</v>
      </c>
      <c r="D185" s="1">
        <v>45142</v>
      </c>
      <c r="E185" t="s">
        <v>16</v>
      </c>
      <c r="F185">
        <v>11.88</v>
      </c>
      <c r="G185" t="s">
        <v>70</v>
      </c>
      <c r="H185" t="s">
        <v>71</v>
      </c>
      <c r="I185" t="s">
        <v>72</v>
      </c>
    </row>
    <row r="186" spans="1:9" x14ac:dyDescent="0.25">
      <c r="A186" t="s">
        <v>71</v>
      </c>
      <c r="B186" t="s">
        <v>100</v>
      </c>
      <c r="C186" t="s">
        <v>762</v>
      </c>
      <c r="D186" s="1">
        <v>45142</v>
      </c>
      <c r="E186" t="s">
        <v>8</v>
      </c>
      <c r="F186">
        <v>10.26</v>
      </c>
      <c r="G186" t="s">
        <v>70</v>
      </c>
      <c r="H186" t="s">
        <v>71</v>
      </c>
      <c r="I186" t="s">
        <v>72</v>
      </c>
    </row>
    <row r="187" spans="1:9" x14ac:dyDescent="0.25">
      <c r="A187" t="s">
        <v>71</v>
      </c>
      <c r="B187" t="s">
        <v>100</v>
      </c>
      <c r="C187" t="s">
        <v>762</v>
      </c>
      <c r="D187" s="1">
        <v>45142</v>
      </c>
      <c r="E187" t="s">
        <v>9</v>
      </c>
      <c r="F187">
        <v>22.96</v>
      </c>
      <c r="G187" t="s">
        <v>70</v>
      </c>
      <c r="H187" t="s">
        <v>71</v>
      </c>
      <c r="I187" t="s">
        <v>72</v>
      </c>
    </row>
    <row r="188" spans="1:9" x14ac:dyDescent="0.25">
      <c r="A188" t="s">
        <v>71</v>
      </c>
      <c r="B188" t="s">
        <v>100</v>
      </c>
      <c r="C188" t="s">
        <v>762</v>
      </c>
      <c r="D188" s="1">
        <v>45142</v>
      </c>
      <c r="E188" t="s">
        <v>766</v>
      </c>
      <c r="F188">
        <v>-3.72</v>
      </c>
      <c r="G188" t="s">
        <v>70</v>
      </c>
      <c r="H188" t="s">
        <v>71</v>
      </c>
      <c r="I188" t="s">
        <v>72</v>
      </c>
    </row>
    <row r="189" spans="1:9" x14ac:dyDescent="0.25">
      <c r="A189" t="s">
        <v>71</v>
      </c>
      <c r="B189" t="s">
        <v>100</v>
      </c>
      <c r="C189" t="s">
        <v>762</v>
      </c>
      <c r="D189" s="1">
        <v>45142</v>
      </c>
      <c r="E189" t="s">
        <v>772</v>
      </c>
      <c r="F189">
        <v>-68.36</v>
      </c>
      <c r="G189" t="s">
        <v>70</v>
      </c>
      <c r="H189" t="s">
        <v>71</v>
      </c>
      <c r="I189" t="s">
        <v>72</v>
      </c>
    </row>
    <row r="190" spans="1:9" x14ac:dyDescent="0.25">
      <c r="A190" t="s">
        <v>71</v>
      </c>
      <c r="B190" t="s">
        <v>100</v>
      </c>
      <c r="C190" t="s">
        <v>762</v>
      </c>
      <c r="D190" s="1">
        <v>45144</v>
      </c>
      <c r="E190" t="s">
        <v>766</v>
      </c>
      <c r="F190">
        <v>-91.49</v>
      </c>
      <c r="G190" t="s">
        <v>70</v>
      </c>
      <c r="H190" t="s">
        <v>71</v>
      </c>
      <c r="I190" t="s">
        <v>72</v>
      </c>
    </row>
    <row r="191" spans="1:9" x14ac:dyDescent="0.25">
      <c r="A191" t="s">
        <v>71</v>
      </c>
      <c r="B191" t="s">
        <v>100</v>
      </c>
      <c r="C191" t="s">
        <v>762</v>
      </c>
      <c r="D191" s="1">
        <v>45144</v>
      </c>
      <c r="E191" t="s">
        <v>11</v>
      </c>
      <c r="F191">
        <v>53</v>
      </c>
      <c r="G191" t="s">
        <v>70</v>
      </c>
      <c r="H191" t="s">
        <v>71</v>
      </c>
      <c r="I191" t="s">
        <v>72</v>
      </c>
    </row>
    <row r="192" spans="1:9" x14ac:dyDescent="0.25">
      <c r="A192" t="s">
        <v>71</v>
      </c>
      <c r="B192" t="s">
        <v>100</v>
      </c>
      <c r="C192" t="s">
        <v>762</v>
      </c>
      <c r="D192" s="1">
        <v>45144</v>
      </c>
      <c r="E192" t="s">
        <v>12</v>
      </c>
      <c r="F192">
        <v>14.03</v>
      </c>
      <c r="G192" t="s">
        <v>70</v>
      </c>
      <c r="H192" t="s">
        <v>71</v>
      </c>
      <c r="I192" t="s">
        <v>72</v>
      </c>
    </row>
    <row r="193" spans="1:9" x14ac:dyDescent="0.25">
      <c r="A193" t="s">
        <v>71</v>
      </c>
      <c r="B193" t="s">
        <v>100</v>
      </c>
      <c r="C193" t="s">
        <v>762</v>
      </c>
      <c r="D193" s="1">
        <v>45146</v>
      </c>
      <c r="E193" t="s">
        <v>768</v>
      </c>
      <c r="F193">
        <v>-149.15</v>
      </c>
      <c r="G193" t="s">
        <v>68</v>
      </c>
      <c r="H193" t="s">
        <v>69</v>
      </c>
      <c r="I193" t="s">
        <v>69</v>
      </c>
    </row>
    <row r="194" spans="1:9" x14ac:dyDescent="0.25">
      <c r="A194" t="s">
        <v>71</v>
      </c>
      <c r="B194" t="s">
        <v>100</v>
      </c>
      <c r="C194" t="s">
        <v>762</v>
      </c>
      <c r="D194" s="1">
        <v>45148</v>
      </c>
      <c r="E194" t="s">
        <v>10</v>
      </c>
      <c r="F194">
        <v>57.16</v>
      </c>
      <c r="G194" t="s">
        <v>70</v>
      </c>
      <c r="H194" t="s">
        <v>71</v>
      </c>
      <c r="I194" t="s">
        <v>72</v>
      </c>
    </row>
    <row r="195" spans="1:9" x14ac:dyDescent="0.25">
      <c r="A195" t="s">
        <v>71</v>
      </c>
      <c r="B195" t="s">
        <v>100</v>
      </c>
      <c r="C195" t="s">
        <v>762</v>
      </c>
      <c r="D195" s="1">
        <v>45149</v>
      </c>
      <c r="E195" t="s">
        <v>766</v>
      </c>
      <c r="F195">
        <v>-61.81</v>
      </c>
      <c r="G195" t="s">
        <v>70</v>
      </c>
      <c r="H195" t="s">
        <v>71</v>
      </c>
      <c r="I195" t="s">
        <v>72</v>
      </c>
    </row>
    <row r="196" spans="1:9" x14ac:dyDescent="0.25">
      <c r="A196" t="s">
        <v>71</v>
      </c>
      <c r="B196" t="s">
        <v>100</v>
      </c>
      <c r="C196" t="s">
        <v>762</v>
      </c>
      <c r="D196" s="1">
        <v>45151</v>
      </c>
      <c r="E196" t="s">
        <v>14</v>
      </c>
      <c r="F196">
        <v>4.6100000000000003</v>
      </c>
      <c r="G196" t="s">
        <v>70</v>
      </c>
      <c r="H196" t="s">
        <v>71</v>
      </c>
      <c r="I196" t="s">
        <v>72</v>
      </c>
    </row>
    <row r="197" spans="1:9" x14ac:dyDescent="0.25">
      <c r="A197" t="s">
        <v>71</v>
      </c>
      <c r="B197" t="s">
        <v>100</v>
      </c>
      <c r="C197" t="s">
        <v>762</v>
      </c>
      <c r="D197" s="1">
        <v>45151</v>
      </c>
      <c r="E197" t="s">
        <v>24</v>
      </c>
      <c r="F197">
        <v>4.5</v>
      </c>
      <c r="G197" t="s">
        <v>70</v>
      </c>
      <c r="H197" t="s">
        <v>71</v>
      </c>
      <c r="I197" t="s">
        <v>72</v>
      </c>
    </row>
    <row r="198" spans="1:9" x14ac:dyDescent="0.25">
      <c r="A198" t="s">
        <v>71</v>
      </c>
      <c r="B198" t="s">
        <v>100</v>
      </c>
      <c r="C198" t="s">
        <v>762</v>
      </c>
      <c r="D198" s="1">
        <v>45151</v>
      </c>
      <c r="E198" t="s">
        <v>766</v>
      </c>
      <c r="F198">
        <v>-12.9</v>
      </c>
      <c r="G198" t="s">
        <v>70</v>
      </c>
      <c r="H198" t="s">
        <v>71</v>
      </c>
      <c r="I198" t="s">
        <v>72</v>
      </c>
    </row>
    <row r="199" spans="1:9" x14ac:dyDescent="0.25">
      <c r="A199" t="s">
        <v>71</v>
      </c>
      <c r="B199" t="s">
        <v>100</v>
      </c>
      <c r="C199" t="s">
        <v>762</v>
      </c>
      <c r="D199" s="1">
        <v>45152</v>
      </c>
      <c r="E199" t="s">
        <v>766</v>
      </c>
      <c r="F199">
        <v>-50.8</v>
      </c>
      <c r="G199" t="s">
        <v>70</v>
      </c>
      <c r="H199" t="s">
        <v>71</v>
      </c>
      <c r="I199" t="s">
        <v>72</v>
      </c>
    </row>
    <row r="200" spans="1:9" x14ac:dyDescent="0.25">
      <c r="A200" t="s">
        <v>71</v>
      </c>
      <c r="B200" t="s">
        <v>100</v>
      </c>
      <c r="C200" t="s">
        <v>762</v>
      </c>
      <c r="D200" s="1">
        <v>45154</v>
      </c>
      <c r="E200" t="s">
        <v>38</v>
      </c>
      <c r="F200">
        <v>1217.69</v>
      </c>
      <c r="G200" t="s">
        <v>73</v>
      </c>
      <c r="H200" t="s">
        <v>74</v>
      </c>
      <c r="I200" t="s">
        <v>75</v>
      </c>
    </row>
    <row r="201" spans="1:9" x14ac:dyDescent="0.25">
      <c r="A201" t="s">
        <v>71</v>
      </c>
      <c r="B201" t="s">
        <v>100</v>
      </c>
      <c r="C201" t="s">
        <v>762</v>
      </c>
      <c r="D201" s="1">
        <v>45154</v>
      </c>
      <c r="E201" t="s">
        <v>766</v>
      </c>
      <c r="F201">
        <v>-4.5199999999999996</v>
      </c>
      <c r="G201" t="s">
        <v>70</v>
      </c>
      <c r="H201" t="s">
        <v>71</v>
      </c>
      <c r="I201" t="s">
        <v>72</v>
      </c>
    </row>
    <row r="202" spans="1:9" x14ac:dyDescent="0.25">
      <c r="A202" t="s">
        <v>71</v>
      </c>
      <c r="B202" t="s">
        <v>100</v>
      </c>
      <c r="C202" t="s">
        <v>762</v>
      </c>
      <c r="D202" s="1">
        <v>45154</v>
      </c>
      <c r="E202" t="s">
        <v>772</v>
      </c>
      <c r="F202">
        <v>-753.85</v>
      </c>
      <c r="G202" t="s">
        <v>70</v>
      </c>
      <c r="H202" t="s">
        <v>71</v>
      </c>
      <c r="I202" t="s">
        <v>72</v>
      </c>
    </row>
    <row r="203" spans="1:9" x14ac:dyDescent="0.25">
      <c r="A203" t="s">
        <v>71</v>
      </c>
      <c r="B203" t="s">
        <v>100</v>
      </c>
      <c r="C203" t="s">
        <v>762</v>
      </c>
      <c r="D203" s="1">
        <v>45155</v>
      </c>
      <c r="F203">
        <v>325.39</v>
      </c>
      <c r="G203" t="s">
        <v>70</v>
      </c>
      <c r="H203" t="s">
        <v>71</v>
      </c>
      <c r="I203" t="s">
        <v>72</v>
      </c>
    </row>
    <row r="204" spans="1:9" x14ac:dyDescent="0.25">
      <c r="A204" t="s">
        <v>71</v>
      </c>
      <c r="B204" t="s">
        <v>100</v>
      </c>
      <c r="C204" t="s">
        <v>762</v>
      </c>
      <c r="D204" s="1">
        <v>45155</v>
      </c>
      <c r="E204" t="s">
        <v>768</v>
      </c>
      <c r="F204">
        <v>-348.98</v>
      </c>
      <c r="G204" t="s">
        <v>68</v>
      </c>
      <c r="H204" t="s">
        <v>69</v>
      </c>
      <c r="I204" t="s">
        <v>69</v>
      </c>
    </row>
    <row r="205" spans="1:9" x14ac:dyDescent="0.25">
      <c r="A205" t="s">
        <v>71</v>
      </c>
      <c r="B205" t="s">
        <v>100</v>
      </c>
      <c r="C205" t="s">
        <v>762</v>
      </c>
      <c r="D205" s="1">
        <v>45156</v>
      </c>
      <c r="E205" t="s">
        <v>39</v>
      </c>
      <c r="F205">
        <v>-19.04</v>
      </c>
      <c r="G205" t="s">
        <v>92</v>
      </c>
      <c r="H205" t="s">
        <v>93</v>
      </c>
      <c r="I205" t="s">
        <v>94</v>
      </c>
    </row>
    <row r="206" spans="1:9" x14ac:dyDescent="0.25">
      <c r="A206" t="s">
        <v>71</v>
      </c>
      <c r="B206" t="s">
        <v>100</v>
      </c>
      <c r="C206" t="s">
        <v>762</v>
      </c>
      <c r="D206" s="1">
        <v>45156</v>
      </c>
      <c r="E206" t="s">
        <v>18</v>
      </c>
      <c r="F206">
        <v>49.53</v>
      </c>
      <c r="G206" t="s">
        <v>70</v>
      </c>
      <c r="H206" t="s">
        <v>71</v>
      </c>
      <c r="I206" t="s">
        <v>72</v>
      </c>
    </row>
    <row r="207" spans="1:9" x14ac:dyDescent="0.25">
      <c r="A207" t="s">
        <v>71</v>
      </c>
      <c r="B207" t="s">
        <v>100</v>
      </c>
      <c r="C207" t="s">
        <v>762</v>
      </c>
      <c r="D207" s="1">
        <v>45156</v>
      </c>
      <c r="E207" t="s">
        <v>20</v>
      </c>
      <c r="F207">
        <v>114.03</v>
      </c>
      <c r="G207" t="s">
        <v>70</v>
      </c>
      <c r="H207" t="s">
        <v>71</v>
      </c>
      <c r="I207" t="s">
        <v>72</v>
      </c>
    </row>
    <row r="208" spans="1:9" x14ac:dyDescent="0.25">
      <c r="A208" t="s">
        <v>71</v>
      </c>
      <c r="B208" t="s">
        <v>100</v>
      </c>
      <c r="C208" t="s">
        <v>762</v>
      </c>
      <c r="D208" s="1">
        <v>45156</v>
      </c>
      <c r="E208" t="s">
        <v>19</v>
      </c>
      <c r="F208">
        <v>42.45</v>
      </c>
      <c r="G208" t="s">
        <v>70</v>
      </c>
      <c r="H208" t="s">
        <v>71</v>
      </c>
      <c r="I208" t="s">
        <v>72</v>
      </c>
    </row>
    <row r="209" spans="1:9" x14ac:dyDescent="0.25">
      <c r="A209" t="s">
        <v>71</v>
      </c>
      <c r="B209" t="s">
        <v>100</v>
      </c>
      <c r="C209" t="s">
        <v>762</v>
      </c>
      <c r="D209" s="1">
        <v>45156</v>
      </c>
      <c r="E209" t="s">
        <v>40</v>
      </c>
      <c r="F209">
        <v>104.85</v>
      </c>
      <c r="G209" t="s">
        <v>79</v>
      </c>
      <c r="H209" t="s">
        <v>95</v>
      </c>
      <c r="I209" t="s">
        <v>95</v>
      </c>
    </row>
    <row r="210" spans="1:9" x14ac:dyDescent="0.25">
      <c r="A210" t="s">
        <v>71</v>
      </c>
      <c r="B210" t="s">
        <v>100</v>
      </c>
      <c r="C210" t="s">
        <v>762</v>
      </c>
      <c r="D210" s="1">
        <v>45158</v>
      </c>
      <c r="E210" t="s">
        <v>21</v>
      </c>
      <c r="F210">
        <v>85.65</v>
      </c>
      <c r="G210" t="s">
        <v>70</v>
      </c>
      <c r="H210" t="s">
        <v>71</v>
      </c>
      <c r="I210" t="s">
        <v>72</v>
      </c>
    </row>
    <row r="211" spans="1:9" x14ac:dyDescent="0.25">
      <c r="A211" t="s">
        <v>71</v>
      </c>
      <c r="B211" t="s">
        <v>100</v>
      </c>
      <c r="C211" t="s">
        <v>762</v>
      </c>
      <c r="D211" s="1">
        <v>45158</v>
      </c>
      <c r="E211" t="s">
        <v>772</v>
      </c>
      <c r="F211">
        <v>-356.88</v>
      </c>
      <c r="G211" t="s">
        <v>70</v>
      </c>
      <c r="H211" t="s">
        <v>71</v>
      </c>
      <c r="I211" t="s">
        <v>72</v>
      </c>
    </row>
    <row r="212" spans="1:9" x14ac:dyDescent="0.25">
      <c r="A212" t="s">
        <v>71</v>
      </c>
      <c r="B212" t="s">
        <v>100</v>
      </c>
      <c r="C212" t="s">
        <v>762</v>
      </c>
      <c r="D212" s="1">
        <v>45160</v>
      </c>
      <c r="E212" t="s">
        <v>768</v>
      </c>
      <c r="F212">
        <v>-149.19</v>
      </c>
      <c r="G212" t="s">
        <v>68</v>
      </c>
      <c r="H212" t="s">
        <v>69</v>
      </c>
      <c r="I212" t="s">
        <v>69</v>
      </c>
    </row>
    <row r="213" spans="1:9" x14ac:dyDescent="0.25">
      <c r="A213" t="s">
        <v>71</v>
      </c>
      <c r="B213" t="s">
        <v>100</v>
      </c>
      <c r="C213" t="s">
        <v>762</v>
      </c>
      <c r="D213" s="1">
        <v>45161</v>
      </c>
      <c r="E213" t="s">
        <v>41</v>
      </c>
      <c r="F213">
        <v>-0.82</v>
      </c>
      <c r="G213" t="s">
        <v>70</v>
      </c>
      <c r="H213" t="s">
        <v>71</v>
      </c>
      <c r="I213" t="s">
        <v>72</v>
      </c>
    </row>
    <row r="214" spans="1:9" x14ac:dyDescent="0.25">
      <c r="A214" t="s">
        <v>71</v>
      </c>
      <c r="B214" t="s">
        <v>100</v>
      </c>
      <c r="C214" t="s">
        <v>762</v>
      </c>
      <c r="D214" s="1">
        <v>45162</v>
      </c>
      <c r="E214" t="s">
        <v>23</v>
      </c>
      <c r="F214">
        <v>15.94</v>
      </c>
      <c r="G214" t="s">
        <v>70</v>
      </c>
      <c r="H214" t="s">
        <v>71</v>
      </c>
      <c r="I214" t="s">
        <v>72</v>
      </c>
    </row>
    <row r="215" spans="1:9" x14ac:dyDescent="0.25">
      <c r="A215" t="s">
        <v>71</v>
      </c>
      <c r="B215" t="s">
        <v>100</v>
      </c>
      <c r="C215" t="s">
        <v>762</v>
      </c>
      <c r="D215" s="1">
        <v>45162</v>
      </c>
      <c r="E215" t="s">
        <v>41</v>
      </c>
      <c r="F215">
        <v>-7.58</v>
      </c>
      <c r="G215" t="s">
        <v>70</v>
      </c>
      <c r="H215" t="s">
        <v>71</v>
      </c>
      <c r="I215" t="s">
        <v>72</v>
      </c>
    </row>
    <row r="216" spans="1:9" x14ac:dyDescent="0.25">
      <c r="A216" t="s">
        <v>71</v>
      </c>
      <c r="B216" t="s">
        <v>100</v>
      </c>
      <c r="C216" t="s">
        <v>762</v>
      </c>
      <c r="D216" s="1">
        <v>45163</v>
      </c>
      <c r="E216" t="s">
        <v>41</v>
      </c>
      <c r="F216">
        <v>-2.62</v>
      </c>
      <c r="G216" t="s">
        <v>70</v>
      </c>
      <c r="H216" t="s">
        <v>71</v>
      </c>
      <c r="I216" t="s">
        <v>72</v>
      </c>
    </row>
    <row r="217" spans="1:9" x14ac:dyDescent="0.25">
      <c r="A217" t="s">
        <v>71</v>
      </c>
      <c r="B217" t="s">
        <v>100</v>
      </c>
      <c r="C217" t="s">
        <v>762</v>
      </c>
      <c r="D217" s="1">
        <v>45163</v>
      </c>
      <c r="E217" t="s">
        <v>41</v>
      </c>
      <c r="F217">
        <v>-17.93</v>
      </c>
      <c r="G217" t="s">
        <v>70</v>
      </c>
      <c r="H217" t="s">
        <v>71</v>
      </c>
      <c r="I217" t="s">
        <v>72</v>
      </c>
    </row>
    <row r="218" spans="1:9" x14ac:dyDescent="0.25">
      <c r="A218" t="s">
        <v>71</v>
      </c>
      <c r="B218" t="s">
        <v>100</v>
      </c>
      <c r="C218" t="s">
        <v>762</v>
      </c>
      <c r="D218" s="1">
        <v>45164</v>
      </c>
      <c r="E218" t="s">
        <v>41</v>
      </c>
      <c r="F218">
        <v>-170.04</v>
      </c>
      <c r="G218" t="s">
        <v>70</v>
      </c>
      <c r="H218" t="s">
        <v>71</v>
      </c>
      <c r="I218" t="s">
        <v>72</v>
      </c>
    </row>
    <row r="219" spans="1:9" x14ac:dyDescent="0.25">
      <c r="A219" t="s">
        <v>71</v>
      </c>
      <c r="B219" t="s">
        <v>100</v>
      </c>
      <c r="C219" t="s">
        <v>762</v>
      </c>
      <c r="D219" s="1">
        <v>45164</v>
      </c>
      <c r="E219" t="s">
        <v>41</v>
      </c>
      <c r="F219">
        <v>-9.18</v>
      </c>
      <c r="G219" t="s">
        <v>70</v>
      </c>
      <c r="H219" t="s">
        <v>71</v>
      </c>
      <c r="I219" t="s">
        <v>72</v>
      </c>
    </row>
    <row r="220" spans="1:9" x14ac:dyDescent="0.25">
      <c r="A220" t="s">
        <v>71</v>
      </c>
      <c r="B220" t="s">
        <v>100</v>
      </c>
      <c r="C220" t="s">
        <v>762</v>
      </c>
      <c r="D220" s="1">
        <v>45164</v>
      </c>
      <c r="F220">
        <v>114.67</v>
      </c>
      <c r="G220" t="s">
        <v>70</v>
      </c>
      <c r="H220" t="s">
        <v>71</v>
      </c>
      <c r="I220" t="s">
        <v>72</v>
      </c>
    </row>
    <row r="221" spans="1:9" x14ac:dyDescent="0.25">
      <c r="A221" t="s">
        <v>71</v>
      </c>
      <c r="B221" t="s">
        <v>100</v>
      </c>
      <c r="C221" t="s">
        <v>762</v>
      </c>
      <c r="D221" s="1">
        <v>45165</v>
      </c>
      <c r="E221" t="s">
        <v>41</v>
      </c>
      <c r="F221">
        <v>-71.78</v>
      </c>
      <c r="G221" t="s">
        <v>70</v>
      </c>
      <c r="H221" t="s">
        <v>71</v>
      </c>
      <c r="I221" t="s">
        <v>72</v>
      </c>
    </row>
    <row r="222" spans="1:9" x14ac:dyDescent="0.25">
      <c r="A222" t="s">
        <v>71</v>
      </c>
      <c r="B222" t="s">
        <v>100</v>
      </c>
      <c r="C222" t="s">
        <v>762</v>
      </c>
      <c r="D222" s="1">
        <v>45168</v>
      </c>
      <c r="E222" t="s">
        <v>42</v>
      </c>
      <c r="F222">
        <v>1532.45</v>
      </c>
      <c r="G222" t="s">
        <v>73</v>
      </c>
      <c r="H222" t="s">
        <v>74</v>
      </c>
      <c r="I222" t="s">
        <v>75</v>
      </c>
    </row>
    <row r="223" spans="1:9" x14ac:dyDescent="0.25">
      <c r="A223" t="s">
        <v>71</v>
      </c>
      <c r="B223" t="s">
        <v>100</v>
      </c>
      <c r="C223" t="s">
        <v>762</v>
      </c>
      <c r="D223" s="1">
        <v>45168</v>
      </c>
      <c r="E223" t="s">
        <v>41</v>
      </c>
      <c r="F223">
        <v>-238.95</v>
      </c>
      <c r="G223" t="s">
        <v>70</v>
      </c>
      <c r="H223" t="s">
        <v>71</v>
      </c>
      <c r="I223" t="s">
        <v>72</v>
      </c>
    </row>
    <row r="224" spans="1:9" x14ac:dyDescent="0.25">
      <c r="A224" t="s">
        <v>71</v>
      </c>
      <c r="B224" t="s">
        <v>100</v>
      </c>
      <c r="C224" t="s">
        <v>762</v>
      </c>
      <c r="D224" s="1">
        <v>45168</v>
      </c>
      <c r="E224" t="s">
        <v>768</v>
      </c>
      <c r="F224">
        <v>-187.52</v>
      </c>
      <c r="G224" t="s">
        <v>68</v>
      </c>
      <c r="H224" t="s">
        <v>69</v>
      </c>
      <c r="I224" t="s">
        <v>69</v>
      </c>
    </row>
    <row r="225" spans="1:9" x14ac:dyDescent="0.25">
      <c r="A225" t="s">
        <v>71</v>
      </c>
      <c r="B225" t="s">
        <v>100</v>
      </c>
      <c r="C225" t="s">
        <v>762</v>
      </c>
      <c r="D225" s="1">
        <v>45168</v>
      </c>
      <c r="E225" t="s">
        <v>772</v>
      </c>
      <c r="F225">
        <v>-282.23</v>
      </c>
      <c r="G225" t="s">
        <v>70</v>
      </c>
      <c r="H225" t="s">
        <v>71</v>
      </c>
      <c r="I225" t="s">
        <v>72</v>
      </c>
    </row>
    <row r="226" spans="1:9" x14ac:dyDescent="0.25">
      <c r="A226" t="s">
        <v>71</v>
      </c>
      <c r="B226" t="s">
        <v>100</v>
      </c>
      <c r="C226" t="s">
        <v>762</v>
      </c>
      <c r="D226" s="1">
        <v>45168</v>
      </c>
      <c r="E226" t="s">
        <v>772</v>
      </c>
      <c r="F226">
        <v>-525.13</v>
      </c>
      <c r="G226" t="s">
        <v>70</v>
      </c>
      <c r="H226" t="s">
        <v>71</v>
      </c>
      <c r="I226" t="s">
        <v>72</v>
      </c>
    </row>
    <row r="227" spans="1:9" x14ac:dyDescent="0.25">
      <c r="A227" t="s">
        <v>71</v>
      </c>
      <c r="B227" t="s">
        <v>100</v>
      </c>
      <c r="C227" t="s">
        <v>762</v>
      </c>
      <c r="D227" s="1">
        <v>45170</v>
      </c>
      <c r="E227" t="s">
        <v>41</v>
      </c>
      <c r="F227">
        <v>-3.93</v>
      </c>
      <c r="G227" t="s">
        <v>70</v>
      </c>
      <c r="H227" t="s">
        <v>71</v>
      </c>
      <c r="I227" t="s">
        <v>72</v>
      </c>
    </row>
    <row r="228" spans="1:9" x14ac:dyDescent="0.25">
      <c r="A228" t="s">
        <v>71</v>
      </c>
      <c r="B228" t="s">
        <v>100</v>
      </c>
      <c r="C228" t="s">
        <v>762</v>
      </c>
      <c r="D228" s="1">
        <v>45170</v>
      </c>
      <c r="E228" t="s">
        <v>16</v>
      </c>
      <c r="F228">
        <v>6.18</v>
      </c>
      <c r="G228" t="s">
        <v>70</v>
      </c>
      <c r="H228" t="s">
        <v>71</v>
      </c>
      <c r="I228" t="s">
        <v>72</v>
      </c>
    </row>
    <row r="229" spans="1:9" x14ac:dyDescent="0.25">
      <c r="A229" t="s">
        <v>71</v>
      </c>
      <c r="B229" t="s">
        <v>100</v>
      </c>
      <c r="C229" t="s">
        <v>762</v>
      </c>
      <c r="D229" s="1">
        <v>45171</v>
      </c>
      <c r="E229" t="s">
        <v>41</v>
      </c>
      <c r="F229">
        <v>-50.3</v>
      </c>
      <c r="G229" t="s">
        <v>70</v>
      </c>
      <c r="H229" t="s">
        <v>71</v>
      </c>
      <c r="I229" t="s">
        <v>72</v>
      </c>
    </row>
    <row r="230" spans="1:9" x14ac:dyDescent="0.25">
      <c r="A230" t="s">
        <v>71</v>
      </c>
      <c r="B230" t="s">
        <v>100</v>
      </c>
      <c r="C230" t="s">
        <v>762</v>
      </c>
      <c r="D230" s="1">
        <v>45172</v>
      </c>
      <c r="E230" t="s">
        <v>41</v>
      </c>
      <c r="F230">
        <v>-21.59</v>
      </c>
      <c r="G230" t="s">
        <v>70</v>
      </c>
      <c r="H230" t="s">
        <v>71</v>
      </c>
      <c r="I230" t="s">
        <v>72</v>
      </c>
    </row>
    <row r="231" spans="1:9" x14ac:dyDescent="0.25">
      <c r="A231" t="s">
        <v>71</v>
      </c>
      <c r="B231" t="s">
        <v>100</v>
      </c>
      <c r="C231" t="s">
        <v>762</v>
      </c>
      <c r="D231" s="1">
        <v>45173</v>
      </c>
      <c r="E231" t="s">
        <v>8</v>
      </c>
      <c r="F231">
        <v>28.86</v>
      </c>
      <c r="G231" t="s">
        <v>70</v>
      </c>
      <c r="H231" t="s">
        <v>71</v>
      </c>
      <c r="I231" t="s">
        <v>72</v>
      </c>
    </row>
    <row r="232" spans="1:9" x14ac:dyDescent="0.25">
      <c r="A232" t="s">
        <v>71</v>
      </c>
      <c r="B232" t="s">
        <v>100</v>
      </c>
      <c r="C232" t="s">
        <v>762</v>
      </c>
      <c r="D232" s="1">
        <v>45173</v>
      </c>
      <c r="E232" t="s">
        <v>9</v>
      </c>
      <c r="F232">
        <v>12.23</v>
      </c>
      <c r="G232" t="s">
        <v>70</v>
      </c>
      <c r="H232" t="s">
        <v>71</v>
      </c>
      <c r="I232" t="s">
        <v>72</v>
      </c>
    </row>
    <row r="233" spans="1:9" x14ac:dyDescent="0.25">
      <c r="A233" t="s">
        <v>71</v>
      </c>
      <c r="B233" t="s">
        <v>100</v>
      </c>
      <c r="C233" t="s">
        <v>762</v>
      </c>
      <c r="D233" s="1">
        <v>45175</v>
      </c>
      <c r="E233" t="s">
        <v>11</v>
      </c>
      <c r="F233">
        <v>86.58</v>
      </c>
      <c r="G233" t="s">
        <v>70</v>
      </c>
      <c r="H233" t="s">
        <v>71</v>
      </c>
      <c r="I233" t="s">
        <v>72</v>
      </c>
    </row>
    <row r="234" spans="1:9" x14ac:dyDescent="0.25">
      <c r="A234" t="s">
        <v>71</v>
      </c>
      <c r="B234" t="s">
        <v>100</v>
      </c>
      <c r="C234" t="s">
        <v>762</v>
      </c>
      <c r="D234" s="1">
        <v>45175</v>
      </c>
      <c r="E234" t="s">
        <v>12</v>
      </c>
      <c r="F234">
        <v>2.46</v>
      </c>
      <c r="G234" t="s">
        <v>70</v>
      </c>
      <c r="H234" t="s">
        <v>71</v>
      </c>
      <c r="I234" t="s">
        <v>72</v>
      </c>
    </row>
    <row r="235" spans="1:9" x14ac:dyDescent="0.25">
      <c r="A235" t="s">
        <v>71</v>
      </c>
      <c r="B235" t="s">
        <v>100</v>
      </c>
      <c r="C235" t="s">
        <v>762</v>
      </c>
      <c r="D235" s="1">
        <v>45175</v>
      </c>
      <c r="E235" t="s">
        <v>41</v>
      </c>
      <c r="F235">
        <v>-132.9</v>
      </c>
      <c r="G235" t="s">
        <v>70</v>
      </c>
      <c r="H235" t="s">
        <v>71</v>
      </c>
      <c r="I235" t="s">
        <v>72</v>
      </c>
    </row>
    <row r="236" spans="1:9" x14ac:dyDescent="0.25">
      <c r="A236" t="s">
        <v>71</v>
      </c>
      <c r="B236" t="s">
        <v>100</v>
      </c>
      <c r="C236" t="s">
        <v>762</v>
      </c>
      <c r="D236" s="1">
        <v>45175</v>
      </c>
      <c r="E236" t="s">
        <v>41</v>
      </c>
      <c r="F236">
        <v>-23.78</v>
      </c>
      <c r="G236" t="s">
        <v>70</v>
      </c>
      <c r="H236" t="s">
        <v>71</v>
      </c>
      <c r="I236" t="s">
        <v>72</v>
      </c>
    </row>
    <row r="237" spans="1:9" x14ac:dyDescent="0.25">
      <c r="A237" t="s">
        <v>71</v>
      </c>
      <c r="B237" t="s">
        <v>100</v>
      </c>
      <c r="C237" t="s">
        <v>762</v>
      </c>
      <c r="D237" s="1">
        <v>45176</v>
      </c>
      <c r="E237" t="s">
        <v>41</v>
      </c>
      <c r="F237">
        <v>-3.93</v>
      </c>
      <c r="G237" t="s">
        <v>70</v>
      </c>
      <c r="H237" t="s">
        <v>71</v>
      </c>
      <c r="I237" t="s">
        <v>72</v>
      </c>
    </row>
    <row r="238" spans="1:9" x14ac:dyDescent="0.25">
      <c r="A238" t="s">
        <v>71</v>
      </c>
      <c r="B238" t="s">
        <v>100</v>
      </c>
      <c r="C238" t="s">
        <v>762</v>
      </c>
      <c r="D238" s="1">
        <v>45176</v>
      </c>
      <c r="F238">
        <v>197.79</v>
      </c>
      <c r="G238" t="s">
        <v>70</v>
      </c>
      <c r="H238" t="s">
        <v>71</v>
      </c>
      <c r="I238" t="s">
        <v>72</v>
      </c>
    </row>
    <row r="239" spans="1:9" x14ac:dyDescent="0.25">
      <c r="A239" t="s">
        <v>71</v>
      </c>
      <c r="B239" t="s">
        <v>100</v>
      </c>
      <c r="C239" t="s">
        <v>762</v>
      </c>
      <c r="D239" s="1">
        <v>45176</v>
      </c>
      <c r="E239" t="s">
        <v>10</v>
      </c>
      <c r="F239">
        <v>395.48</v>
      </c>
      <c r="G239" t="s">
        <v>70</v>
      </c>
      <c r="H239" t="s">
        <v>71</v>
      </c>
      <c r="I239" t="s">
        <v>72</v>
      </c>
    </row>
    <row r="240" spans="1:9" x14ac:dyDescent="0.25">
      <c r="A240" t="s">
        <v>71</v>
      </c>
      <c r="B240" t="s">
        <v>100</v>
      </c>
      <c r="C240" t="s">
        <v>762</v>
      </c>
      <c r="D240" s="1">
        <v>45176</v>
      </c>
      <c r="E240" t="s">
        <v>41</v>
      </c>
      <c r="F240">
        <v>-306.82</v>
      </c>
      <c r="G240" t="s">
        <v>70</v>
      </c>
      <c r="H240" t="s">
        <v>71</v>
      </c>
      <c r="I240" t="s">
        <v>72</v>
      </c>
    </row>
    <row r="241" spans="1:9" x14ac:dyDescent="0.25">
      <c r="A241" t="s">
        <v>71</v>
      </c>
      <c r="B241" t="s">
        <v>100</v>
      </c>
      <c r="C241" t="s">
        <v>762</v>
      </c>
      <c r="D241" s="1">
        <v>45177</v>
      </c>
      <c r="E241" t="s">
        <v>41</v>
      </c>
      <c r="F241">
        <v>-153.1</v>
      </c>
      <c r="G241" t="s">
        <v>70</v>
      </c>
      <c r="H241" t="s">
        <v>71</v>
      </c>
      <c r="I241" t="s">
        <v>72</v>
      </c>
    </row>
    <row r="242" spans="1:9" x14ac:dyDescent="0.25">
      <c r="A242" t="s">
        <v>71</v>
      </c>
      <c r="B242" t="s">
        <v>100</v>
      </c>
      <c r="C242" t="s">
        <v>762</v>
      </c>
      <c r="D242" s="1">
        <v>45177</v>
      </c>
      <c r="E242" t="s">
        <v>41</v>
      </c>
      <c r="F242">
        <v>-0.03</v>
      </c>
      <c r="G242" t="s">
        <v>70</v>
      </c>
      <c r="H242" t="s">
        <v>71</v>
      </c>
      <c r="I242" t="s">
        <v>72</v>
      </c>
    </row>
    <row r="243" spans="1:9" x14ac:dyDescent="0.25">
      <c r="A243" t="s">
        <v>71</v>
      </c>
      <c r="B243" t="s">
        <v>100</v>
      </c>
      <c r="C243" t="s">
        <v>762</v>
      </c>
      <c r="D243" s="1">
        <v>45179</v>
      </c>
      <c r="E243" t="s">
        <v>24</v>
      </c>
      <c r="F243">
        <v>0.7</v>
      </c>
      <c r="G243" t="s">
        <v>70</v>
      </c>
      <c r="H243" t="s">
        <v>71</v>
      </c>
      <c r="I243" t="s">
        <v>72</v>
      </c>
    </row>
    <row r="244" spans="1:9" x14ac:dyDescent="0.25">
      <c r="A244" t="s">
        <v>71</v>
      </c>
      <c r="B244" t="s">
        <v>100</v>
      </c>
      <c r="C244" t="s">
        <v>762</v>
      </c>
      <c r="D244" s="1">
        <v>45180</v>
      </c>
      <c r="E244" t="s">
        <v>41</v>
      </c>
      <c r="F244">
        <v>-47.04</v>
      </c>
      <c r="G244" t="s">
        <v>70</v>
      </c>
      <c r="H244" t="s">
        <v>71</v>
      </c>
      <c r="I244" t="s">
        <v>72</v>
      </c>
    </row>
    <row r="245" spans="1:9" x14ac:dyDescent="0.25">
      <c r="A245" t="s">
        <v>71</v>
      </c>
      <c r="B245" t="s">
        <v>100</v>
      </c>
      <c r="C245" t="s">
        <v>762</v>
      </c>
      <c r="D245" s="1">
        <v>45181</v>
      </c>
      <c r="E245" t="s">
        <v>41</v>
      </c>
      <c r="F245">
        <v>-25.42</v>
      </c>
      <c r="G245" t="s">
        <v>70</v>
      </c>
      <c r="H245" t="s">
        <v>71</v>
      </c>
      <c r="I245" t="s">
        <v>72</v>
      </c>
    </row>
    <row r="246" spans="1:9" x14ac:dyDescent="0.25">
      <c r="A246" t="s">
        <v>71</v>
      </c>
      <c r="B246" t="s">
        <v>100</v>
      </c>
      <c r="C246" t="s">
        <v>762</v>
      </c>
      <c r="D246" s="1">
        <v>45182</v>
      </c>
      <c r="E246" t="s">
        <v>14</v>
      </c>
      <c r="F246">
        <v>65.069999999999993</v>
      </c>
      <c r="G246" t="s">
        <v>70</v>
      </c>
      <c r="H246" t="s">
        <v>71</v>
      </c>
      <c r="I246" t="s">
        <v>72</v>
      </c>
    </row>
    <row r="247" spans="1:9" x14ac:dyDescent="0.25">
      <c r="A247" t="s">
        <v>71</v>
      </c>
      <c r="B247" t="s">
        <v>100</v>
      </c>
      <c r="C247" t="s">
        <v>762</v>
      </c>
      <c r="D247" s="1">
        <v>45182</v>
      </c>
      <c r="E247" t="s">
        <v>43</v>
      </c>
      <c r="F247">
        <v>1623.06</v>
      </c>
      <c r="G247" t="s">
        <v>73</v>
      </c>
      <c r="H247" t="s">
        <v>74</v>
      </c>
      <c r="I247" t="s">
        <v>75</v>
      </c>
    </row>
    <row r="248" spans="1:9" x14ac:dyDescent="0.25">
      <c r="A248" t="s">
        <v>71</v>
      </c>
      <c r="B248" t="s">
        <v>100</v>
      </c>
      <c r="C248" t="s">
        <v>762</v>
      </c>
      <c r="D248" s="1">
        <v>45182</v>
      </c>
      <c r="E248" t="s">
        <v>768</v>
      </c>
      <c r="F248">
        <v>-184.52</v>
      </c>
      <c r="G248" t="s">
        <v>68</v>
      </c>
      <c r="H248" t="s">
        <v>69</v>
      </c>
      <c r="I248" t="s">
        <v>69</v>
      </c>
    </row>
    <row r="249" spans="1:9" x14ac:dyDescent="0.25">
      <c r="A249" t="s">
        <v>71</v>
      </c>
      <c r="B249" t="s">
        <v>100</v>
      </c>
      <c r="C249" t="s">
        <v>762</v>
      </c>
      <c r="D249" s="1">
        <v>45182</v>
      </c>
      <c r="E249" t="s">
        <v>772</v>
      </c>
      <c r="F249">
        <v>-751.49</v>
      </c>
      <c r="G249" t="s">
        <v>70</v>
      </c>
      <c r="H249" t="s">
        <v>71</v>
      </c>
      <c r="I249" t="s">
        <v>72</v>
      </c>
    </row>
    <row r="250" spans="1:9" x14ac:dyDescent="0.25">
      <c r="A250" t="s">
        <v>71</v>
      </c>
      <c r="B250" t="s">
        <v>100</v>
      </c>
      <c r="C250" t="s">
        <v>762</v>
      </c>
      <c r="D250" s="1">
        <v>45183</v>
      </c>
      <c r="E250" t="s">
        <v>41</v>
      </c>
      <c r="F250">
        <v>-12.08</v>
      </c>
      <c r="G250" t="s">
        <v>70</v>
      </c>
      <c r="H250" t="s">
        <v>71</v>
      </c>
      <c r="I250" t="s">
        <v>72</v>
      </c>
    </row>
    <row r="251" spans="1:9" x14ac:dyDescent="0.25">
      <c r="A251" t="s">
        <v>71</v>
      </c>
      <c r="B251" t="s">
        <v>100</v>
      </c>
      <c r="C251" t="s">
        <v>762</v>
      </c>
      <c r="D251" s="1">
        <v>45184</v>
      </c>
      <c r="E251" t="s">
        <v>41</v>
      </c>
      <c r="F251">
        <v>-6.84</v>
      </c>
      <c r="G251" t="s">
        <v>70</v>
      </c>
      <c r="H251" t="s">
        <v>71</v>
      </c>
      <c r="I251" t="s">
        <v>72</v>
      </c>
    </row>
    <row r="252" spans="1:9" x14ac:dyDescent="0.25">
      <c r="A252" t="s">
        <v>71</v>
      </c>
      <c r="B252" t="s">
        <v>100</v>
      </c>
      <c r="C252" t="s">
        <v>762</v>
      </c>
      <c r="D252" s="1">
        <v>45184</v>
      </c>
      <c r="E252" t="s">
        <v>772</v>
      </c>
      <c r="F252">
        <v>-28.38</v>
      </c>
      <c r="G252" t="s">
        <v>70</v>
      </c>
      <c r="H252" t="s">
        <v>71</v>
      </c>
      <c r="I252" t="s">
        <v>72</v>
      </c>
    </row>
    <row r="253" spans="1:9" x14ac:dyDescent="0.25">
      <c r="A253" t="s">
        <v>71</v>
      </c>
      <c r="B253" t="s">
        <v>100</v>
      </c>
      <c r="C253" t="s">
        <v>762</v>
      </c>
      <c r="D253" s="1">
        <v>45187</v>
      </c>
      <c r="E253" t="s">
        <v>19</v>
      </c>
      <c r="F253">
        <v>62.11</v>
      </c>
      <c r="G253" t="s">
        <v>70</v>
      </c>
      <c r="H253" t="s">
        <v>71</v>
      </c>
      <c r="I253" t="s">
        <v>72</v>
      </c>
    </row>
    <row r="254" spans="1:9" x14ac:dyDescent="0.25">
      <c r="A254" t="s">
        <v>71</v>
      </c>
      <c r="B254" t="s">
        <v>100</v>
      </c>
      <c r="C254" t="s">
        <v>762</v>
      </c>
      <c r="D254" s="1">
        <v>45187</v>
      </c>
      <c r="E254" t="s">
        <v>18</v>
      </c>
      <c r="F254">
        <v>3.14</v>
      </c>
      <c r="G254" t="s">
        <v>70</v>
      </c>
      <c r="H254" t="s">
        <v>71</v>
      </c>
      <c r="I254" t="s">
        <v>72</v>
      </c>
    </row>
    <row r="255" spans="1:9" x14ac:dyDescent="0.25">
      <c r="A255" t="s">
        <v>71</v>
      </c>
      <c r="B255" t="s">
        <v>100</v>
      </c>
      <c r="C255" t="s">
        <v>762</v>
      </c>
      <c r="D255" s="1">
        <v>45187</v>
      </c>
      <c r="E255" t="s">
        <v>20</v>
      </c>
      <c r="F255">
        <v>97.13</v>
      </c>
      <c r="G255" t="s">
        <v>70</v>
      </c>
      <c r="H255" t="s">
        <v>71</v>
      </c>
      <c r="I255" t="s">
        <v>72</v>
      </c>
    </row>
    <row r="256" spans="1:9" x14ac:dyDescent="0.25">
      <c r="A256" t="s">
        <v>71</v>
      </c>
      <c r="B256" t="s">
        <v>100</v>
      </c>
      <c r="C256" t="s">
        <v>762</v>
      </c>
      <c r="D256" s="1">
        <v>45187</v>
      </c>
      <c r="E256" t="s">
        <v>41</v>
      </c>
      <c r="F256">
        <v>-1.0900000000000001</v>
      </c>
      <c r="G256" t="s">
        <v>70</v>
      </c>
      <c r="H256" t="s">
        <v>71</v>
      </c>
      <c r="I256" t="s">
        <v>72</v>
      </c>
    </row>
    <row r="257" spans="1:9" x14ac:dyDescent="0.25">
      <c r="A257" t="s">
        <v>71</v>
      </c>
      <c r="B257" t="s">
        <v>100</v>
      </c>
      <c r="C257" t="s">
        <v>762</v>
      </c>
      <c r="D257" s="1">
        <v>45188</v>
      </c>
      <c r="E257" t="s">
        <v>41</v>
      </c>
      <c r="F257">
        <v>-1.64</v>
      </c>
      <c r="G257" t="s">
        <v>70</v>
      </c>
      <c r="H257" t="s">
        <v>71</v>
      </c>
      <c r="I257" t="s">
        <v>72</v>
      </c>
    </row>
    <row r="258" spans="1:9" x14ac:dyDescent="0.25">
      <c r="A258" t="s">
        <v>71</v>
      </c>
      <c r="B258" t="s">
        <v>100</v>
      </c>
      <c r="C258" t="s">
        <v>762</v>
      </c>
      <c r="D258" s="1">
        <v>45188</v>
      </c>
      <c r="E258" t="s">
        <v>41</v>
      </c>
      <c r="F258">
        <v>-29.42</v>
      </c>
      <c r="G258" t="s">
        <v>70</v>
      </c>
      <c r="H258" t="s">
        <v>71</v>
      </c>
      <c r="I258" t="s">
        <v>72</v>
      </c>
    </row>
    <row r="259" spans="1:9" x14ac:dyDescent="0.25">
      <c r="A259" t="s">
        <v>71</v>
      </c>
      <c r="B259" t="s">
        <v>100</v>
      </c>
      <c r="C259" t="s">
        <v>762</v>
      </c>
      <c r="D259" s="1">
        <v>45189</v>
      </c>
      <c r="E259" t="s">
        <v>21</v>
      </c>
      <c r="F259">
        <v>13.19</v>
      </c>
      <c r="G259" t="s">
        <v>70</v>
      </c>
      <c r="H259" t="s">
        <v>71</v>
      </c>
      <c r="I259" t="s">
        <v>72</v>
      </c>
    </row>
    <row r="260" spans="1:9" x14ac:dyDescent="0.25">
      <c r="A260" t="s">
        <v>71</v>
      </c>
      <c r="B260" t="s">
        <v>100</v>
      </c>
      <c r="C260" t="s">
        <v>762</v>
      </c>
      <c r="D260" s="1">
        <v>45189</v>
      </c>
      <c r="E260" t="s">
        <v>772</v>
      </c>
      <c r="F260">
        <v>-109.14</v>
      </c>
      <c r="G260" t="s">
        <v>70</v>
      </c>
      <c r="H260" t="s">
        <v>71</v>
      </c>
      <c r="I260" t="s">
        <v>72</v>
      </c>
    </row>
    <row r="261" spans="1:9" x14ac:dyDescent="0.25">
      <c r="A261" t="s">
        <v>71</v>
      </c>
      <c r="B261" t="s">
        <v>100</v>
      </c>
      <c r="C261" t="s">
        <v>762</v>
      </c>
      <c r="D261" s="1">
        <v>45190</v>
      </c>
      <c r="E261" t="s">
        <v>41</v>
      </c>
      <c r="F261">
        <v>-122.49</v>
      </c>
      <c r="G261" t="s">
        <v>70</v>
      </c>
      <c r="H261" t="s">
        <v>71</v>
      </c>
      <c r="I261" t="s">
        <v>72</v>
      </c>
    </row>
    <row r="262" spans="1:9" x14ac:dyDescent="0.25">
      <c r="A262" t="s">
        <v>71</v>
      </c>
      <c r="B262" t="s">
        <v>100</v>
      </c>
      <c r="C262" t="s">
        <v>762</v>
      </c>
      <c r="D262" s="1">
        <v>45190</v>
      </c>
      <c r="F262">
        <v>58.7</v>
      </c>
      <c r="G262" t="s">
        <v>70</v>
      </c>
      <c r="H262" t="s">
        <v>71</v>
      </c>
      <c r="I262" t="s">
        <v>72</v>
      </c>
    </row>
    <row r="263" spans="1:9" x14ac:dyDescent="0.25">
      <c r="A263" t="s">
        <v>71</v>
      </c>
      <c r="B263" t="s">
        <v>100</v>
      </c>
      <c r="C263" t="s">
        <v>762</v>
      </c>
      <c r="D263" s="1">
        <v>45190</v>
      </c>
      <c r="E263" t="s">
        <v>41</v>
      </c>
      <c r="F263">
        <v>-1.8</v>
      </c>
      <c r="G263" t="s">
        <v>70</v>
      </c>
      <c r="H263" t="s">
        <v>71</v>
      </c>
      <c r="I263" t="s">
        <v>72</v>
      </c>
    </row>
    <row r="264" spans="1:9" x14ac:dyDescent="0.25">
      <c r="A264" t="s">
        <v>71</v>
      </c>
      <c r="B264" t="s">
        <v>100</v>
      </c>
      <c r="C264" t="s">
        <v>762</v>
      </c>
      <c r="D264" s="1">
        <v>45190</v>
      </c>
      <c r="E264" t="s">
        <v>41</v>
      </c>
      <c r="F264">
        <v>-60.9</v>
      </c>
      <c r="G264" t="s">
        <v>70</v>
      </c>
      <c r="H264" t="s">
        <v>71</v>
      </c>
      <c r="I264" t="s">
        <v>72</v>
      </c>
    </row>
    <row r="265" spans="1:9" x14ac:dyDescent="0.25">
      <c r="A265" t="s">
        <v>71</v>
      </c>
      <c r="B265" t="s">
        <v>100</v>
      </c>
      <c r="C265" t="s">
        <v>762</v>
      </c>
      <c r="D265" s="1">
        <v>45190</v>
      </c>
      <c r="E265" t="s">
        <v>41</v>
      </c>
      <c r="F265">
        <v>-7.21</v>
      </c>
      <c r="G265" t="s">
        <v>70</v>
      </c>
      <c r="H265" t="s">
        <v>71</v>
      </c>
      <c r="I265" t="s">
        <v>72</v>
      </c>
    </row>
    <row r="266" spans="1:9" x14ac:dyDescent="0.25">
      <c r="A266" t="s">
        <v>71</v>
      </c>
      <c r="B266" t="s">
        <v>100</v>
      </c>
      <c r="C266" t="s">
        <v>762</v>
      </c>
      <c r="D266" s="1">
        <v>45191</v>
      </c>
      <c r="E266" t="s">
        <v>41</v>
      </c>
      <c r="F266">
        <v>-17.190000000000001</v>
      </c>
      <c r="G266" t="s">
        <v>70</v>
      </c>
      <c r="H266" t="s">
        <v>71</v>
      </c>
      <c r="I266" t="s">
        <v>72</v>
      </c>
    </row>
    <row r="267" spans="1:9" x14ac:dyDescent="0.25">
      <c r="A267" t="s">
        <v>71</v>
      </c>
      <c r="B267" t="s">
        <v>100</v>
      </c>
      <c r="C267" t="s">
        <v>762</v>
      </c>
      <c r="D267" s="1">
        <v>45191</v>
      </c>
      <c r="E267" t="s">
        <v>44</v>
      </c>
      <c r="F267">
        <v>163.5</v>
      </c>
      <c r="G267" t="s">
        <v>79</v>
      </c>
      <c r="H267" t="s">
        <v>95</v>
      </c>
      <c r="I267" t="s">
        <v>95</v>
      </c>
    </row>
    <row r="268" spans="1:9" x14ac:dyDescent="0.25">
      <c r="A268" t="s">
        <v>71</v>
      </c>
      <c r="B268" t="s">
        <v>100</v>
      </c>
      <c r="C268" t="s">
        <v>762</v>
      </c>
      <c r="D268" s="1">
        <v>45193</v>
      </c>
      <c r="E268" t="s">
        <v>23</v>
      </c>
      <c r="F268">
        <v>3.86</v>
      </c>
      <c r="G268" t="s">
        <v>70</v>
      </c>
      <c r="H268" t="s">
        <v>71</v>
      </c>
      <c r="I268" t="s">
        <v>72</v>
      </c>
    </row>
    <row r="269" spans="1:9" x14ac:dyDescent="0.25">
      <c r="A269" t="s">
        <v>71</v>
      </c>
      <c r="B269" t="s">
        <v>100</v>
      </c>
      <c r="C269" t="s">
        <v>762</v>
      </c>
      <c r="D269" s="1">
        <v>45193</v>
      </c>
      <c r="E269" t="s">
        <v>41</v>
      </c>
      <c r="F269">
        <v>-79.040000000000006</v>
      </c>
      <c r="G269" t="s">
        <v>70</v>
      </c>
      <c r="H269" t="s">
        <v>71</v>
      </c>
      <c r="I269" t="s">
        <v>72</v>
      </c>
    </row>
    <row r="270" spans="1:9" x14ac:dyDescent="0.25">
      <c r="A270" t="s">
        <v>71</v>
      </c>
      <c r="B270" t="s">
        <v>100</v>
      </c>
      <c r="C270" t="s">
        <v>762</v>
      </c>
      <c r="D270" s="1">
        <v>45194</v>
      </c>
      <c r="E270" t="s">
        <v>41</v>
      </c>
      <c r="F270">
        <v>-26.67</v>
      </c>
      <c r="G270" t="s">
        <v>70</v>
      </c>
      <c r="H270" t="s">
        <v>71</v>
      </c>
      <c r="I270" t="s">
        <v>72</v>
      </c>
    </row>
    <row r="271" spans="1:9" x14ac:dyDescent="0.25">
      <c r="A271" t="s">
        <v>71</v>
      </c>
      <c r="B271" t="s">
        <v>100</v>
      </c>
      <c r="C271" t="s">
        <v>762</v>
      </c>
      <c r="D271" s="1">
        <v>45195</v>
      </c>
      <c r="E271" t="s">
        <v>41</v>
      </c>
      <c r="F271">
        <v>-117.7</v>
      </c>
      <c r="G271" t="s">
        <v>70</v>
      </c>
      <c r="H271" t="s">
        <v>71</v>
      </c>
      <c r="I271" t="s">
        <v>72</v>
      </c>
    </row>
    <row r="272" spans="1:9" x14ac:dyDescent="0.25">
      <c r="A272" t="s">
        <v>71</v>
      </c>
      <c r="B272" t="s">
        <v>100</v>
      </c>
      <c r="C272" t="s">
        <v>762</v>
      </c>
      <c r="D272" s="1">
        <v>45196</v>
      </c>
      <c r="E272" t="s">
        <v>45</v>
      </c>
      <c r="F272">
        <v>144.85</v>
      </c>
      <c r="G272" t="s">
        <v>73</v>
      </c>
      <c r="H272" t="s">
        <v>74</v>
      </c>
      <c r="I272" t="s">
        <v>75</v>
      </c>
    </row>
    <row r="273" spans="1:9" x14ac:dyDescent="0.25">
      <c r="A273" t="s">
        <v>71</v>
      </c>
      <c r="B273" t="s">
        <v>100</v>
      </c>
      <c r="C273" t="s">
        <v>762</v>
      </c>
      <c r="D273" s="1">
        <v>45196</v>
      </c>
      <c r="E273" t="s">
        <v>785</v>
      </c>
      <c r="F273">
        <v>-1390.94</v>
      </c>
      <c r="G273" t="s">
        <v>70</v>
      </c>
      <c r="H273" t="s">
        <v>71</v>
      </c>
      <c r="I273" t="s">
        <v>72</v>
      </c>
    </row>
    <row r="274" spans="1:9" x14ac:dyDescent="0.25">
      <c r="A274" t="s">
        <v>71</v>
      </c>
      <c r="B274" t="s">
        <v>100</v>
      </c>
      <c r="C274" t="s">
        <v>762</v>
      </c>
      <c r="D274" s="1">
        <v>45196</v>
      </c>
      <c r="E274" t="s">
        <v>786</v>
      </c>
      <c r="F274">
        <v>95.79</v>
      </c>
      <c r="G274" t="s">
        <v>70</v>
      </c>
      <c r="H274" t="s">
        <v>71</v>
      </c>
      <c r="I274" t="s">
        <v>72</v>
      </c>
    </row>
    <row r="275" spans="1:9" x14ac:dyDescent="0.25">
      <c r="A275" t="s">
        <v>71</v>
      </c>
      <c r="B275" t="s">
        <v>100</v>
      </c>
      <c r="C275" t="s">
        <v>762</v>
      </c>
      <c r="D275" s="1">
        <v>45196</v>
      </c>
      <c r="E275" t="s">
        <v>772</v>
      </c>
      <c r="F275">
        <v>-237.08</v>
      </c>
      <c r="G275" t="s">
        <v>70</v>
      </c>
      <c r="H275" t="s">
        <v>71</v>
      </c>
      <c r="I275" t="s">
        <v>72</v>
      </c>
    </row>
    <row r="276" spans="1:9" x14ac:dyDescent="0.25">
      <c r="A276" t="s">
        <v>71</v>
      </c>
      <c r="B276" t="s">
        <v>100</v>
      </c>
      <c r="C276" t="s">
        <v>762</v>
      </c>
      <c r="D276" s="1">
        <v>45197</v>
      </c>
      <c r="E276" t="s">
        <v>41</v>
      </c>
      <c r="F276">
        <v>-11.45</v>
      </c>
      <c r="G276" t="s">
        <v>70</v>
      </c>
      <c r="H276" t="s">
        <v>71</v>
      </c>
      <c r="I276" t="s">
        <v>72</v>
      </c>
    </row>
    <row r="277" spans="1:9" x14ac:dyDescent="0.25">
      <c r="A277" t="s">
        <v>71</v>
      </c>
      <c r="B277" t="s">
        <v>100</v>
      </c>
      <c r="C277" t="s">
        <v>762</v>
      </c>
      <c r="D277" s="1">
        <v>45198</v>
      </c>
      <c r="E277" t="s">
        <v>41</v>
      </c>
      <c r="F277">
        <v>-78.400000000000006</v>
      </c>
      <c r="G277" t="s">
        <v>70</v>
      </c>
      <c r="H277" t="s">
        <v>71</v>
      </c>
      <c r="I277" t="s">
        <v>72</v>
      </c>
    </row>
    <row r="278" spans="1:9" x14ac:dyDescent="0.25">
      <c r="A278" t="s">
        <v>71</v>
      </c>
      <c r="B278" t="s">
        <v>100</v>
      </c>
      <c r="C278" t="s">
        <v>762</v>
      </c>
      <c r="D278" s="1">
        <v>45198</v>
      </c>
      <c r="E278" t="s">
        <v>16</v>
      </c>
      <c r="F278">
        <v>13.94</v>
      </c>
      <c r="G278" t="s">
        <v>70</v>
      </c>
      <c r="H278" t="s">
        <v>71</v>
      </c>
      <c r="I278" t="s">
        <v>72</v>
      </c>
    </row>
    <row r="279" spans="1:9" x14ac:dyDescent="0.25">
      <c r="A279" t="s">
        <v>71</v>
      </c>
      <c r="B279" t="s">
        <v>100</v>
      </c>
      <c r="C279" t="s">
        <v>762</v>
      </c>
      <c r="D279" s="1">
        <v>45202</v>
      </c>
      <c r="E279" t="s">
        <v>41</v>
      </c>
      <c r="F279">
        <v>-18.899999999999999</v>
      </c>
      <c r="G279" t="s">
        <v>70</v>
      </c>
      <c r="H279" t="s">
        <v>71</v>
      </c>
      <c r="I279" t="s">
        <v>72</v>
      </c>
    </row>
    <row r="280" spans="1:9" x14ac:dyDescent="0.25">
      <c r="A280" t="s">
        <v>71</v>
      </c>
      <c r="B280" t="s">
        <v>100</v>
      </c>
      <c r="C280" t="s">
        <v>762</v>
      </c>
      <c r="D280" s="1">
        <v>45202</v>
      </c>
      <c r="E280" t="s">
        <v>46</v>
      </c>
      <c r="F280">
        <v>-2.2599999999999998</v>
      </c>
      <c r="G280" t="s">
        <v>79</v>
      </c>
      <c r="H280" t="s">
        <v>96</v>
      </c>
      <c r="I280" t="s">
        <v>96</v>
      </c>
    </row>
    <row r="281" spans="1:9" x14ac:dyDescent="0.25">
      <c r="A281" t="s">
        <v>71</v>
      </c>
      <c r="B281" t="s">
        <v>100</v>
      </c>
      <c r="C281" t="s">
        <v>762</v>
      </c>
      <c r="D281" s="1">
        <v>45203</v>
      </c>
      <c r="E281" t="s">
        <v>8</v>
      </c>
      <c r="F281">
        <v>30.09</v>
      </c>
      <c r="G281" t="s">
        <v>70</v>
      </c>
      <c r="H281" t="s">
        <v>71</v>
      </c>
      <c r="I281" t="s">
        <v>72</v>
      </c>
    </row>
    <row r="282" spans="1:9" x14ac:dyDescent="0.25">
      <c r="A282" t="s">
        <v>71</v>
      </c>
      <c r="B282" t="s">
        <v>100</v>
      </c>
      <c r="C282" t="s">
        <v>762</v>
      </c>
      <c r="D282" s="1">
        <v>45203</v>
      </c>
      <c r="E282" t="s">
        <v>9</v>
      </c>
      <c r="F282">
        <v>23.52</v>
      </c>
      <c r="G282" t="s">
        <v>70</v>
      </c>
      <c r="H282" t="s">
        <v>71</v>
      </c>
      <c r="I282" t="s">
        <v>72</v>
      </c>
    </row>
    <row r="283" spans="1:9" x14ac:dyDescent="0.25">
      <c r="A283" t="s">
        <v>71</v>
      </c>
      <c r="B283" t="s">
        <v>100</v>
      </c>
      <c r="C283" t="s">
        <v>762</v>
      </c>
      <c r="D283" s="1">
        <v>45203</v>
      </c>
      <c r="E283" t="s">
        <v>10</v>
      </c>
      <c r="F283">
        <v>1822.28</v>
      </c>
      <c r="G283" t="s">
        <v>70</v>
      </c>
      <c r="H283" t="s">
        <v>71</v>
      </c>
      <c r="I283" t="s">
        <v>72</v>
      </c>
    </row>
    <row r="284" spans="1:9" x14ac:dyDescent="0.25">
      <c r="A284" t="s">
        <v>71</v>
      </c>
      <c r="B284" t="s">
        <v>100</v>
      </c>
      <c r="C284" t="s">
        <v>762</v>
      </c>
      <c r="D284" s="1">
        <v>45203</v>
      </c>
      <c r="E284" t="s">
        <v>41</v>
      </c>
      <c r="F284">
        <v>-723.91</v>
      </c>
      <c r="G284" t="s">
        <v>70</v>
      </c>
      <c r="H284" t="s">
        <v>71</v>
      </c>
      <c r="I284" t="s">
        <v>72</v>
      </c>
    </row>
    <row r="285" spans="1:9" x14ac:dyDescent="0.25">
      <c r="A285" t="s">
        <v>71</v>
      </c>
      <c r="B285" t="s">
        <v>100</v>
      </c>
      <c r="C285" t="s">
        <v>762</v>
      </c>
      <c r="D285" s="1">
        <v>45203</v>
      </c>
      <c r="E285" t="s">
        <v>768</v>
      </c>
      <c r="F285">
        <v>-178.19</v>
      </c>
      <c r="G285" t="s">
        <v>68</v>
      </c>
      <c r="H285" t="s">
        <v>69</v>
      </c>
      <c r="I285" t="s">
        <v>69</v>
      </c>
    </row>
    <row r="286" spans="1:9" x14ac:dyDescent="0.25">
      <c r="A286" t="s">
        <v>71</v>
      </c>
      <c r="B286" t="s">
        <v>100</v>
      </c>
      <c r="C286" t="s">
        <v>762</v>
      </c>
      <c r="D286" s="1">
        <v>45203</v>
      </c>
      <c r="E286" t="s">
        <v>41</v>
      </c>
      <c r="F286">
        <v>-74.34</v>
      </c>
      <c r="G286" t="s">
        <v>70</v>
      </c>
      <c r="H286" t="s">
        <v>71</v>
      </c>
      <c r="I286" t="s">
        <v>72</v>
      </c>
    </row>
    <row r="287" spans="1:9" x14ac:dyDescent="0.25">
      <c r="A287" t="s">
        <v>71</v>
      </c>
      <c r="B287" t="s">
        <v>100</v>
      </c>
      <c r="C287" t="s">
        <v>762</v>
      </c>
      <c r="D287" s="1">
        <v>45203</v>
      </c>
      <c r="E287" t="s">
        <v>785</v>
      </c>
      <c r="F287">
        <v>-234.94</v>
      </c>
      <c r="G287" t="s">
        <v>70</v>
      </c>
      <c r="H287" t="s">
        <v>71</v>
      </c>
      <c r="I287" t="s">
        <v>72</v>
      </c>
    </row>
    <row r="288" spans="1:9" x14ac:dyDescent="0.25">
      <c r="A288" t="s">
        <v>71</v>
      </c>
      <c r="B288" t="s">
        <v>100</v>
      </c>
      <c r="C288" t="s">
        <v>762</v>
      </c>
      <c r="D288" s="1">
        <v>45203</v>
      </c>
      <c r="E288" t="s">
        <v>772</v>
      </c>
      <c r="F288">
        <v>-438</v>
      </c>
      <c r="G288" t="s">
        <v>70</v>
      </c>
      <c r="H288" t="s">
        <v>71</v>
      </c>
      <c r="I288" t="s">
        <v>72</v>
      </c>
    </row>
    <row r="289" spans="1:9" x14ac:dyDescent="0.25">
      <c r="A289" t="s">
        <v>71</v>
      </c>
      <c r="B289" t="s">
        <v>100</v>
      </c>
      <c r="C289" t="s">
        <v>762</v>
      </c>
      <c r="D289" s="1">
        <v>45204</v>
      </c>
      <c r="E289" t="s">
        <v>772</v>
      </c>
      <c r="F289">
        <v>-25.72</v>
      </c>
      <c r="G289" t="s">
        <v>70</v>
      </c>
      <c r="H289" t="s">
        <v>71</v>
      </c>
      <c r="I289" t="s">
        <v>72</v>
      </c>
    </row>
    <row r="290" spans="1:9" x14ac:dyDescent="0.25">
      <c r="A290" t="s">
        <v>71</v>
      </c>
      <c r="B290" t="s">
        <v>100</v>
      </c>
      <c r="C290" t="s">
        <v>762</v>
      </c>
      <c r="D290" s="1">
        <v>45204</v>
      </c>
      <c r="E290" t="s">
        <v>41</v>
      </c>
      <c r="F290">
        <v>-3.19</v>
      </c>
      <c r="G290" t="s">
        <v>70</v>
      </c>
      <c r="H290" t="s">
        <v>71</v>
      </c>
      <c r="I290" t="s">
        <v>72</v>
      </c>
    </row>
    <row r="291" spans="1:9" x14ac:dyDescent="0.25">
      <c r="A291" t="s">
        <v>71</v>
      </c>
      <c r="B291" t="s">
        <v>100</v>
      </c>
      <c r="C291" t="s">
        <v>762</v>
      </c>
      <c r="D291" s="1">
        <v>45204</v>
      </c>
      <c r="E291" t="s">
        <v>41</v>
      </c>
      <c r="F291">
        <v>-23.22</v>
      </c>
      <c r="G291" t="s">
        <v>70</v>
      </c>
      <c r="H291" t="s">
        <v>71</v>
      </c>
      <c r="I291" t="s">
        <v>72</v>
      </c>
    </row>
    <row r="292" spans="1:9" x14ac:dyDescent="0.25">
      <c r="A292" t="s">
        <v>71</v>
      </c>
      <c r="B292" t="s">
        <v>100</v>
      </c>
      <c r="C292" t="s">
        <v>762</v>
      </c>
      <c r="D292" s="1">
        <v>45204</v>
      </c>
      <c r="E292" t="s">
        <v>786</v>
      </c>
      <c r="F292">
        <v>64.06</v>
      </c>
      <c r="G292" t="s">
        <v>70</v>
      </c>
      <c r="H292" t="s">
        <v>71</v>
      </c>
      <c r="I292" t="s">
        <v>72</v>
      </c>
    </row>
    <row r="293" spans="1:9" x14ac:dyDescent="0.25">
      <c r="A293" t="s">
        <v>71</v>
      </c>
      <c r="B293" t="s">
        <v>100</v>
      </c>
      <c r="C293" t="s">
        <v>762</v>
      </c>
      <c r="D293" s="1">
        <v>45204</v>
      </c>
      <c r="E293" t="s">
        <v>41</v>
      </c>
      <c r="F293">
        <v>-37.67</v>
      </c>
      <c r="G293" t="s">
        <v>70</v>
      </c>
      <c r="H293" t="s">
        <v>71</v>
      </c>
      <c r="I293" t="s">
        <v>72</v>
      </c>
    </row>
    <row r="294" spans="1:9" x14ac:dyDescent="0.25">
      <c r="A294" t="s">
        <v>71</v>
      </c>
      <c r="B294" t="s">
        <v>100</v>
      </c>
      <c r="C294" t="s">
        <v>762</v>
      </c>
      <c r="D294" s="1">
        <v>45204</v>
      </c>
      <c r="E294" t="s">
        <v>786</v>
      </c>
      <c r="F294">
        <v>63.44</v>
      </c>
      <c r="G294" t="s">
        <v>70</v>
      </c>
      <c r="H294" t="s">
        <v>71</v>
      </c>
      <c r="I294" t="s">
        <v>72</v>
      </c>
    </row>
    <row r="295" spans="1:9" x14ac:dyDescent="0.25">
      <c r="A295" t="s">
        <v>71</v>
      </c>
      <c r="B295" t="s">
        <v>100</v>
      </c>
      <c r="C295" t="s">
        <v>762</v>
      </c>
      <c r="D295" s="1">
        <v>45204</v>
      </c>
      <c r="E295" t="s">
        <v>25</v>
      </c>
      <c r="F295">
        <v>-2.75</v>
      </c>
      <c r="G295" t="s">
        <v>68</v>
      </c>
      <c r="H295" t="s">
        <v>69</v>
      </c>
      <c r="I295" t="s">
        <v>69</v>
      </c>
    </row>
    <row r="296" spans="1:9" x14ac:dyDescent="0.25">
      <c r="A296" t="s">
        <v>71</v>
      </c>
      <c r="B296" t="s">
        <v>100</v>
      </c>
      <c r="C296" t="s">
        <v>762</v>
      </c>
      <c r="D296" s="1">
        <v>45204</v>
      </c>
      <c r="E296" t="s">
        <v>41</v>
      </c>
      <c r="F296">
        <v>-26.57</v>
      </c>
      <c r="G296" t="s">
        <v>70</v>
      </c>
      <c r="H296" t="s">
        <v>71</v>
      </c>
      <c r="I296" t="s">
        <v>72</v>
      </c>
    </row>
    <row r="297" spans="1:9" x14ac:dyDescent="0.25">
      <c r="A297" t="s">
        <v>71</v>
      </c>
      <c r="B297" t="s">
        <v>100</v>
      </c>
      <c r="C297" t="s">
        <v>762</v>
      </c>
      <c r="D297" s="1">
        <v>45205</v>
      </c>
      <c r="E297" t="s">
        <v>11</v>
      </c>
      <c r="F297">
        <v>148.49</v>
      </c>
      <c r="G297" t="s">
        <v>70</v>
      </c>
      <c r="H297" t="s">
        <v>71</v>
      </c>
      <c r="I297" t="s">
        <v>72</v>
      </c>
    </row>
    <row r="298" spans="1:9" x14ac:dyDescent="0.25">
      <c r="A298" t="s">
        <v>71</v>
      </c>
      <c r="B298" t="s">
        <v>100</v>
      </c>
      <c r="C298" t="s">
        <v>762</v>
      </c>
      <c r="D298" s="1">
        <v>45205</v>
      </c>
      <c r="E298" t="s">
        <v>12</v>
      </c>
      <c r="F298">
        <v>7</v>
      </c>
      <c r="G298" t="s">
        <v>70</v>
      </c>
      <c r="H298" t="s">
        <v>71</v>
      </c>
      <c r="I298" t="s">
        <v>72</v>
      </c>
    </row>
    <row r="299" spans="1:9" x14ac:dyDescent="0.25">
      <c r="A299" t="s">
        <v>71</v>
      </c>
      <c r="B299" t="s">
        <v>100</v>
      </c>
      <c r="C299" t="s">
        <v>762</v>
      </c>
      <c r="D299" s="1">
        <v>45206</v>
      </c>
      <c r="E299" t="s">
        <v>785</v>
      </c>
      <c r="F299">
        <v>-105.66</v>
      </c>
      <c r="G299" t="s">
        <v>70</v>
      </c>
      <c r="H299" t="s">
        <v>71</v>
      </c>
      <c r="I299" t="s">
        <v>72</v>
      </c>
    </row>
    <row r="300" spans="1:9" x14ac:dyDescent="0.25">
      <c r="A300" t="s">
        <v>71</v>
      </c>
      <c r="B300" t="s">
        <v>100</v>
      </c>
      <c r="C300" t="s">
        <v>762</v>
      </c>
      <c r="D300" s="1">
        <v>45207</v>
      </c>
      <c r="E300" t="s">
        <v>24</v>
      </c>
      <c r="F300">
        <v>21.5</v>
      </c>
      <c r="G300" t="s">
        <v>70</v>
      </c>
      <c r="H300" t="s">
        <v>71</v>
      </c>
      <c r="I300" t="s">
        <v>72</v>
      </c>
    </row>
    <row r="301" spans="1:9" x14ac:dyDescent="0.25">
      <c r="A301" t="s">
        <v>71</v>
      </c>
      <c r="B301" t="s">
        <v>100</v>
      </c>
      <c r="C301" t="s">
        <v>762</v>
      </c>
      <c r="D301" s="1">
        <v>45207</v>
      </c>
      <c r="E301" t="s">
        <v>41</v>
      </c>
      <c r="F301">
        <v>-14.95</v>
      </c>
      <c r="G301" t="s">
        <v>70</v>
      </c>
      <c r="H301" t="s">
        <v>71</v>
      </c>
      <c r="I301" t="s">
        <v>72</v>
      </c>
    </row>
    <row r="302" spans="1:9" x14ac:dyDescent="0.25">
      <c r="A302" t="s">
        <v>71</v>
      </c>
      <c r="B302" t="s">
        <v>100</v>
      </c>
      <c r="C302" t="s">
        <v>762</v>
      </c>
      <c r="D302" s="1">
        <v>45210</v>
      </c>
      <c r="E302" t="s">
        <v>47</v>
      </c>
      <c r="F302">
        <v>1358.78</v>
      </c>
      <c r="G302" t="s">
        <v>73</v>
      </c>
      <c r="H302" t="s">
        <v>74</v>
      </c>
      <c r="I302" t="s">
        <v>75</v>
      </c>
    </row>
    <row r="303" spans="1:9" x14ac:dyDescent="0.25">
      <c r="A303" t="s">
        <v>71</v>
      </c>
      <c r="B303" t="s">
        <v>100</v>
      </c>
      <c r="C303" t="s">
        <v>762</v>
      </c>
      <c r="D303" s="1">
        <v>45210</v>
      </c>
      <c r="E303" t="s">
        <v>41</v>
      </c>
      <c r="F303">
        <v>-148.6</v>
      </c>
      <c r="G303" t="s">
        <v>70</v>
      </c>
      <c r="H303" t="s">
        <v>71</v>
      </c>
      <c r="I303" t="s">
        <v>72</v>
      </c>
    </row>
    <row r="304" spans="1:9" x14ac:dyDescent="0.25">
      <c r="A304" t="s">
        <v>71</v>
      </c>
      <c r="B304" t="s">
        <v>100</v>
      </c>
      <c r="C304" t="s">
        <v>762</v>
      </c>
      <c r="D304" s="1">
        <v>45210</v>
      </c>
      <c r="E304" t="s">
        <v>785</v>
      </c>
      <c r="F304">
        <v>-232.11</v>
      </c>
      <c r="G304" t="s">
        <v>70</v>
      </c>
      <c r="H304" t="s">
        <v>71</v>
      </c>
      <c r="I304" t="s">
        <v>72</v>
      </c>
    </row>
    <row r="305" spans="1:9" x14ac:dyDescent="0.25">
      <c r="A305" t="s">
        <v>71</v>
      </c>
      <c r="B305" t="s">
        <v>100</v>
      </c>
      <c r="C305" t="s">
        <v>762</v>
      </c>
      <c r="D305" s="1">
        <v>45210</v>
      </c>
      <c r="E305" t="s">
        <v>772</v>
      </c>
      <c r="F305">
        <v>-1277.82</v>
      </c>
      <c r="G305" t="s">
        <v>70</v>
      </c>
      <c r="H305" t="s">
        <v>71</v>
      </c>
      <c r="I305" t="s">
        <v>72</v>
      </c>
    </row>
    <row r="306" spans="1:9" x14ac:dyDescent="0.25">
      <c r="A306" t="s">
        <v>71</v>
      </c>
      <c r="B306" t="s">
        <v>100</v>
      </c>
      <c r="C306" t="s">
        <v>762</v>
      </c>
      <c r="D306" s="1">
        <v>45210</v>
      </c>
      <c r="E306" t="s">
        <v>786</v>
      </c>
      <c r="F306">
        <v>112.98</v>
      </c>
      <c r="G306" t="s">
        <v>70</v>
      </c>
      <c r="H306" t="s">
        <v>71</v>
      </c>
      <c r="I306" t="s">
        <v>72</v>
      </c>
    </row>
    <row r="307" spans="1:9" x14ac:dyDescent="0.25">
      <c r="A307" t="s">
        <v>71</v>
      </c>
      <c r="B307" t="s">
        <v>100</v>
      </c>
      <c r="C307" t="s">
        <v>762</v>
      </c>
      <c r="D307" s="1">
        <v>45210</v>
      </c>
      <c r="E307" t="s">
        <v>41</v>
      </c>
      <c r="F307">
        <v>-3.73</v>
      </c>
      <c r="G307" t="s">
        <v>70</v>
      </c>
      <c r="H307" t="s">
        <v>71</v>
      </c>
      <c r="I307" t="s">
        <v>72</v>
      </c>
    </row>
    <row r="308" spans="1:9" x14ac:dyDescent="0.25">
      <c r="A308" t="s">
        <v>71</v>
      </c>
      <c r="B308" t="s">
        <v>100</v>
      </c>
      <c r="C308" t="s">
        <v>762</v>
      </c>
      <c r="D308" s="1">
        <v>45212</v>
      </c>
      <c r="E308" t="s">
        <v>14</v>
      </c>
      <c r="F308">
        <v>62.09</v>
      </c>
      <c r="G308" t="s">
        <v>70</v>
      </c>
      <c r="H308" t="s">
        <v>71</v>
      </c>
      <c r="I308" t="s">
        <v>72</v>
      </c>
    </row>
    <row r="309" spans="1:9" x14ac:dyDescent="0.25">
      <c r="A309" t="s">
        <v>71</v>
      </c>
      <c r="B309" t="s">
        <v>100</v>
      </c>
      <c r="C309" t="s">
        <v>762</v>
      </c>
      <c r="D309" s="1">
        <v>45212</v>
      </c>
      <c r="E309" t="s">
        <v>41</v>
      </c>
      <c r="F309">
        <v>-7.12</v>
      </c>
      <c r="G309" t="s">
        <v>70</v>
      </c>
      <c r="H309" t="s">
        <v>71</v>
      </c>
      <c r="I309" t="s">
        <v>72</v>
      </c>
    </row>
    <row r="310" spans="1:9" x14ac:dyDescent="0.25">
      <c r="A310" t="s">
        <v>71</v>
      </c>
      <c r="B310" t="s">
        <v>100</v>
      </c>
      <c r="C310" t="s">
        <v>762</v>
      </c>
      <c r="D310" s="1">
        <v>45212</v>
      </c>
      <c r="E310" t="s">
        <v>785</v>
      </c>
      <c r="F310">
        <v>-80.34</v>
      </c>
      <c r="G310" t="s">
        <v>70</v>
      </c>
      <c r="H310" t="s">
        <v>71</v>
      </c>
      <c r="I310" t="s">
        <v>72</v>
      </c>
    </row>
    <row r="311" spans="1:9" x14ac:dyDescent="0.25">
      <c r="A311" t="s">
        <v>71</v>
      </c>
      <c r="B311" t="s">
        <v>100</v>
      </c>
      <c r="C311" t="s">
        <v>762</v>
      </c>
      <c r="D311" s="1">
        <v>45213</v>
      </c>
      <c r="E311" t="s">
        <v>41</v>
      </c>
      <c r="F311">
        <v>-20.16</v>
      </c>
      <c r="G311" t="s">
        <v>70</v>
      </c>
      <c r="H311" t="s">
        <v>71</v>
      </c>
      <c r="I311" t="s">
        <v>72</v>
      </c>
    </row>
    <row r="312" spans="1:9" x14ac:dyDescent="0.25">
      <c r="A312" t="s">
        <v>71</v>
      </c>
      <c r="B312" t="s">
        <v>100</v>
      </c>
      <c r="C312" t="s">
        <v>762</v>
      </c>
      <c r="D312" s="1">
        <v>45214</v>
      </c>
      <c r="E312" t="s">
        <v>787</v>
      </c>
      <c r="F312">
        <v>355.31</v>
      </c>
      <c r="G312" t="s">
        <v>70</v>
      </c>
      <c r="H312" t="s">
        <v>71</v>
      </c>
      <c r="I312" t="s">
        <v>72</v>
      </c>
    </row>
    <row r="313" spans="1:9" x14ac:dyDescent="0.25">
      <c r="A313" t="s">
        <v>71</v>
      </c>
      <c r="B313" t="s">
        <v>100</v>
      </c>
      <c r="C313" t="s">
        <v>762</v>
      </c>
      <c r="D313" s="1">
        <v>45214</v>
      </c>
      <c r="E313" t="s">
        <v>786</v>
      </c>
      <c r="F313">
        <v>0.28000000000000003</v>
      </c>
      <c r="G313" t="s">
        <v>70</v>
      </c>
      <c r="H313" t="s">
        <v>71</v>
      </c>
      <c r="I313" t="s">
        <v>72</v>
      </c>
    </row>
    <row r="314" spans="1:9" x14ac:dyDescent="0.25">
      <c r="A314" t="s">
        <v>71</v>
      </c>
      <c r="B314" t="s">
        <v>100</v>
      </c>
      <c r="C314" t="s">
        <v>762</v>
      </c>
      <c r="D314" s="1">
        <v>45217</v>
      </c>
      <c r="E314" t="s">
        <v>18</v>
      </c>
      <c r="F314">
        <v>136.57</v>
      </c>
      <c r="G314" t="s">
        <v>70</v>
      </c>
      <c r="H314" t="s">
        <v>71</v>
      </c>
      <c r="I314" t="s">
        <v>72</v>
      </c>
    </row>
    <row r="315" spans="1:9" x14ac:dyDescent="0.25">
      <c r="A315" t="s">
        <v>71</v>
      </c>
      <c r="B315" t="s">
        <v>100</v>
      </c>
      <c r="C315" t="s">
        <v>762</v>
      </c>
      <c r="D315" s="1">
        <v>45217</v>
      </c>
      <c r="E315" t="s">
        <v>20</v>
      </c>
      <c r="F315">
        <v>155.58000000000001</v>
      </c>
      <c r="G315" t="s">
        <v>70</v>
      </c>
      <c r="H315" t="s">
        <v>71</v>
      </c>
      <c r="I315" t="s">
        <v>72</v>
      </c>
    </row>
    <row r="316" spans="1:9" x14ac:dyDescent="0.25">
      <c r="A316" t="s">
        <v>71</v>
      </c>
      <c r="B316" t="s">
        <v>100</v>
      </c>
      <c r="C316" t="s">
        <v>762</v>
      </c>
      <c r="D316" s="1">
        <v>45217</v>
      </c>
      <c r="E316" t="s">
        <v>19</v>
      </c>
      <c r="F316">
        <v>17.84</v>
      </c>
      <c r="G316" t="s">
        <v>70</v>
      </c>
      <c r="H316" t="s">
        <v>71</v>
      </c>
      <c r="I316" t="s">
        <v>72</v>
      </c>
    </row>
    <row r="317" spans="1:9" x14ac:dyDescent="0.25">
      <c r="A317" t="s">
        <v>71</v>
      </c>
      <c r="B317" t="s">
        <v>100</v>
      </c>
      <c r="C317" t="s">
        <v>762</v>
      </c>
      <c r="D317" s="1">
        <v>45217</v>
      </c>
      <c r="E317" t="s">
        <v>41</v>
      </c>
      <c r="F317">
        <v>-52.99</v>
      </c>
      <c r="G317" t="s">
        <v>70</v>
      </c>
      <c r="H317" t="s">
        <v>71</v>
      </c>
      <c r="I317" t="s">
        <v>72</v>
      </c>
    </row>
    <row r="318" spans="1:9" x14ac:dyDescent="0.25">
      <c r="A318" t="s">
        <v>71</v>
      </c>
      <c r="B318" t="s">
        <v>100</v>
      </c>
      <c r="C318" t="s">
        <v>762</v>
      </c>
      <c r="D318" s="1">
        <v>45218</v>
      </c>
      <c r="E318" t="s">
        <v>10</v>
      </c>
      <c r="F318">
        <v>1340.79</v>
      </c>
      <c r="G318" t="s">
        <v>70</v>
      </c>
      <c r="H318" t="s">
        <v>71</v>
      </c>
      <c r="I318" t="s">
        <v>72</v>
      </c>
    </row>
    <row r="319" spans="1:9" x14ac:dyDescent="0.25">
      <c r="A319" t="s">
        <v>71</v>
      </c>
      <c r="B319" t="s">
        <v>100</v>
      </c>
      <c r="C319" t="s">
        <v>762</v>
      </c>
      <c r="D319" s="1">
        <v>45218</v>
      </c>
      <c r="E319" t="s">
        <v>41</v>
      </c>
      <c r="F319">
        <v>-15.7</v>
      </c>
      <c r="G319" t="s">
        <v>70</v>
      </c>
      <c r="H319" t="s">
        <v>71</v>
      </c>
      <c r="I319" t="s">
        <v>72</v>
      </c>
    </row>
    <row r="320" spans="1:9" x14ac:dyDescent="0.25">
      <c r="A320" t="s">
        <v>71</v>
      </c>
      <c r="B320" t="s">
        <v>100</v>
      </c>
      <c r="C320" t="s">
        <v>762</v>
      </c>
      <c r="D320" s="1">
        <v>45218</v>
      </c>
      <c r="E320" t="s">
        <v>772</v>
      </c>
      <c r="F320">
        <v>-201.49</v>
      </c>
      <c r="G320" t="s">
        <v>70</v>
      </c>
      <c r="H320" t="s">
        <v>71</v>
      </c>
      <c r="I320" t="s">
        <v>72</v>
      </c>
    </row>
    <row r="321" spans="1:9" x14ac:dyDescent="0.25">
      <c r="A321" t="s">
        <v>71</v>
      </c>
      <c r="B321" t="s">
        <v>100</v>
      </c>
      <c r="C321" t="s">
        <v>762</v>
      </c>
      <c r="D321" s="1">
        <v>45219</v>
      </c>
      <c r="E321" t="s">
        <v>21</v>
      </c>
      <c r="F321">
        <v>227.23</v>
      </c>
      <c r="G321" t="s">
        <v>70</v>
      </c>
      <c r="H321" t="s">
        <v>71</v>
      </c>
      <c r="I321" t="s">
        <v>72</v>
      </c>
    </row>
    <row r="322" spans="1:9" x14ac:dyDescent="0.25">
      <c r="A322" t="s">
        <v>71</v>
      </c>
      <c r="B322" t="s">
        <v>100</v>
      </c>
      <c r="C322" t="s">
        <v>762</v>
      </c>
      <c r="D322" s="1">
        <v>45219</v>
      </c>
      <c r="E322" t="s">
        <v>41</v>
      </c>
      <c r="F322">
        <v>-35.22</v>
      </c>
      <c r="G322" t="s">
        <v>70</v>
      </c>
      <c r="H322" t="s">
        <v>71</v>
      </c>
      <c r="I322" t="s">
        <v>72</v>
      </c>
    </row>
    <row r="323" spans="1:9" x14ac:dyDescent="0.25">
      <c r="A323" t="s">
        <v>71</v>
      </c>
      <c r="B323" t="s">
        <v>100</v>
      </c>
      <c r="C323" t="s">
        <v>762</v>
      </c>
      <c r="D323" s="1">
        <v>45219</v>
      </c>
      <c r="E323" t="s">
        <v>785</v>
      </c>
      <c r="F323">
        <v>-150.06</v>
      </c>
      <c r="G323" t="s">
        <v>70</v>
      </c>
      <c r="H323" t="s">
        <v>71</v>
      </c>
      <c r="I323" t="s">
        <v>72</v>
      </c>
    </row>
    <row r="324" spans="1:9" x14ac:dyDescent="0.25">
      <c r="A324" t="s">
        <v>71</v>
      </c>
      <c r="B324" t="s">
        <v>100</v>
      </c>
      <c r="C324" t="s">
        <v>762</v>
      </c>
      <c r="D324" s="1">
        <v>45219</v>
      </c>
      <c r="E324" t="s">
        <v>786</v>
      </c>
      <c r="F324">
        <v>5.3</v>
      </c>
      <c r="G324" t="s">
        <v>70</v>
      </c>
      <c r="H324" t="s">
        <v>71</v>
      </c>
      <c r="I324" t="s">
        <v>72</v>
      </c>
    </row>
    <row r="325" spans="1:9" x14ac:dyDescent="0.25">
      <c r="A325" t="s">
        <v>71</v>
      </c>
      <c r="B325" t="s">
        <v>100</v>
      </c>
      <c r="C325" t="s">
        <v>762</v>
      </c>
      <c r="D325" s="1">
        <v>45219</v>
      </c>
      <c r="E325" t="s">
        <v>768</v>
      </c>
      <c r="F325">
        <v>-247.37</v>
      </c>
      <c r="G325" t="s">
        <v>68</v>
      </c>
      <c r="H325" t="s">
        <v>69</v>
      </c>
      <c r="I325" t="s">
        <v>69</v>
      </c>
    </row>
    <row r="326" spans="1:9" x14ac:dyDescent="0.25">
      <c r="A326" t="s">
        <v>71</v>
      </c>
      <c r="B326" t="s">
        <v>100</v>
      </c>
      <c r="C326" t="s">
        <v>762</v>
      </c>
      <c r="D326" s="1">
        <v>45220</v>
      </c>
      <c r="E326" t="s">
        <v>786</v>
      </c>
      <c r="F326">
        <v>4.37</v>
      </c>
      <c r="G326" t="s">
        <v>70</v>
      </c>
      <c r="H326" t="s">
        <v>71</v>
      </c>
      <c r="I326" t="s">
        <v>72</v>
      </c>
    </row>
    <row r="327" spans="1:9" x14ac:dyDescent="0.25">
      <c r="A327" t="s">
        <v>71</v>
      </c>
      <c r="B327" t="s">
        <v>100</v>
      </c>
      <c r="C327" t="s">
        <v>762</v>
      </c>
      <c r="D327" s="1">
        <v>45220</v>
      </c>
      <c r="E327" t="s">
        <v>772</v>
      </c>
      <c r="F327">
        <v>-37.11</v>
      </c>
      <c r="G327" t="s">
        <v>70</v>
      </c>
      <c r="H327" t="s">
        <v>71</v>
      </c>
      <c r="I327" t="s">
        <v>72</v>
      </c>
    </row>
    <row r="328" spans="1:9" x14ac:dyDescent="0.25">
      <c r="A328" t="s">
        <v>71</v>
      </c>
      <c r="B328" t="s">
        <v>100</v>
      </c>
      <c r="C328" t="s">
        <v>762</v>
      </c>
      <c r="D328" s="1">
        <v>45222</v>
      </c>
      <c r="E328" t="s">
        <v>41</v>
      </c>
      <c r="F328">
        <v>-16.989999999999998</v>
      </c>
      <c r="G328" t="s">
        <v>70</v>
      </c>
      <c r="H328" t="s">
        <v>71</v>
      </c>
      <c r="I328" t="s">
        <v>72</v>
      </c>
    </row>
    <row r="329" spans="1:9" x14ac:dyDescent="0.25">
      <c r="A329" t="s">
        <v>71</v>
      </c>
      <c r="B329" t="s">
        <v>100</v>
      </c>
      <c r="C329" t="s">
        <v>762</v>
      </c>
      <c r="D329" s="1">
        <v>45223</v>
      </c>
      <c r="E329" t="s">
        <v>23</v>
      </c>
      <c r="F329">
        <v>15.48</v>
      </c>
      <c r="G329" t="s">
        <v>70</v>
      </c>
      <c r="H329" t="s">
        <v>71</v>
      </c>
      <c r="I329" t="s">
        <v>72</v>
      </c>
    </row>
    <row r="330" spans="1:9" x14ac:dyDescent="0.25">
      <c r="A330" t="s">
        <v>71</v>
      </c>
      <c r="B330" t="s">
        <v>100</v>
      </c>
      <c r="C330" t="s">
        <v>762</v>
      </c>
      <c r="D330" s="1">
        <v>45224</v>
      </c>
      <c r="E330" t="s">
        <v>48</v>
      </c>
      <c r="F330">
        <v>15.55</v>
      </c>
      <c r="G330" t="s">
        <v>73</v>
      </c>
      <c r="H330" t="s">
        <v>74</v>
      </c>
      <c r="I330" t="s">
        <v>75</v>
      </c>
    </row>
    <row r="331" spans="1:9" x14ac:dyDescent="0.25">
      <c r="A331" t="s">
        <v>71</v>
      </c>
      <c r="B331" t="s">
        <v>100</v>
      </c>
      <c r="C331" t="s">
        <v>762</v>
      </c>
      <c r="D331" s="1">
        <v>45224</v>
      </c>
      <c r="E331" t="s">
        <v>772</v>
      </c>
      <c r="F331">
        <v>-211.85</v>
      </c>
      <c r="G331" t="s">
        <v>70</v>
      </c>
      <c r="H331" t="s">
        <v>71</v>
      </c>
      <c r="I331" t="s">
        <v>72</v>
      </c>
    </row>
    <row r="332" spans="1:9" x14ac:dyDescent="0.25">
      <c r="A332" t="s">
        <v>71</v>
      </c>
      <c r="B332" t="s">
        <v>100</v>
      </c>
      <c r="C332" t="s">
        <v>762</v>
      </c>
      <c r="D332" s="1">
        <v>45224</v>
      </c>
      <c r="E332" t="s">
        <v>10</v>
      </c>
      <c r="F332">
        <v>119.33</v>
      </c>
      <c r="G332" t="s">
        <v>70</v>
      </c>
      <c r="H332" t="s">
        <v>71</v>
      </c>
      <c r="I332" t="s">
        <v>72</v>
      </c>
    </row>
    <row r="333" spans="1:9" x14ac:dyDescent="0.25">
      <c r="A333" t="s">
        <v>71</v>
      </c>
      <c r="B333" t="s">
        <v>100</v>
      </c>
      <c r="C333" t="s">
        <v>762</v>
      </c>
      <c r="D333" s="1">
        <v>45225</v>
      </c>
      <c r="E333" t="s">
        <v>49</v>
      </c>
      <c r="F333">
        <v>-46.1</v>
      </c>
      <c r="G333" t="s">
        <v>70</v>
      </c>
      <c r="H333" t="s">
        <v>71</v>
      </c>
      <c r="I333" t="s">
        <v>72</v>
      </c>
    </row>
    <row r="334" spans="1:9" x14ac:dyDescent="0.25">
      <c r="A334" t="s">
        <v>71</v>
      </c>
      <c r="B334" t="s">
        <v>100</v>
      </c>
      <c r="C334" t="s">
        <v>762</v>
      </c>
      <c r="D334" s="1">
        <v>45225</v>
      </c>
      <c r="E334" t="s">
        <v>785</v>
      </c>
      <c r="F334">
        <v>-434.29</v>
      </c>
      <c r="G334" t="s">
        <v>70</v>
      </c>
      <c r="H334" t="s">
        <v>71</v>
      </c>
      <c r="I334" t="s">
        <v>72</v>
      </c>
    </row>
    <row r="335" spans="1:9" x14ac:dyDescent="0.25">
      <c r="A335" t="s">
        <v>71</v>
      </c>
      <c r="B335" t="s">
        <v>100</v>
      </c>
      <c r="C335" t="s">
        <v>762</v>
      </c>
      <c r="D335" s="1">
        <v>45225</v>
      </c>
      <c r="E335" t="s">
        <v>786</v>
      </c>
      <c r="F335">
        <v>41.74</v>
      </c>
      <c r="G335" t="s">
        <v>70</v>
      </c>
      <c r="H335" t="s">
        <v>71</v>
      </c>
      <c r="I335" t="s">
        <v>72</v>
      </c>
    </row>
    <row r="336" spans="1:9" x14ac:dyDescent="0.25">
      <c r="A336" t="s">
        <v>71</v>
      </c>
      <c r="B336" t="s">
        <v>100</v>
      </c>
      <c r="C336" t="s">
        <v>762</v>
      </c>
      <c r="D336" s="1">
        <v>45225</v>
      </c>
      <c r="E336" t="s">
        <v>41</v>
      </c>
      <c r="F336">
        <v>-26.7</v>
      </c>
      <c r="G336" t="s">
        <v>70</v>
      </c>
      <c r="H336" t="s">
        <v>71</v>
      </c>
      <c r="I336" t="s">
        <v>72</v>
      </c>
    </row>
    <row r="337" spans="1:9" x14ac:dyDescent="0.25">
      <c r="A337" t="s">
        <v>71</v>
      </c>
      <c r="B337" t="s">
        <v>100</v>
      </c>
      <c r="C337" t="s">
        <v>762</v>
      </c>
      <c r="D337" s="1">
        <v>45225</v>
      </c>
      <c r="E337" t="s">
        <v>782</v>
      </c>
      <c r="F337">
        <v>-17.87</v>
      </c>
      <c r="G337" t="s">
        <v>70</v>
      </c>
      <c r="H337" t="s">
        <v>71</v>
      </c>
      <c r="I337" t="s">
        <v>72</v>
      </c>
    </row>
    <row r="338" spans="1:9" x14ac:dyDescent="0.25">
      <c r="A338" t="s">
        <v>71</v>
      </c>
      <c r="B338" t="s">
        <v>100</v>
      </c>
      <c r="C338" t="s">
        <v>762</v>
      </c>
      <c r="D338" s="1">
        <v>45225</v>
      </c>
      <c r="E338" t="s">
        <v>50</v>
      </c>
      <c r="F338">
        <v>-0.77</v>
      </c>
      <c r="G338" t="s">
        <v>79</v>
      </c>
      <c r="H338" t="s">
        <v>96</v>
      </c>
      <c r="I338" t="s">
        <v>96</v>
      </c>
    </row>
    <row r="339" spans="1:9" x14ac:dyDescent="0.25">
      <c r="A339" t="s">
        <v>71</v>
      </c>
      <c r="B339" t="s">
        <v>100</v>
      </c>
      <c r="C339" t="s">
        <v>762</v>
      </c>
      <c r="D339" s="1">
        <v>45225</v>
      </c>
      <c r="E339" t="s">
        <v>786</v>
      </c>
      <c r="F339">
        <v>37.950000000000003</v>
      </c>
      <c r="G339" t="s">
        <v>70</v>
      </c>
      <c r="H339" t="s">
        <v>71</v>
      </c>
      <c r="I339" t="s">
        <v>72</v>
      </c>
    </row>
    <row r="340" spans="1:9" x14ac:dyDescent="0.25">
      <c r="A340" t="s">
        <v>71</v>
      </c>
      <c r="B340" t="s">
        <v>100</v>
      </c>
      <c r="C340" t="s">
        <v>762</v>
      </c>
      <c r="D340" s="1">
        <v>45225</v>
      </c>
      <c r="E340" t="s">
        <v>41</v>
      </c>
      <c r="F340">
        <v>-10.94</v>
      </c>
      <c r="G340" t="s">
        <v>70</v>
      </c>
      <c r="H340" t="s">
        <v>71</v>
      </c>
      <c r="I340" t="s">
        <v>72</v>
      </c>
    </row>
    <row r="341" spans="1:9" x14ac:dyDescent="0.25">
      <c r="A341" t="s">
        <v>71</v>
      </c>
      <c r="B341" t="s">
        <v>100</v>
      </c>
      <c r="C341" t="s">
        <v>762</v>
      </c>
      <c r="D341" s="1">
        <v>45225</v>
      </c>
      <c r="E341" t="s">
        <v>41</v>
      </c>
      <c r="F341">
        <v>-8.48</v>
      </c>
      <c r="G341" t="s">
        <v>70</v>
      </c>
      <c r="H341" t="s">
        <v>71</v>
      </c>
      <c r="I341" t="s">
        <v>72</v>
      </c>
    </row>
    <row r="342" spans="1:9" x14ac:dyDescent="0.25">
      <c r="A342" t="s">
        <v>71</v>
      </c>
      <c r="B342" t="s">
        <v>100</v>
      </c>
      <c r="C342" t="s">
        <v>762</v>
      </c>
      <c r="D342" s="1">
        <v>45226</v>
      </c>
      <c r="E342" t="s">
        <v>41</v>
      </c>
      <c r="F342">
        <v>-28.91</v>
      </c>
      <c r="G342" t="s">
        <v>70</v>
      </c>
      <c r="H342" t="s">
        <v>71</v>
      </c>
      <c r="I342" t="s">
        <v>72</v>
      </c>
    </row>
    <row r="343" spans="1:9" x14ac:dyDescent="0.25">
      <c r="A343" t="s">
        <v>71</v>
      </c>
      <c r="B343" t="s">
        <v>100</v>
      </c>
      <c r="C343" t="s">
        <v>762</v>
      </c>
      <c r="D343" s="1">
        <v>45226</v>
      </c>
      <c r="E343" t="s">
        <v>16</v>
      </c>
      <c r="F343">
        <v>0.1</v>
      </c>
      <c r="G343" t="s">
        <v>70</v>
      </c>
      <c r="H343" t="s">
        <v>71</v>
      </c>
      <c r="I343" t="s">
        <v>72</v>
      </c>
    </row>
    <row r="344" spans="1:9" x14ac:dyDescent="0.25">
      <c r="A344" t="s">
        <v>71</v>
      </c>
      <c r="B344" t="s">
        <v>100</v>
      </c>
      <c r="C344" t="s">
        <v>762</v>
      </c>
      <c r="D344" s="1">
        <v>45227</v>
      </c>
      <c r="E344" t="s">
        <v>41</v>
      </c>
      <c r="F344">
        <v>-0.67</v>
      </c>
      <c r="G344" t="s">
        <v>70</v>
      </c>
      <c r="H344" t="s">
        <v>71</v>
      </c>
      <c r="I344" t="s">
        <v>72</v>
      </c>
    </row>
    <row r="345" spans="1:9" x14ac:dyDescent="0.25">
      <c r="A345" t="s">
        <v>71</v>
      </c>
      <c r="B345" t="s">
        <v>100</v>
      </c>
      <c r="C345" t="s">
        <v>762</v>
      </c>
      <c r="D345" s="1">
        <v>45228</v>
      </c>
      <c r="E345" t="s">
        <v>786</v>
      </c>
      <c r="F345">
        <v>58.75</v>
      </c>
      <c r="G345" t="s">
        <v>70</v>
      </c>
      <c r="H345" t="s">
        <v>71</v>
      </c>
      <c r="I345" t="s">
        <v>72</v>
      </c>
    </row>
    <row r="346" spans="1:9" x14ac:dyDescent="0.25">
      <c r="A346" t="s">
        <v>71</v>
      </c>
      <c r="B346" t="s">
        <v>100</v>
      </c>
      <c r="C346" t="s">
        <v>762</v>
      </c>
      <c r="D346" s="1">
        <v>45228</v>
      </c>
      <c r="E346" t="s">
        <v>41</v>
      </c>
      <c r="F346">
        <v>-0.55000000000000004</v>
      </c>
      <c r="G346" t="s">
        <v>70</v>
      </c>
      <c r="H346" t="s">
        <v>71</v>
      </c>
      <c r="I346" t="s">
        <v>72</v>
      </c>
    </row>
    <row r="347" spans="1:9" x14ac:dyDescent="0.25">
      <c r="A347" t="s">
        <v>71</v>
      </c>
      <c r="B347" t="s">
        <v>100</v>
      </c>
      <c r="C347" t="s">
        <v>762</v>
      </c>
      <c r="D347" s="1">
        <v>45231</v>
      </c>
      <c r="E347" t="s">
        <v>10</v>
      </c>
      <c r="F347">
        <v>428.6</v>
      </c>
      <c r="G347" t="s">
        <v>70</v>
      </c>
      <c r="H347" t="s">
        <v>71</v>
      </c>
      <c r="I347" t="s">
        <v>72</v>
      </c>
    </row>
    <row r="348" spans="1:9" x14ac:dyDescent="0.25">
      <c r="A348" t="s">
        <v>71</v>
      </c>
      <c r="B348" t="s">
        <v>100</v>
      </c>
      <c r="C348" t="s">
        <v>762</v>
      </c>
      <c r="D348" s="1">
        <v>45232</v>
      </c>
      <c r="E348" t="s">
        <v>768</v>
      </c>
      <c r="F348">
        <v>-347.5</v>
      </c>
      <c r="G348" t="s">
        <v>68</v>
      </c>
      <c r="H348" t="s">
        <v>69</v>
      </c>
      <c r="I348" t="s">
        <v>69</v>
      </c>
    </row>
    <row r="349" spans="1:9" x14ac:dyDescent="0.25">
      <c r="A349" t="s">
        <v>71</v>
      </c>
      <c r="B349" t="s">
        <v>100</v>
      </c>
      <c r="C349" t="s">
        <v>762</v>
      </c>
      <c r="D349" s="1">
        <v>45232</v>
      </c>
      <c r="E349" t="s">
        <v>785</v>
      </c>
      <c r="F349">
        <v>-24.11</v>
      </c>
      <c r="G349" t="s">
        <v>70</v>
      </c>
      <c r="H349" t="s">
        <v>71</v>
      </c>
      <c r="I349" t="s">
        <v>72</v>
      </c>
    </row>
    <row r="350" spans="1:9" x14ac:dyDescent="0.25">
      <c r="A350" t="s">
        <v>71</v>
      </c>
      <c r="B350" t="s">
        <v>100</v>
      </c>
      <c r="C350" t="s">
        <v>762</v>
      </c>
      <c r="D350" s="1">
        <v>45232</v>
      </c>
      <c r="E350" t="s">
        <v>41</v>
      </c>
      <c r="F350">
        <v>-6.49</v>
      </c>
      <c r="G350" t="s">
        <v>70</v>
      </c>
      <c r="H350" t="s">
        <v>71</v>
      </c>
      <c r="I350" t="s">
        <v>72</v>
      </c>
    </row>
    <row r="351" spans="1:9" x14ac:dyDescent="0.25">
      <c r="A351" t="s">
        <v>71</v>
      </c>
      <c r="B351" t="s">
        <v>100</v>
      </c>
      <c r="C351" t="s">
        <v>762</v>
      </c>
      <c r="D351" s="1">
        <v>45234</v>
      </c>
      <c r="E351" t="s">
        <v>8</v>
      </c>
      <c r="F351">
        <v>43.62</v>
      </c>
      <c r="G351" t="s">
        <v>70</v>
      </c>
      <c r="H351" t="s">
        <v>71</v>
      </c>
      <c r="I351" t="s">
        <v>72</v>
      </c>
    </row>
    <row r="352" spans="1:9" x14ac:dyDescent="0.25">
      <c r="A352" t="s">
        <v>71</v>
      </c>
      <c r="B352" t="s">
        <v>100</v>
      </c>
      <c r="C352" t="s">
        <v>762</v>
      </c>
      <c r="D352" s="1">
        <v>45234</v>
      </c>
      <c r="E352" t="s">
        <v>9</v>
      </c>
      <c r="F352">
        <v>6.4</v>
      </c>
      <c r="G352" t="s">
        <v>70</v>
      </c>
      <c r="H352" t="s">
        <v>71</v>
      </c>
      <c r="I352" t="s">
        <v>72</v>
      </c>
    </row>
    <row r="353" spans="1:9" x14ac:dyDescent="0.25">
      <c r="A353" t="s">
        <v>71</v>
      </c>
      <c r="B353" t="s">
        <v>100</v>
      </c>
      <c r="C353" t="s">
        <v>762</v>
      </c>
      <c r="D353" s="1">
        <v>45234</v>
      </c>
      <c r="E353" t="s">
        <v>41</v>
      </c>
      <c r="F353">
        <v>-65.13</v>
      </c>
      <c r="G353" t="s">
        <v>70</v>
      </c>
      <c r="H353" t="s">
        <v>71</v>
      </c>
      <c r="I353" t="s">
        <v>72</v>
      </c>
    </row>
    <row r="354" spans="1:9" x14ac:dyDescent="0.25">
      <c r="A354" t="s">
        <v>71</v>
      </c>
      <c r="B354" t="s">
        <v>100</v>
      </c>
      <c r="C354" t="s">
        <v>762</v>
      </c>
      <c r="D354" s="1">
        <v>45235</v>
      </c>
      <c r="E354" t="s">
        <v>24</v>
      </c>
      <c r="F354">
        <v>13.81</v>
      </c>
      <c r="G354" t="s">
        <v>70</v>
      </c>
      <c r="H354" t="s">
        <v>71</v>
      </c>
      <c r="I354" t="s">
        <v>72</v>
      </c>
    </row>
    <row r="355" spans="1:9" x14ac:dyDescent="0.25">
      <c r="A355" t="s">
        <v>71</v>
      </c>
      <c r="B355" t="s">
        <v>100</v>
      </c>
      <c r="C355" t="s">
        <v>762</v>
      </c>
      <c r="D355" s="1">
        <v>45235</v>
      </c>
      <c r="E355" t="s">
        <v>41</v>
      </c>
      <c r="F355">
        <v>-16.03</v>
      </c>
      <c r="G355" t="s">
        <v>70</v>
      </c>
      <c r="H355" t="s">
        <v>71</v>
      </c>
      <c r="I355" t="s">
        <v>72</v>
      </c>
    </row>
    <row r="356" spans="1:9" x14ac:dyDescent="0.25">
      <c r="A356" t="s">
        <v>71</v>
      </c>
      <c r="B356" t="s">
        <v>100</v>
      </c>
      <c r="C356" t="s">
        <v>762</v>
      </c>
      <c r="D356" s="1">
        <v>45235</v>
      </c>
      <c r="E356" t="s">
        <v>786</v>
      </c>
      <c r="F356">
        <v>75.05</v>
      </c>
      <c r="G356" t="s">
        <v>70</v>
      </c>
      <c r="H356" t="s">
        <v>71</v>
      </c>
      <c r="I356" t="s">
        <v>72</v>
      </c>
    </row>
    <row r="357" spans="1:9" x14ac:dyDescent="0.25">
      <c r="A357" t="s">
        <v>71</v>
      </c>
      <c r="B357" t="s">
        <v>100</v>
      </c>
      <c r="C357" t="s">
        <v>762</v>
      </c>
      <c r="D357" s="1">
        <v>45235</v>
      </c>
      <c r="E357" t="s">
        <v>41</v>
      </c>
      <c r="F357">
        <v>-15.84</v>
      </c>
      <c r="G357" t="s">
        <v>70</v>
      </c>
      <c r="H357" t="s">
        <v>71</v>
      </c>
      <c r="I357" t="s">
        <v>72</v>
      </c>
    </row>
    <row r="358" spans="1:9" x14ac:dyDescent="0.25">
      <c r="A358" t="s">
        <v>71</v>
      </c>
      <c r="B358" t="s">
        <v>100</v>
      </c>
      <c r="C358" t="s">
        <v>762</v>
      </c>
      <c r="D358" s="1">
        <v>45236</v>
      </c>
      <c r="E358" t="s">
        <v>11</v>
      </c>
      <c r="F358">
        <v>23.76</v>
      </c>
      <c r="G358" t="s">
        <v>70</v>
      </c>
      <c r="H358" t="s">
        <v>71</v>
      </c>
      <c r="I358" t="s">
        <v>72</v>
      </c>
    </row>
    <row r="359" spans="1:9" x14ac:dyDescent="0.25">
      <c r="A359" t="s">
        <v>71</v>
      </c>
      <c r="B359" t="s">
        <v>100</v>
      </c>
      <c r="C359" t="s">
        <v>762</v>
      </c>
      <c r="D359" s="1">
        <v>45236</v>
      </c>
      <c r="E359" t="s">
        <v>12</v>
      </c>
      <c r="F359">
        <v>14.49</v>
      </c>
      <c r="G359" t="s">
        <v>70</v>
      </c>
      <c r="H359" t="s">
        <v>71</v>
      </c>
      <c r="I359" t="s">
        <v>72</v>
      </c>
    </row>
    <row r="360" spans="1:9" x14ac:dyDescent="0.25">
      <c r="A360" t="s">
        <v>71</v>
      </c>
      <c r="B360" t="s">
        <v>100</v>
      </c>
      <c r="C360" t="s">
        <v>762</v>
      </c>
      <c r="D360" s="1">
        <v>45237</v>
      </c>
      <c r="E360" t="s">
        <v>41</v>
      </c>
      <c r="F360">
        <v>-8.7200000000000006</v>
      </c>
      <c r="G360" t="s">
        <v>70</v>
      </c>
      <c r="H360" t="s">
        <v>71</v>
      </c>
      <c r="I360" t="s">
        <v>72</v>
      </c>
    </row>
    <row r="361" spans="1:9" x14ac:dyDescent="0.25">
      <c r="A361" t="s">
        <v>71</v>
      </c>
      <c r="B361" t="s">
        <v>100</v>
      </c>
      <c r="C361" t="s">
        <v>762</v>
      </c>
      <c r="D361" s="1">
        <v>45238</v>
      </c>
      <c r="E361" t="s">
        <v>51</v>
      </c>
      <c r="F361">
        <v>1253.07</v>
      </c>
      <c r="G361" t="s">
        <v>73</v>
      </c>
      <c r="H361" t="s">
        <v>74</v>
      </c>
      <c r="I361" t="s">
        <v>75</v>
      </c>
    </row>
    <row r="362" spans="1:9" x14ac:dyDescent="0.25">
      <c r="A362" t="s">
        <v>71</v>
      </c>
      <c r="B362" t="s">
        <v>100</v>
      </c>
      <c r="C362" t="s">
        <v>762</v>
      </c>
      <c r="D362" s="1">
        <v>45238</v>
      </c>
      <c r="E362" t="s">
        <v>772</v>
      </c>
      <c r="F362">
        <v>-1125.02</v>
      </c>
      <c r="G362" t="s">
        <v>70</v>
      </c>
      <c r="H362" t="s">
        <v>71</v>
      </c>
      <c r="I362" t="s">
        <v>72</v>
      </c>
    </row>
    <row r="363" spans="1:9" x14ac:dyDescent="0.25">
      <c r="A363" t="s">
        <v>71</v>
      </c>
      <c r="B363" t="s">
        <v>100</v>
      </c>
      <c r="C363" t="s">
        <v>762</v>
      </c>
      <c r="D363" s="1">
        <v>45238</v>
      </c>
      <c r="E363" t="s">
        <v>41</v>
      </c>
      <c r="F363">
        <v>-46.33</v>
      </c>
      <c r="G363" t="s">
        <v>70</v>
      </c>
      <c r="H363" t="s">
        <v>71</v>
      </c>
      <c r="I363" t="s">
        <v>72</v>
      </c>
    </row>
    <row r="364" spans="1:9" x14ac:dyDescent="0.25">
      <c r="A364" t="s">
        <v>71</v>
      </c>
      <c r="B364" t="s">
        <v>100</v>
      </c>
      <c r="C364" t="s">
        <v>762</v>
      </c>
      <c r="D364" s="1">
        <v>45238</v>
      </c>
      <c r="E364" t="s">
        <v>41</v>
      </c>
      <c r="F364">
        <v>-63.39</v>
      </c>
      <c r="G364" t="s">
        <v>70</v>
      </c>
      <c r="H364" t="s">
        <v>71</v>
      </c>
      <c r="I364" t="s">
        <v>72</v>
      </c>
    </row>
    <row r="365" spans="1:9" x14ac:dyDescent="0.25">
      <c r="A365" t="s">
        <v>71</v>
      </c>
      <c r="B365" t="s">
        <v>100</v>
      </c>
      <c r="C365" t="s">
        <v>762</v>
      </c>
      <c r="D365" s="1">
        <v>45238</v>
      </c>
      <c r="E365" t="s">
        <v>786</v>
      </c>
      <c r="F365">
        <v>25.58</v>
      </c>
      <c r="G365" t="s">
        <v>70</v>
      </c>
      <c r="H365" t="s">
        <v>71</v>
      </c>
      <c r="I365" t="s">
        <v>72</v>
      </c>
    </row>
    <row r="366" spans="1:9" x14ac:dyDescent="0.25">
      <c r="A366" t="s">
        <v>71</v>
      </c>
      <c r="B366" t="s">
        <v>100</v>
      </c>
      <c r="C366" t="s">
        <v>762</v>
      </c>
      <c r="D366" s="1">
        <v>45238</v>
      </c>
      <c r="E366" t="s">
        <v>772</v>
      </c>
      <c r="F366">
        <v>-113.37</v>
      </c>
      <c r="G366" t="s">
        <v>70</v>
      </c>
      <c r="H366" t="s">
        <v>71</v>
      </c>
      <c r="I366" t="s">
        <v>72</v>
      </c>
    </row>
    <row r="367" spans="1:9" x14ac:dyDescent="0.25">
      <c r="A367" t="s">
        <v>71</v>
      </c>
      <c r="B367" t="s">
        <v>100</v>
      </c>
      <c r="C367" t="s">
        <v>762</v>
      </c>
      <c r="D367" s="1">
        <v>45239</v>
      </c>
      <c r="E367" t="s">
        <v>41</v>
      </c>
      <c r="F367">
        <v>-2.2599999999999998</v>
      </c>
      <c r="G367" t="s">
        <v>70</v>
      </c>
      <c r="H367" t="s">
        <v>71</v>
      </c>
      <c r="I367" t="s">
        <v>72</v>
      </c>
    </row>
    <row r="368" spans="1:9" x14ac:dyDescent="0.25">
      <c r="A368" t="s">
        <v>71</v>
      </c>
      <c r="B368" t="s">
        <v>100</v>
      </c>
      <c r="C368" t="s">
        <v>762</v>
      </c>
      <c r="D368" s="1">
        <v>45242</v>
      </c>
      <c r="E368" t="s">
        <v>41</v>
      </c>
      <c r="F368">
        <v>-12.5</v>
      </c>
      <c r="G368" t="s">
        <v>70</v>
      </c>
      <c r="H368" t="s">
        <v>71</v>
      </c>
      <c r="I368" t="s">
        <v>72</v>
      </c>
    </row>
    <row r="369" spans="1:9" x14ac:dyDescent="0.25">
      <c r="A369" t="s">
        <v>71</v>
      </c>
      <c r="B369" t="s">
        <v>100</v>
      </c>
      <c r="C369" t="s">
        <v>762</v>
      </c>
      <c r="D369" s="1">
        <v>45243</v>
      </c>
      <c r="E369" t="s">
        <v>14</v>
      </c>
      <c r="F369">
        <v>76.83</v>
      </c>
      <c r="G369" t="s">
        <v>70</v>
      </c>
      <c r="H369" t="s">
        <v>71</v>
      </c>
      <c r="I369" t="s">
        <v>72</v>
      </c>
    </row>
    <row r="370" spans="1:9" x14ac:dyDescent="0.25">
      <c r="A370" t="s">
        <v>71</v>
      </c>
      <c r="B370" t="s">
        <v>100</v>
      </c>
      <c r="C370" t="s">
        <v>762</v>
      </c>
      <c r="D370" s="1">
        <v>45245</v>
      </c>
      <c r="E370" t="s">
        <v>41</v>
      </c>
      <c r="F370">
        <v>-0.59</v>
      </c>
      <c r="G370" t="s">
        <v>70</v>
      </c>
      <c r="H370" t="s">
        <v>71</v>
      </c>
      <c r="I370" t="s">
        <v>72</v>
      </c>
    </row>
    <row r="371" spans="1:9" x14ac:dyDescent="0.25">
      <c r="A371" t="s">
        <v>71</v>
      </c>
      <c r="B371" t="s">
        <v>100</v>
      </c>
      <c r="C371" t="s">
        <v>762</v>
      </c>
      <c r="D371" s="1">
        <v>45245</v>
      </c>
      <c r="E371" t="s">
        <v>10</v>
      </c>
      <c r="F371">
        <v>53.18</v>
      </c>
      <c r="G371" t="s">
        <v>70</v>
      </c>
      <c r="H371" t="s">
        <v>71</v>
      </c>
      <c r="I371" t="s">
        <v>72</v>
      </c>
    </row>
    <row r="372" spans="1:9" x14ac:dyDescent="0.25">
      <c r="A372" t="s">
        <v>71</v>
      </c>
      <c r="B372" t="s">
        <v>100</v>
      </c>
      <c r="C372" t="s">
        <v>762</v>
      </c>
      <c r="D372" s="1">
        <v>45245</v>
      </c>
      <c r="E372" t="s">
        <v>768</v>
      </c>
      <c r="F372">
        <v>-234.91</v>
      </c>
      <c r="G372" t="s">
        <v>68</v>
      </c>
      <c r="H372" t="s">
        <v>69</v>
      </c>
      <c r="I372" t="s">
        <v>69</v>
      </c>
    </row>
    <row r="373" spans="1:9" x14ac:dyDescent="0.25">
      <c r="A373" t="s">
        <v>71</v>
      </c>
      <c r="B373" t="s">
        <v>100</v>
      </c>
      <c r="C373" t="s">
        <v>762</v>
      </c>
      <c r="D373" s="1">
        <v>45245</v>
      </c>
      <c r="E373" t="s">
        <v>41</v>
      </c>
      <c r="F373">
        <v>-27.37</v>
      </c>
      <c r="G373" t="s">
        <v>70</v>
      </c>
      <c r="H373" t="s">
        <v>71</v>
      </c>
      <c r="I373" t="s">
        <v>72</v>
      </c>
    </row>
    <row r="374" spans="1:9" x14ac:dyDescent="0.25">
      <c r="A374" t="s">
        <v>71</v>
      </c>
      <c r="B374" t="s">
        <v>100</v>
      </c>
      <c r="C374" t="s">
        <v>762</v>
      </c>
      <c r="D374" s="1">
        <v>45246</v>
      </c>
      <c r="E374" t="s">
        <v>41</v>
      </c>
      <c r="F374">
        <v>-0.66</v>
      </c>
      <c r="G374" t="s">
        <v>70</v>
      </c>
      <c r="H374" t="s">
        <v>71</v>
      </c>
      <c r="I374" t="s">
        <v>72</v>
      </c>
    </row>
    <row r="375" spans="1:9" x14ac:dyDescent="0.25">
      <c r="A375" t="s">
        <v>71</v>
      </c>
      <c r="B375" t="s">
        <v>100</v>
      </c>
      <c r="C375" t="s">
        <v>762</v>
      </c>
      <c r="D375" s="1">
        <v>45246</v>
      </c>
      <c r="E375" t="s">
        <v>41</v>
      </c>
      <c r="F375">
        <v>-9.8800000000000008</v>
      </c>
      <c r="G375" t="s">
        <v>70</v>
      </c>
      <c r="H375" t="s">
        <v>71</v>
      </c>
      <c r="I375" t="s">
        <v>72</v>
      </c>
    </row>
    <row r="376" spans="1:9" x14ac:dyDescent="0.25">
      <c r="A376" t="s">
        <v>71</v>
      </c>
      <c r="B376" t="s">
        <v>100</v>
      </c>
      <c r="C376" t="s">
        <v>762</v>
      </c>
      <c r="D376" s="1">
        <v>45248</v>
      </c>
      <c r="E376" t="s">
        <v>18</v>
      </c>
      <c r="F376">
        <v>116.4</v>
      </c>
      <c r="G376" t="s">
        <v>70</v>
      </c>
      <c r="H376" t="s">
        <v>71</v>
      </c>
      <c r="I376" t="s">
        <v>72</v>
      </c>
    </row>
    <row r="377" spans="1:9" x14ac:dyDescent="0.25">
      <c r="A377" t="s">
        <v>71</v>
      </c>
      <c r="B377" t="s">
        <v>100</v>
      </c>
      <c r="C377" t="s">
        <v>762</v>
      </c>
      <c r="D377" s="1">
        <v>45248</v>
      </c>
      <c r="E377" t="s">
        <v>20</v>
      </c>
      <c r="F377">
        <v>86.93</v>
      </c>
      <c r="G377" t="s">
        <v>70</v>
      </c>
      <c r="H377" t="s">
        <v>71</v>
      </c>
      <c r="I377" t="s">
        <v>72</v>
      </c>
    </row>
    <row r="378" spans="1:9" x14ac:dyDescent="0.25">
      <c r="A378" t="s">
        <v>71</v>
      </c>
      <c r="B378" t="s">
        <v>100</v>
      </c>
      <c r="C378" t="s">
        <v>762</v>
      </c>
      <c r="D378" s="1">
        <v>45248</v>
      </c>
      <c r="E378" t="s">
        <v>19</v>
      </c>
      <c r="F378">
        <v>47.53</v>
      </c>
      <c r="G378" t="s">
        <v>70</v>
      </c>
      <c r="H378" t="s">
        <v>71</v>
      </c>
      <c r="I378" t="s">
        <v>72</v>
      </c>
    </row>
    <row r="379" spans="1:9" x14ac:dyDescent="0.25">
      <c r="A379" t="s">
        <v>71</v>
      </c>
      <c r="B379" t="s">
        <v>100</v>
      </c>
      <c r="C379" t="s">
        <v>762</v>
      </c>
      <c r="D379" s="1">
        <v>45249</v>
      </c>
      <c r="E379" t="s">
        <v>785</v>
      </c>
      <c r="F379">
        <v>-60.72</v>
      </c>
      <c r="G379" t="s">
        <v>70</v>
      </c>
      <c r="H379" t="s">
        <v>71</v>
      </c>
      <c r="I379" t="s">
        <v>72</v>
      </c>
    </row>
    <row r="380" spans="1:9" x14ac:dyDescent="0.25">
      <c r="A380" t="s">
        <v>71</v>
      </c>
      <c r="B380" t="s">
        <v>100</v>
      </c>
      <c r="C380" t="s">
        <v>762</v>
      </c>
      <c r="D380" s="1">
        <v>45249</v>
      </c>
      <c r="E380" t="s">
        <v>786</v>
      </c>
      <c r="F380">
        <v>17.41</v>
      </c>
      <c r="G380" t="s">
        <v>70</v>
      </c>
      <c r="H380" t="s">
        <v>71</v>
      </c>
      <c r="I380" t="s">
        <v>72</v>
      </c>
    </row>
    <row r="381" spans="1:9" x14ac:dyDescent="0.25">
      <c r="A381" t="s">
        <v>71</v>
      </c>
      <c r="B381" t="s">
        <v>100</v>
      </c>
      <c r="C381" t="s">
        <v>762</v>
      </c>
      <c r="D381" s="1">
        <v>45249</v>
      </c>
      <c r="E381" t="s">
        <v>772</v>
      </c>
      <c r="F381">
        <v>-274.35000000000002</v>
      </c>
      <c r="G381" t="s">
        <v>70</v>
      </c>
      <c r="H381" t="s">
        <v>71</v>
      </c>
      <c r="I381" t="s">
        <v>72</v>
      </c>
    </row>
    <row r="382" spans="1:9" x14ac:dyDescent="0.25">
      <c r="A382" t="s">
        <v>71</v>
      </c>
      <c r="B382" t="s">
        <v>100</v>
      </c>
      <c r="C382" t="s">
        <v>762</v>
      </c>
      <c r="D382" s="1">
        <v>45249</v>
      </c>
      <c r="E382" t="s">
        <v>41</v>
      </c>
      <c r="F382">
        <v>-24.19</v>
      </c>
      <c r="G382" t="s">
        <v>70</v>
      </c>
      <c r="H382" t="s">
        <v>71</v>
      </c>
      <c r="I382" t="s">
        <v>72</v>
      </c>
    </row>
    <row r="383" spans="1:9" x14ac:dyDescent="0.25">
      <c r="A383" t="s">
        <v>71</v>
      </c>
      <c r="B383" t="s">
        <v>100</v>
      </c>
      <c r="C383" t="s">
        <v>762</v>
      </c>
      <c r="D383" s="1">
        <v>45250</v>
      </c>
      <c r="E383" t="s">
        <v>786</v>
      </c>
      <c r="F383">
        <v>126.85</v>
      </c>
      <c r="G383" t="s">
        <v>70</v>
      </c>
      <c r="H383" t="s">
        <v>71</v>
      </c>
      <c r="I383" t="s">
        <v>72</v>
      </c>
    </row>
    <row r="384" spans="1:9" x14ac:dyDescent="0.25">
      <c r="A384" t="s">
        <v>71</v>
      </c>
      <c r="B384" t="s">
        <v>100</v>
      </c>
      <c r="C384" t="s">
        <v>762</v>
      </c>
      <c r="D384" s="1">
        <v>45250</v>
      </c>
      <c r="E384" t="s">
        <v>52</v>
      </c>
      <c r="F384">
        <v>-33.82</v>
      </c>
      <c r="G384" t="s">
        <v>70</v>
      </c>
      <c r="H384" t="s">
        <v>71</v>
      </c>
      <c r="I384" t="s">
        <v>72</v>
      </c>
    </row>
    <row r="385" spans="1:9" x14ac:dyDescent="0.25">
      <c r="A385" t="s">
        <v>71</v>
      </c>
      <c r="B385" t="s">
        <v>100</v>
      </c>
      <c r="C385" t="s">
        <v>762</v>
      </c>
      <c r="D385" s="1">
        <v>45250</v>
      </c>
      <c r="E385" t="s">
        <v>21</v>
      </c>
      <c r="F385">
        <v>36.869999999999997</v>
      </c>
      <c r="G385" t="s">
        <v>70</v>
      </c>
      <c r="H385" t="s">
        <v>71</v>
      </c>
      <c r="I385" t="s">
        <v>72</v>
      </c>
    </row>
    <row r="386" spans="1:9" x14ac:dyDescent="0.25">
      <c r="A386" t="s">
        <v>71</v>
      </c>
      <c r="B386" t="s">
        <v>100</v>
      </c>
      <c r="C386" t="s">
        <v>762</v>
      </c>
      <c r="D386" s="1">
        <v>45250</v>
      </c>
      <c r="E386" t="s">
        <v>785</v>
      </c>
      <c r="F386">
        <v>-210.74</v>
      </c>
      <c r="G386" t="s">
        <v>70</v>
      </c>
      <c r="H386" t="s">
        <v>71</v>
      </c>
      <c r="I386" t="s">
        <v>72</v>
      </c>
    </row>
    <row r="387" spans="1:9" x14ac:dyDescent="0.25">
      <c r="A387" t="s">
        <v>71</v>
      </c>
      <c r="B387" t="s">
        <v>100</v>
      </c>
      <c r="C387" t="s">
        <v>762</v>
      </c>
      <c r="D387" s="1">
        <v>45250</v>
      </c>
      <c r="E387" t="s">
        <v>786</v>
      </c>
      <c r="F387">
        <v>79.41</v>
      </c>
      <c r="G387" t="s">
        <v>70</v>
      </c>
      <c r="H387" t="s">
        <v>71</v>
      </c>
      <c r="I387" t="s">
        <v>72</v>
      </c>
    </row>
    <row r="388" spans="1:9" x14ac:dyDescent="0.25">
      <c r="A388" t="s">
        <v>71</v>
      </c>
      <c r="B388" t="s">
        <v>100</v>
      </c>
      <c r="C388" t="s">
        <v>762</v>
      </c>
      <c r="D388" s="1">
        <v>45250</v>
      </c>
      <c r="E388" t="s">
        <v>52</v>
      </c>
      <c r="F388">
        <v>-248.91</v>
      </c>
      <c r="G388" t="s">
        <v>70</v>
      </c>
      <c r="H388" t="s">
        <v>71</v>
      </c>
      <c r="I388" t="s">
        <v>72</v>
      </c>
    </row>
    <row r="389" spans="1:9" x14ac:dyDescent="0.25">
      <c r="A389" t="s">
        <v>71</v>
      </c>
      <c r="B389" t="s">
        <v>100</v>
      </c>
      <c r="C389" t="s">
        <v>762</v>
      </c>
      <c r="D389" s="1">
        <v>45251</v>
      </c>
      <c r="E389" t="s">
        <v>41</v>
      </c>
      <c r="F389">
        <v>-45.66</v>
      </c>
      <c r="G389" t="s">
        <v>70</v>
      </c>
      <c r="H389" t="s">
        <v>71</v>
      </c>
      <c r="I389" t="s">
        <v>72</v>
      </c>
    </row>
    <row r="390" spans="1:9" x14ac:dyDescent="0.25">
      <c r="A390" t="s">
        <v>71</v>
      </c>
      <c r="B390" t="s">
        <v>100</v>
      </c>
      <c r="C390" t="s">
        <v>762</v>
      </c>
      <c r="D390" s="1">
        <v>45252</v>
      </c>
      <c r="E390" t="s">
        <v>53</v>
      </c>
      <c r="F390">
        <v>187.39</v>
      </c>
      <c r="G390" t="s">
        <v>73</v>
      </c>
      <c r="H390" t="s">
        <v>74</v>
      </c>
      <c r="I390" t="s">
        <v>75</v>
      </c>
    </row>
    <row r="391" spans="1:9" x14ac:dyDescent="0.25">
      <c r="A391" t="s">
        <v>71</v>
      </c>
      <c r="B391" t="s">
        <v>100</v>
      </c>
      <c r="C391" t="s">
        <v>762</v>
      </c>
      <c r="D391" s="1">
        <v>45252</v>
      </c>
      <c r="E391" t="s">
        <v>41</v>
      </c>
      <c r="F391">
        <v>-157.13</v>
      </c>
      <c r="G391" t="s">
        <v>70</v>
      </c>
      <c r="H391" t="s">
        <v>71</v>
      </c>
      <c r="I391" t="s">
        <v>72</v>
      </c>
    </row>
    <row r="392" spans="1:9" x14ac:dyDescent="0.25">
      <c r="A392" t="s">
        <v>71</v>
      </c>
      <c r="B392" t="s">
        <v>100</v>
      </c>
      <c r="C392" t="s">
        <v>762</v>
      </c>
      <c r="D392" s="1">
        <v>45252</v>
      </c>
      <c r="E392" t="s">
        <v>52</v>
      </c>
      <c r="F392">
        <v>-1169.33</v>
      </c>
      <c r="G392" t="s">
        <v>70</v>
      </c>
      <c r="H392" t="s">
        <v>71</v>
      </c>
      <c r="I392" t="s">
        <v>72</v>
      </c>
    </row>
    <row r="393" spans="1:9" x14ac:dyDescent="0.25">
      <c r="A393" t="s">
        <v>71</v>
      </c>
      <c r="B393" t="s">
        <v>100</v>
      </c>
      <c r="C393" t="s">
        <v>762</v>
      </c>
      <c r="D393" s="1">
        <v>45252</v>
      </c>
      <c r="E393" t="s">
        <v>10</v>
      </c>
      <c r="F393">
        <v>317.86</v>
      </c>
      <c r="G393" t="s">
        <v>70</v>
      </c>
      <c r="H393" t="s">
        <v>71</v>
      </c>
      <c r="I393" t="s">
        <v>72</v>
      </c>
    </row>
    <row r="394" spans="1:9" x14ac:dyDescent="0.25">
      <c r="A394" t="s">
        <v>71</v>
      </c>
      <c r="B394" t="s">
        <v>100</v>
      </c>
      <c r="C394" t="s">
        <v>762</v>
      </c>
      <c r="D394" s="1">
        <v>45252</v>
      </c>
      <c r="E394" t="s">
        <v>785</v>
      </c>
      <c r="F394">
        <v>-422.79</v>
      </c>
      <c r="G394" t="s">
        <v>70</v>
      </c>
      <c r="H394" t="s">
        <v>71</v>
      </c>
      <c r="I394" t="s">
        <v>72</v>
      </c>
    </row>
    <row r="395" spans="1:9" x14ac:dyDescent="0.25">
      <c r="A395" t="s">
        <v>71</v>
      </c>
      <c r="B395" t="s">
        <v>100</v>
      </c>
      <c r="C395" t="s">
        <v>762</v>
      </c>
      <c r="D395" s="1">
        <v>45253</v>
      </c>
      <c r="E395" t="s">
        <v>41</v>
      </c>
      <c r="F395">
        <v>-4.0199999999999996</v>
      </c>
      <c r="G395" t="s">
        <v>70</v>
      </c>
      <c r="H395" t="s">
        <v>71</v>
      </c>
      <c r="I395" t="s">
        <v>72</v>
      </c>
    </row>
    <row r="396" spans="1:9" x14ac:dyDescent="0.25">
      <c r="A396" t="s">
        <v>71</v>
      </c>
      <c r="B396" t="s">
        <v>100</v>
      </c>
      <c r="C396" t="s">
        <v>762</v>
      </c>
      <c r="D396" s="1">
        <v>45254</v>
      </c>
      <c r="E396" t="s">
        <v>23</v>
      </c>
      <c r="F396">
        <v>6.66</v>
      </c>
      <c r="G396" t="s">
        <v>70</v>
      </c>
      <c r="H396" t="s">
        <v>71</v>
      </c>
      <c r="I396" t="s">
        <v>72</v>
      </c>
    </row>
    <row r="397" spans="1:9" x14ac:dyDescent="0.25">
      <c r="A397" t="s">
        <v>71</v>
      </c>
      <c r="B397" t="s">
        <v>100</v>
      </c>
      <c r="C397" t="s">
        <v>762</v>
      </c>
      <c r="D397" s="1">
        <v>45254</v>
      </c>
      <c r="E397" t="s">
        <v>16</v>
      </c>
      <c r="F397">
        <v>12.86</v>
      </c>
      <c r="G397" t="s">
        <v>70</v>
      </c>
      <c r="H397" t="s">
        <v>71</v>
      </c>
      <c r="I397" t="s">
        <v>72</v>
      </c>
    </row>
    <row r="398" spans="1:9" x14ac:dyDescent="0.25">
      <c r="A398" t="s">
        <v>71</v>
      </c>
      <c r="B398" t="s">
        <v>100</v>
      </c>
      <c r="C398" t="s">
        <v>762</v>
      </c>
      <c r="D398" s="1">
        <v>45255</v>
      </c>
      <c r="E398" t="s">
        <v>41</v>
      </c>
      <c r="F398">
        <v>-7.78</v>
      </c>
      <c r="G398" t="s">
        <v>70</v>
      </c>
      <c r="H398" t="s">
        <v>71</v>
      </c>
      <c r="I398" t="s">
        <v>72</v>
      </c>
    </row>
    <row r="399" spans="1:9" x14ac:dyDescent="0.25">
      <c r="A399" t="s">
        <v>71</v>
      </c>
      <c r="B399" t="s">
        <v>100</v>
      </c>
      <c r="C399" t="s">
        <v>762</v>
      </c>
      <c r="D399" s="1">
        <v>45256</v>
      </c>
      <c r="E399" t="s">
        <v>41</v>
      </c>
      <c r="F399">
        <v>-94.7</v>
      </c>
      <c r="G399" t="s">
        <v>70</v>
      </c>
      <c r="H399" t="s">
        <v>71</v>
      </c>
      <c r="I399" t="s">
        <v>72</v>
      </c>
    </row>
    <row r="400" spans="1:9" x14ac:dyDescent="0.25">
      <c r="A400" t="s">
        <v>71</v>
      </c>
      <c r="B400" t="s">
        <v>100</v>
      </c>
      <c r="C400" t="s">
        <v>762</v>
      </c>
      <c r="D400" s="1">
        <v>45258</v>
      </c>
      <c r="E400" t="s">
        <v>786</v>
      </c>
      <c r="F400">
        <v>134.56</v>
      </c>
      <c r="G400" t="s">
        <v>70</v>
      </c>
      <c r="H400" t="s">
        <v>71</v>
      </c>
      <c r="I400" t="s">
        <v>72</v>
      </c>
    </row>
    <row r="401" spans="1:9" x14ac:dyDescent="0.25">
      <c r="A401" t="s">
        <v>71</v>
      </c>
      <c r="B401" t="s">
        <v>100</v>
      </c>
      <c r="C401" t="s">
        <v>762</v>
      </c>
      <c r="D401" s="1">
        <v>45258</v>
      </c>
      <c r="E401" t="s">
        <v>52</v>
      </c>
      <c r="F401">
        <v>-111.5</v>
      </c>
      <c r="G401" t="s">
        <v>70</v>
      </c>
      <c r="H401" t="s">
        <v>71</v>
      </c>
      <c r="I401" t="s">
        <v>72</v>
      </c>
    </row>
    <row r="402" spans="1:9" x14ac:dyDescent="0.25">
      <c r="A402" t="s">
        <v>71</v>
      </c>
      <c r="B402" t="s">
        <v>100</v>
      </c>
      <c r="C402" t="s">
        <v>762</v>
      </c>
      <c r="D402" s="1">
        <v>45258</v>
      </c>
      <c r="E402" t="s">
        <v>786</v>
      </c>
      <c r="F402">
        <v>195.03</v>
      </c>
      <c r="G402" t="s">
        <v>70</v>
      </c>
      <c r="H402" t="s">
        <v>71</v>
      </c>
      <c r="I402" t="s">
        <v>72</v>
      </c>
    </row>
    <row r="403" spans="1:9" x14ac:dyDescent="0.25">
      <c r="A403" t="s">
        <v>71</v>
      </c>
      <c r="B403" t="s">
        <v>100</v>
      </c>
      <c r="C403" t="s">
        <v>762</v>
      </c>
      <c r="D403" s="1">
        <v>45258</v>
      </c>
      <c r="E403" t="s">
        <v>41</v>
      </c>
      <c r="F403">
        <v>-9.2200000000000006</v>
      </c>
      <c r="G403" t="s">
        <v>70</v>
      </c>
      <c r="H403" t="s">
        <v>71</v>
      </c>
      <c r="I403" t="s">
        <v>72</v>
      </c>
    </row>
    <row r="404" spans="1:9" x14ac:dyDescent="0.25">
      <c r="A404" t="s">
        <v>71</v>
      </c>
      <c r="B404" t="s">
        <v>100</v>
      </c>
      <c r="C404" t="s">
        <v>762</v>
      </c>
      <c r="D404" s="1">
        <v>45258</v>
      </c>
      <c r="E404" t="s">
        <v>52</v>
      </c>
      <c r="F404">
        <v>-33.590000000000003</v>
      </c>
      <c r="G404" t="s">
        <v>70</v>
      </c>
      <c r="H404" t="s">
        <v>71</v>
      </c>
      <c r="I404" t="s">
        <v>72</v>
      </c>
    </row>
    <row r="405" spans="1:9" x14ac:dyDescent="0.25">
      <c r="A405" t="s">
        <v>71</v>
      </c>
      <c r="B405" t="s">
        <v>100</v>
      </c>
      <c r="C405" t="s">
        <v>762</v>
      </c>
      <c r="D405" s="1">
        <v>45259</v>
      </c>
      <c r="E405" t="s">
        <v>10</v>
      </c>
      <c r="F405">
        <v>139.18</v>
      </c>
      <c r="G405" t="s">
        <v>70</v>
      </c>
      <c r="H405" t="s">
        <v>71</v>
      </c>
      <c r="I405" t="s">
        <v>72</v>
      </c>
    </row>
    <row r="406" spans="1:9" x14ac:dyDescent="0.25">
      <c r="A406" t="s">
        <v>71</v>
      </c>
      <c r="B406" t="s">
        <v>100</v>
      </c>
      <c r="C406" t="s">
        <v>762</v>
      </c>
      <c r="D406" s="1">
        <v>45260</v>
      </c>
      <c r="E406" t="s">
        <v>41</v>
      </c>
      <c r="F406">
        <v>-8.65</v>
      </c>
      <c r="G406" t="s">
        <v>70</v>
      </c>
      <c r="H406" t="s">
        <v>71</v>
      </c>
      <c r="I406" t="s">
        <v>72</v>
      </c>
    </row>
    <row r="407" spans="1:9" x14ac:dyDescent="0.25">
      <c r="A407" t="s">
        <v>71</v>
      </c>
      <c r="B407" t="s">
        <v>100</v>
      </c>
      <c r="C407" t="s">
        <v>762</v>
      </c>
      <c r="D407" s="1">
        <v>45261</v>
      </c>
      <c r="E407" t="s">
        <v>41</v>
      </c>
      <c r="F407">
        <v>-12.88</v>
      </c>
      <c r="G407" t="s">
        <v>70</v>
      </c>
      <c r="H407" t="s">
        <v>71</v>
      </c>
      <c r="I407" t="s">
        <v>72</v>
      </c>
    </row>
    <row r="408" spans="1:9" x14ac:dyDescent="0.25">
      <c r="A408" t="s">
        <v>71</v>
      </c>
      <c r="B408" t="s">
        <v>100</v>
      </c>
      <c r="C408" t="s">
        <v>762</v>
      </c>
      <c r="D408" s="1">
        <v>45263</v>
      </c>
      <c r="E408" t="s">
        <v>41</v>
      </c>
      <c r="F408">
        <v>-58.37</v>
      </c>
      <c r="G408" t="s">
        <v>70</v>
      </c>
      <c r="H408" t="s">
        <v>71</v>
      </c>
      <c r="I408" t="s">
        <v>72</v>
      </c>
    </row>
    <row r="409" spans="1:9" x14ac:dyDescent="0.25">
      <c r="A409" t="s">
        <v>71</v>
      </c>
      <c r="B409" t="s">
        <v>100</v>
      </c>
      <c r="C409" t="s">
        <v>762</v>
      </c>
      <c r="D409" s="1">
        <v>45263</v>
      </c>
      <c r="E409" t="s">
        <v>24</v>
      </c>
      <c r="F409">
        <v>15.09</v>
      </c>
      <c r="G409" t="s">
        <v>70</v>
      </c>
      <c r="H409" t="s">
        <v>71</v>
      </c>
      <c r="I409" t="s">
        <v>72</v>
      </c>
    </row>
    <row r="410" spans="1:9" x14ac:dyDescent="0.25">
      <c r="A410" t="s">
        <v>71</v>
      </c>
      <c r="B410" t="s">
        <v>100</v>
      </c>
      <c r="C410" t="s">
        <v>762</v>
      </c>
      <c r="D410" s="1">
        <v>45263</v>
      </c>
      <c r="E410" t="s">
        <v>41</v>
      </c>
      <c r="F410">
        <v>-6.69</v>
      </c>
      <c r="G410" t="s">
        <v>70</v>
      </c>
      <c r="H410" t="s">
        <v>71</v>
      </c>
      <c r="I410" t="s">
        <v>72</v>
      </c>
    </row>
    <row r="411" spans="1:9" x14ac:dyDescent="0.25">
      <c r="A411" t="s">
        <v>71</v>
      </c>
      <c r="B411" t="s">
        <v>100</v>
      </c>
      <c r="C411" t="s">
        <v>762</v>
      </c>
      <c r="D411" s="1">
        <v>45263</v>
      </c>
      <c r="E411" t="s">
        <v>41</v>
      </c>
      <c r="F411">
        <v>-77.010000000000005</v>
      </c>
      <c r="G411" t="s">
        <v>70</v>
      </c>
      <c r="H411" t="s">
        <v>71</v>
      </c>
      <c r="I411" t="s">
        <v>72</v>
      </c>
    </row>
    <row r="412" spans="1:9" x14ac:dyDescent="0.25">
      <c r="A412" t="s">
        <v>71</v>
      </c>
      <c r="B412" t="s">
        <v>100</v>
      </c>
      <c r="C412" t="s">
        <v>762</v>
      </c>
      <c r="D412" s="1">
        <v>45264</v>
      </c>
      <c r="E412" t="s">
        <v>8</v>
      </c>
      <c r="F412">
        <v>58.14</v>
      </c>
      <c r="G412" t="s">
        <v>70</v>
      </c>
      <c r="H412" t="s">
        <v>71</v>
      </c>
      <c r="I412" t="s">
        <v>72</v>
      </c>
    </row>
    <row r="413" spans="1:9" x14ac:dyDescent="0.25">
      <c r="A413" t="s">
        <v>71</v>
      </c>
      <c r="B413" t="s">
        <v>100</v>
      </c>
      <c r="C413" t="s">
        <v>762</v>
      </c>
      <c r="D413" s="1">
        <v>45264</v>
      </c>
      <c r="E413" t="s">
        <v>9</v>
      </c>
      <c r="F413">
        <v>15.24</v>
      </c>
      <c r="G413" t="s">
        <v>70</v>
      </c>
      <c r="H413" t="s">
        <v>71</v>
      </c>
      <c r="I413" t="s">
        <v>72</v>
      </c>
    </row>
    <row r="414" spans="1:9" x14ac:dyDescent="0.25">
      <c r="A414" t="s">
        <v>71</v>
      </c>
      <c r="B414" t="s">
        <v>100</v>
      </c>
      <c r="C414" t="s">
        <v>762</v>
      </c>
      <c r="D414" s="1">
        <v>45264</v>
      </c>
      <c r="E414" t="s">
        <v>41</v>
      </c>
      <c r="F414">
        <v>-43.99</v>
      </c>
      <c r="G414" t="s">
        <v>70</v>
      </c>
      <c r="H414" t="s">
        <v>71</v>
      </c>
      <c r="I414" t="s">
        <v>72</v>
      </c>
    </row>
    <row r="415" spans="1:9" x14ac:dyDescent="0.25">
      <c r="A415" t="s">
        <v>71</v>
      </c>
      <c r="B415" t="s">
        <v>100</v>
      </c>
      <c r="C415" t="s">
        <v>762</v>
      </c>
      <c r="D415" s="1">
        <v>45265</v>
      </c>
      <c r="F415">
        <v>20.46</v>
      </c>
      <c r="G415" t="s">
        <v>70</v>
      </c>
      <c r="H415" t="s">
        <v>71</v>
      </c>
      <c r="I415" t="s">
        <v>72</v>
      </c>
    </row>
    <row r="416" spans="1:9" x14ac:dyDescent="0.25">
      <c r="A416" t="s">
        <v>71</v>
      </c>
      <c r="B416" t="s">
        <v>100</v>
      </c>
      <c r="C416" t="s">
        <v>762</v>
      </c>
      <c r="D416" s="1">
        <v>45265</v>
      </c>
      <c r="E416" t="s">
        <v>41</v>
      </c>
      <c r="F416">
        <v>-245.47</v>
      </c>
      <c r="G416" t="s">
        <v>70</v>
      </c>
      <c r="H416" t="s">
        <v>71</v>
      </c>
      <c r="I416" t="s">
        <v>72</v>
      </c>
    </row>
    <row r="417" spans="1:9" x14ac:dyDescent="0.25">
      <c r="A417" t="s">
        <v>71</v>
      </c>
      <c r="B417" t="s">
        <v>100</v>
      </c>
      <c r="C417" t="s">
        <v>762</v>
      </c>
      <c r="D417" s="1">
        <v>45266</v>
      </c>
      <c r="E417" t="s">
        <v>12</v>
      </c>
      <c r="F417">
        <v>7.29</v>
      </c>
      <c r="G417" t="s">
        <v>70</v>
      </c>
      <c r="H417" t="s">
        <v>71</v>
      </c>
      <c r="I417" t="s">
        <v>72</v>
      </c>
    </row>
    <row r="418" spans="1:9" x14ac:dyDescent="0.25">
      <c r="A418" t="s">
        <v>71</v>
      </c>
      <c r="B418" t="s">
        <v>100</v>
      </c>
      <c r="C418" t="s">
        <v>762</v>
      </c>
      <c r="D418" s="1">
        <v>45266</v>
      </c>
      <c r="E418" t="s">
        <v>11</v>
      </c>
      <c r="F418">
        <v>13.29</v>
      </c>
      <c r="G418" t="s">
        <v>70</v>
      </c>
      <c r="H418" t="s">
        <v>71</v>
      </c>
      <c r="I418" t="s">
        <v>72</v>
      </c>
    </row>
    <row r="419" spans="1:9" x14ac:dyDescent="0.25">
      <c r="A419" t="s">
        <v>71</v>
      </c>
      <c r="B419" t="s">
        <v>100</v>
      </c>
      <c r="C419" t="s">
        <v>762</v>
      </c>
      <c r="D419" s="1">
        <v>45266</v>
      </c>
      <c r="E419" t="s">
        <v>54</v>
      </c>
      <c r="F419">
        <v>17.23</v>
      </c>
      <c r="G419" t="s">
        <v>73</v>
      </c>
      <c r="H419" t="s">
        <v>74</v>
      </c>
      <c r="I419" t="s">
        <v>75</v>
      </c>
    </row>
    <row r="420" spans="1:9" x14ac:dyDescent="0.25">
      <c r="A420" t="s">
        <v>71</v>
      </c>
      <c r="B420" t="s">
        <v>100</v>
      </c>
      <c r="C420" t="s">
        <v>762</v>
      </c>
      <c r="D420" s="1">
        <v>45266</v>
      </c>
      <c r="E420" t="s">
        <v>52</v>
      </c>
      <c r="F420">
        <v>-1823.42</v>
      </c>
      <c r="G420" t="s">
        <v>70</v>
      </c>
      <c r="H420" t="s">
        <v>71</v>
      </c>
      <c r="I420" t="s">
        <v>72</v>
      </c>
    </row>
    <row r="421" spans="1:9" x14ac:dyDescent="0.25">
      <c r="A421" t="s">
        <v>71</v>
      </c>
      <c r="B421" t="s">
        <v>100</v>
      </c>
      <c r="C421" t="s">
        <v>762</v>
      </c>
      <c r="D421" s="1">
        <v>45267</v>
      </c>
      <c r="E421" t="s">
        <v>41</v>
      </c>
      <c r="F421">
        <v>-8.58</v>
      </c>
      <c r="G421" t="s">
        <v>70</v>
      </c>
      <c r="H421" t="s">
        <v>71</v>
      </c>
      <c r="I421" t="s">
        <v>72</v>
      </c>
    </row>
    <row r="422" spans="1:9" x14ac:dyDescent="0.25">
      <c r="A422" t="s">
        <v>71</v>
      </c>
      <c r="B422" t="s">
        <v>100</v>
      </c>
      <c r="C422" t="s">
        <v>762</v>
      </c>
      <c r="D422" s="1">
        <v>45269</v>
      </c>
      <c r="E422" t="s">
        <v>41</v>
      </c>
      <c r="F422">
        <v>-11.19</v>
      </c>
      <c r="G422" t="s">
        <v>70</v>
      </c>
      <c r="H422" t="s">
        <v>71</v>
      </c>
      <c r="I422" t="s">
        <v>72</v>
      </c>
    </row>
    <row r="423" spans="1:9" x14ac:dyDescent="0.25">
      <c r="A423" t="s">
        <v>71</v>
      </c>
      <c r="B423" t="s">
        <v>100</v>
      </c>
      <c r="C423" t="s">
        <v>762</v>
      </c>
      <c r="D423" s="1">
        <v>45269</v>
      </c>
      <c r="E423" t="s">
        <v>41</v>
      </c>
      <c r="F423">
        <v>-29.45</v>
      </c>
      <c r="G423" t="s">
        <v>70</v>
      </c>
      <c r="H423" t="s">
        <v>71</v>
      </c>
      <c r="I423" t="s">
        <v>72</v>
      </c>
    </row>
    <row r="424" spans="1:9" x14ac:dyDescent="0.25">
      <c r="A424" t="s">
        <v>71</v>
      </c>
      <c r="B424" t="s">
        <v>100</v>
      </c>
      <c r="C424" t="s">
        <v>762</v>
      </c>
      <c r="D424" s="1">
        <v>45270</v>
      </c>
      <c r="E424" t="s">
        <v>41</v>
      </c>
      <c r="F424">
        <v>-23.44</v>
      </c>
      <c r="G424" t="s">
        <v>70</v>
      </c>
      <c r="H424" t="s">
        <v>71</v>
      </c>
      <c r="I424" t="s">
        <v>72</v>
      </c>
    </row>
    <row r="425" spans="1:9" x14ac:dyDescent="0.25">
      <c r="A425" t="s">
        <v>71</v>
      </c>
      <c r="B425" t="s">
        <v>100</v>
      </c>
      <c r="C425" t="s">
        <v>762</v>
      </c>
      <c r="D425" s="1">
        <v>45270</v>
      </c>
      <c r="E425" t="s">
        <v>41</v>
      </c>
      <c r="F425">
        <v>-51.78</v>
      </c>
      <c r="G425" t="s">
        <v>70</v>
      </c>
      <c r="H425" t="s">
        <v>71</v>
      </c>
      <c r="I425" t="s">
        <v>72</v>
      </c>
    </row>
    <row r="426" spans="1:9" x14ac:dyDescent="0.25">
      <c r="A426" t="s">
        <v>71</v>
      </c>
      <c r="B426" t="s">
        <v>100</v>
      </c>
      <c r="C426" t="s">
        <v>762</v>
      </c>
      <c r="D426" s="1">
        <v>45270</v>
      </c>
      <c r="F426">
        <v>134.37</v>
      </c>
      <c r="G426" t="s">
        <v>70</v>
      </c>
      <c r="H426" t="s">
        <v>71</v>
      </c>
      <c r="I426" t="s">
        <v>72</v>
      </c>
    </row>
    <row r="427" spans="1:9" x14ac:dyDescent="0.25">
      <c r="A427" t="s">
        <v>71</v>
      </c>
      <c r="B427" t="s">
        <v>100</v>
      </c>
      <c r="C427" t="s">
        <v>762</v>
      </c>
      <c r="D427" s="1">
        <v>45271</v>
      </c>
      <c r="E427" t="s">
        <v>41</v>
      </c>
      <c r="F427">
        <v>-44</v>
      </c>
      <c r="G427" t="s">
        <v>70</v>
      </c>
      <c r="H427" t="s">
        <v>71</v>
      </c>
      <c r="I427" t="s">
        <v>72</v>
      </c>
    </row>
    <row r="428" spans="1:9" x14ac:dyDescent="0.25">
      <c r="A428" t="s">
        <v>71</v>
      </c>
      <c r="B428" t="s">
        <v>100</v>
      </c>
      <c r="C428" t="s">
        <v>762</v>
      </c>
      <c r="D428" s="1">
        <v>45273</v>
      </c>
      <c r="E428" t="s">
        <v>14</v>
      </c>
      <c r="F428">
        <v>105.54</v>
      </c>
      <c r="G428" t="s">
        <v>70</v>
      </c>
      <c r="H428" t="s">
        <v>71</v>
      </c>
      <c r="I428" t="s">
        <v>72</v>
      </c>
    </row>
    <row r="429" spans="1:9" x14ac:dyDescent="0.25">
      <c r="A429" t="s">
        <v>71</v>
      </c>
      <c r="B429" t="s">
        <v>100</v>
      </c>
      <c r="C429" t="s">
        <v>762</v>
      </c>
      <c r="D429" s="1">
        <v>45273</v>
      </c>
      <c r="E429" t="s">
        <v>41</v>
      </c>
      <c r="F429">
        <v>-8.24</v>
      </c>
      <c r="G429" t="s">
        <v>70</v>
      </c>
      <c r="H429" t="s">
        <v>71</v>
      </c>
      <c r="I429" t="s">
        <v>72</v>
      </c>
    </row>
    <row r="430" spans="1:9" x14ac:dyDescent="0.25">
      <c r="A430" t="s">
        <v>71</v>
      </c>
      <c r="B430" t="s">
        <v>100</v>
      </c>
      <c r="C430" t="s">
        <v>762</v>
      </c>
      <c r="D430" s="1">
        <v>45274</v>
      </c>
      <c r="E430" t="s">
        <v>41</v>
      </c>
      <c r="F430">
        <v>-12.59</v>
      </c>
      <c r="G430" t="s">
        <v>70</v>
      </c>
      <c r="H430" t="s">
        <v>71</v>
      </c>
      <c r="I430" t="s">
        <v>72</v>
      </c>
    </row>
    <row r="431" spans="1:9" x14ac:dyDescent="0.25">
      <c r="A431" t="s">
        <v>71</v>
      </c>
      <c r="B431" t="s">
        <v>100</v>
      </c>
      <c r="C431" t="s">
        <v>762</v>
      </c>
      <c r="D431" s="1">
        <v>45278</v>
      </c>
      <c r="E431" t="s">
        <v>18</v>
      </c>
      <c r="F431">
        <v>74.41</v>
      </c>
      <c r="G431" t="s">
        <v>70</v>
      </c>
      <c r="H431" t="s">
        <v>71</v>
      </c>
      <c r="I431" t="s">
        <v>72</v>
      </c>
    </row>
    <row r="432" spans="1:9" x14ac:dyDescent="0.25">
      <c r="A432" t="s">
        <v>71</v>
      </c>
      <c r="B432" t="s">
        <v>100</v>
      </c>
      <c r="C432" t="s">
        <v>762</v>
      </c>
      <c r="D432" s="1">
        <v>45278</v>
      </c>
      <c r="E432" t="s">
        <v>20</v>
      </c>
      <c r="F432">
        <v>0.56000000000000005</v>
      </c>
      <c r="G432" t="s">
        <v>70</v>
      </c>
      <c r="H432" t="s">
        <v>71</v>
      </c>
      <c r="I432" t="s">
        <v>72</v>
      </c>
    </row>
    <row r="433" spans="1:9" x14ac:dyDescent="0.25">
      <c r="A433" t="s">
        <v>71</v>
      </c>
      <c r="B433" t="s">
        <v>100</v>
      </c>
      <c r="C433" t="s">
        <v>762</v>
      </c>
      <c r="D433" s="1">
        <v>45278</v>
      </c>
      <c r="E433" t="s">
        <v>19</v>
      </c>
      <c r="F433">
        <v>24.96</v>
      </c>
      <c r="G433" t="s">
        <v>70</v>
      </c>
      <c r="H433" t="s">
        <v>71</v>
      </c>
      <c r="I433" t="s">
        <v>72</v>
      </c>
    </row>
    <row r="434" spans="1:9" x14ac:dyDescent="0.25">
      <c r="A434" t="s">
        <v>71</v>
      </c>
      <c r="B434" t="s">
        <v>100</v>
      </c>
      <c r="C434" t="s">
        <v>762</v>
      </c>
      <c r="D434" s="1">
        <v>45279</v>
      </c>
      <c r="E434" t="s">
        <v>41</v>
      </c>
      <c r="F434">
        <v>-42.22</v>
      </c>
      <c r="G434" t="s">
        <v>70</v>
      </c>
      <c r="H434" t="s">
        <v>71</v>
      </c>
      <c r="I434" t="s">
        <v>72</v>
      </c>
    </row>
    <row r="435" spans="1:9" x14ac:dyDescent="0.25">
      <c r="A435" t="s">
        <v>71</v>
      </c>
      <c r="B435" t="s">
        <v>100</v>
      </c>
      <c r="C435" t="s">
        <v>762</v>
      </c>
      <c r="D435" s="1">
        <v>45280</v>
      </c>
      <c r="E435" t="s">
        <v>785</v>
      </c>
      <c r="F435">
        <v>-136.97</v>
      </c>
      <c r="G435" t="s">
        <v>70</v>
      </c>
      <c r="H435" t="s">
        <v>71</v>
      </c>
      <c r="I435" t="s">
        <v>72</v>
      </c>
    </row>
    <row r="436" spans="1:9" x14ac:dyDescent="0.25">
      <c r="A436" t="s">
        <v>71</v>
      </c>
      <c r="B436" t="s">
        <v>100</v>
      </c>
      <c r="C436" t="s">
        <v>762</v>
      </c>
      <c r="D436" s="1">
        <v>45280</v>
      </c>
      <c r="E436" t="s">
        <v>52</v>
      </c>
      <c r="F436">
        <v>-84.66</v>
      </c>
      <c r="G436" t="s">
        <v>70</v>
      </c>
      <c r="H436" t="s">
        <v>71</v>
      </c>
      <c r="I436" t="s">
        <v>72</v>
      </c>
    </row>
    <row r="437" spans="1:9" x14ac:dyDescent="0.25">
      <c r="A437" t="s">
        <v>71</v>
      </c>
      <c r="B437" t="s">
        <v>100</v>
      </c>
      <c r="C437" t="s">
        <v>762</v>
      </c>
      <c r="D437" s="1">
        <v>45280</v>
      </c>
      <c r="E437" t="s">
        <v>21</v>
      </c>
      <c r="F437">
        <v>54.01</v>
      </c>
      <c r="G437" t="s">
        <v>70</v>
      </c>
      <c r="H437" t="s">
        <v>71</v>
      </c>
      <c r="I437" t="s">
        <v>72</v>
      </c>
    </row>
    <row r="438" spans="1:9" x14ac:dyDescent="0.25">
      <c r="A438" t="s">
        <v>71</v>
      </c>
      <c r="B438" t="s">
        <v>100</v>
      </c>
      <c r="C438" t="s">
        <v>762</v>
      </c>
      <c r="D438" s="1">
        <v>45280</v>
      </c>
      <c r="E438" t="s">
        <v>55</v>
      </c>
      <c r="F438">
        <v>1558.99</v>
      </c>
      <c r="G438" t="s">
        <v>73</v>
      </c>
      <c r="H438" t="s">
        <v>74</v>
      </c>
      <c r="I438" t="s">
        <v>75</v>
      </c>
    </row>
    <row r="439" spans="1:9" x14ac:dyDescent="0.25">
      <c r="A439" t="s">
        <v>71</v>
      </c>
      <c r="B439" t="s">
        <v>100</v>
      </c>
      <c r="C439" t="s">
        <v>762</v>
      </c>
      <c r="D439" s="1">
        <v>45280</v>
      </c>
      <c r="E439" t="s">
        <v>52</v>
      </c>
      <c r="F439">
        <v>-74.319999999999993</v>
      </c>
      <c r="G439" t="s">
        <v>70</v>
      </c>
      <c r="H439" t="s">
        <v>71</v>
      </c>
      <c r="I439" t="s">
        <v>72</v>
      </c>
    </row>
    <row r="440" spans="1:9" x14ac:dyDescent="0.25">
      <c r="A440" t="s">
        <v>71</v>
      </c>
      <c r="B440" t="s">
        <v>100</v>
      </c>
      <c r="C440" t="s">
        <v>762</v>
      </c>
      <c r="D440" s="1">
        <v>45281</v>
      </c>
      <c r="E440" t="s">
        <v>41</v>
      </c>
      <c r="F440">
        <v>-0.71</v>
      </c>
      <c r="G440" t="s">
        <v>70</v>
      </c>
      <c r="H440" t="s">
        <v>71</v>
      </c>
      <c r="I440" t="s">
        <v>72</v>
      </c>
    </row>
    <row r="441" spans="1:9" x14ac:dyDescent="0.25">
      <c r="A441" t="s">
        <v>71</v>
      </c>
      <c r="B441" t="s">
        <v>100</v>
      </c>
      <c r="C441" t="s">
        <v>762</v>
      </c>
      <c r="D441" s="1">
        <v>45282</v>
      </c>
      <c r="E441" t="s">
        <v>16</v>
      </c>
      <c r="F441">
        <v>1.17</v>
      </c>
      <c r="G441" t="s">
        <v>70</v>
      </c>
      <c r="H441" t="s">
        <v>71</v>
      </c>
      <c r="I441" t="s">
        <v>72</v>
      </c>
    </row>
    <row r="442" spans="1:9" x14ac:dyDescent="0.25">
      <c r="A442" t="s">
        <v>71</v>
      </c>
      <c r="B442" t="s">
        <v>100</v>
      </c>
      <c r="C442" t="s">
        <v>762</v>
      </c>
      <c r="D442" s="1">
        <v>45284</v>
      </c>
      <c r="E442" t="s">
        <v>23</v>
      </c>
      <c r="F442">
        <v>20.99</v>
      </c>
      <c r="G442" t="s">
        <v>70</v>
      </c>
      <c r="H442" t="s">
        <v>71</v>
      </c>
      <c r="I442" t="s">
        <v>72</v>
      </c>
    </row>
    <row r="443" spans="1:9" x14ac:dyDescent="0.25">
      <c r="A443" t="s">
        <v>71</v>
      </c>
      <c r="B443" t="s">
        <v>100</v>
      </c>
      <c r="C443" t="s">
        <v>762</v>
      </c>
      <c r="D443" s="1">
        <v>45287</v>
      </c>
      <c r="E443" t="s">
        <v>41</v>
      </c>
      <c r="F443">
        <v>-19.11</v>
      </c>
      <c r="G443" t="s">
        <v>70</v>
      </c>
      <c r="H443" t="s">
        <v>71</v>
      </c>
      <c r="I443" t="s">
        <v>72</v>
      </c>
    </row>
    <row r="444" spans="1:9" x14ac:dyDescent="0.25">
      <c r="A444" t="s">
        <v>71</v>
      </c>
      <c r="B444" t="s">
        <v>100</v>
      </c>
      <c r="C444" t="s">
        <v>762</v>
      </c>
      <c r="D444" s="1">
        <v>45289</v>
      </c>
      <c r="E444" t="s">
        <v>786</v>
      </c>
      <c r="F444">
        <v>31.4</v>
      </c>
      <c r="G444" t="s">
        <v>70</v>
      </c>
      <c r="H444" t="s">
        <v>71</v>
      </c>
      <c r="I444" t="s">
        <v>72</v>
      </c>
    </row>
    <row r="445" spans="1:9" x14ac:dyDescent="0.25">
      <c r="A445" t="s">
        <v>71</v>
      </c>
      <c r="B445" t="s">
        <v>100</v>
      </c>
      <c r="C445" t="s">
        <v>762</v>
      </c>
      <c r="D445" s="1">
        <v>45289</v>
      </c>
      <c r="E445" t="s">
        <v>49</v>
      </c>
      <c r="F445">
        <v>-10.33</v>
      </c>
      <c r="G445" t="s">
        <v>70</v>
      </c>
      <c r="H445" t="s">
        <v>71</v>
      </c>
      <c r="I445" t="s">
        <v>72</v>
      </c>
    </row>
    <row r="446" spans="1:9" x14ac:dyDescent="0.25">
      <c r="A446" t="s">
        <v>71</v>
      </c>
      <c r="B446" t="s">
        <v>100</v>
      </c>
      <c r="C446" t="s">
        <v>762</v>
      </c>
      <c r="D446" s="1">
        <v>45289</v>
      </c>
      <c r="E446" t="s">
        <v>41</v>
      </c>
      <c r="F446">
        <v>-29.49</v>
      </c>
      <c r="G446" t="s">
        <v>70</v>
      </c>
      <c r="H446" t="s">
        <v>71</v>
      </c>
      <c r="I446" t="s">
        <v>72</v>
      </c>
    </row>
    <row r="447" spans="1:9" x14ac:dyDescent="0.25">
      <c r="A447" t="s">
        <v>71</v>
      </c>
      <c r="B447" t="s">
        <v>100</v>
      </c>
      <c r="C447" t="s">
        <v>762</v>
      </c>
      <c r="D447" s="1">
        <v>45291</v>
      </c>
      <c r="E447" t="s">
        <v>41</v>
      </c>
      <c r="F447">
        <v>-3.27</v>
      </c>
      <c r="G447" t="s">
        <v>70</v>
      </c>
      <c r="H447" t="s">
        <v>71</v>
      </c>
      <c r="I447" t="s">
        <v>72</v>
      </c>
    </row>
    <row r="448" spans="1:9" x14ac:dyDescent="0.25">
      <c r="A448" t="s">
        <v>71</v>
      </c>
      <c r="B448" t="s">
        <v>100</v>
      </c>
      <c r="C448" t="s">
        <v>762</v>
      </c>
      <c r="D448" s="1">
        <v>45291</v>
      </c>
      <c r="E448" t="s">
        <v>41</v>
      </c>
      <c r="F448">
        <v>-0.42</v>
      </c>
      <c r="G448" t="s">
        <v>70</v>
      </c>
      <c r="H448" t="s">
        <v>71</v>
      </c>
      <c r="I448" t="s">
        <v>72</v>
      </c>
    </row>
    <row r="449" spans="1:9" x14ac:dyDescent="0.25">
      <c r="A449" t="s">
        <v>71</v>
      </c>
      <c r="B449" t="s">
        <v>100</v>
      </c>
      <c r="C449" t="s">
        <v>762</v>
      </c>
      <c r="D449" s="1">
        <v>45291</v>
      </c>
      <c r="E449" t="s">
        <v>24</v>
      </c>
      <c r="F449">
        <v>13.92</v>
      </c>
      <c r="G449" t="s">
        <v>70</v>
      </c>
      <c r="H449" t="s">
        <v>71</v>
      </c>
      <c r="I449" t="s">
        <v>72</v>
      </c>
    </row>
    <row r="450" spans="1:9" x14ac:dyDescent="0.25">
      <c r="A450" t="s">
        <v>71</v>
      </c>
      <c r="B450" t="s">
        <v>100</v>
      </c>
      <c r="C450" t="s">
        <v>762</v>
      </c>
      <c r="D450" s="1">
        <v>45293</v>
      </c>
      <c r="E450" t="s">
        <v>41</v>
      </c>
      <c r="F450">
        <v>-40.69</v>
      </c>
      <c r="G450" t="s">
        <v>70</v>
      </c>
      <c r="H450" t="s">
        <v>71</v>
      </c>
      <c r="I450" t="s">
        <v>72</v>
      </c>
    </row>
    <row r="451" spans="1:9" x14ac:dyDescent="0.25">
      <c r="A451" t="s">
        <v>71</v>
      </c>
      <c r="B451" t="s">
        <v>100</v>
      </c>
      <c r="C451" t="s">
        <v>762</v>
      </c>
      <c r="D451" s="1">
        <v>45294</v>
      </c>
      <c r="E451" t="s">
        <v>786</v>
      </c>
      <c r="F451">
        <v>20.78</v>
      </c>
      <c r="G451" t="s">
        <v>70</v>
      </c>
      <c r="H451" t="s">
        <v>71</v>
      </c>
      <c r="I451" t="s">
        <v>72</v>
      </c>
    </row>
    <row r="452" spans="1:9" x14ac:dyDescent="0.25">
      <c r="A452" t="s">
        <v>71</v>
      </c>
      <c r="B452" t="s">
        <v>100</v>
      </c>
      <c r="C452" t="s">
        <v>762</v>
      </c>
      <c r="D452" s="1">
        <v>45294</v>
      </c>
      <c r="E452" t="s">
        <v>41</v>
      </c>
      <c r="F452">
        <v>-24.51</v>
      </c>
      <c r="G452" t="s">
        <v>70</v>
      </c>
      <c r="H452" t="s">
        <v>71</v>
      </c>
      <c r="I452" t="s">
        <v>72</v>
      </c>
    </row>
    <row r="453" spans="1:9" x14ac:dyDescent="0.25">
      <c r="A453" t="s">
        <v>71</v>
      </c>
      <c r="B453" t="s">
        <v>100</v>
      </c>
      <c r="C453" t="s">
        <v>762</v>
      </c>
      <c r="D453" s="1">
        <v>45294</v>
      </c>
      <c r="E453" t="s">
        <v>10</v>
      </c>
      <c r="F453">
        <v>219.41</v>
      </c>
      <c r="G453" t="s">
        <v>70</v>
      </c>
      <c r="H453" t="s">
        <v>71</v>
      </c>
      <c r="I453" t="s">
        <v>72</v>
      </c>
    </row>
    <row r="454" spans="1:9" x14ac:dyDescent="0.25">
      <c r="A454" t="s">
        <v>71</v>
      </c>
      <c r="B454" t="s">
        <v>100</v>
      </c>
      <c r="C454" t="s">
        <v>762</v>
      </c>
      <c r="D454" s="1">
        <v>45294</v>
      </c>
      <c r="E454" t="s">
        <v>41</v>
      </c>
      <c r="F454">
        <v>-28.64</v>
      </c>
      <c r="G454" t="s">
        <v>70</v>
      </c>
      <c r="H454" t="s">
        <v>71</v>
      </c>
      <c r="I454" t="s">
        <v>72</v>
      </c>
    </row>
    <row r="455" spans="1:9" x14ac:dyDescent="0.25">
      <c r="A455" t="s">
        <v>71</v>
      </c>
      <c r="B455" t="s">
        <v>100</v>
      </c>
      <c r="C455" t="s">
        <v>762</v>
      </c>
      <c r="D455" s="1">
        <v>45295</v>
      </c>
      <c r="E455" t="s">
        <v>41</v>
      </c>
      <c r="F455">
        <v>-2.0699999999999998</v>
      </c>
      <c r="G455" t="s">
        <v>70</v>
      </c>
      <c r="H455" t="s">
        <v>71</v>
      </c>
      <c r="I455" t="s">
        <v>72</v>
      </c>
    </row>
    <row r="456" spans="1:9" x14ac:dyDescent="0.25">
      <c r="A456" t="s">
        <v>71</v>
      </c>
      <c r="B456" t="s">
        <v>100</v>
      </c>
      <c r="C456" t="s">
        <v>762</v>
      </c>
      <c r="D456" s="1">
        <v>45295</v>
      </c>
      <c r="E456" t="s">
        <v>9</v>
      </c>
      <c r="F456">
        <v>16.37</v>
      </c>
      <c r="G456" t="s">
        <v>70</v>
      </c>
      <c r="H456" t="s">
        <v>71</v>
      </c>
      <c r="I456" t="s">
        <v>72</v>
      </c>
    </row>
    <row r="457" spans="1:9" x14ac:dyDescent="0.25">
      <c r="A457" t="s">
        <v>71</v>
      </c>
      <c r="B457" t="s">
        <v>100</v>
      </c>
      <c r="C457" t="s">
        <v>762</v>
      </c>
      <c r="D457" s="1">
        <v>45295</v>
      </c>
      <c r="E457" t="s">
        <v>8</v>
      </c>
      <c r="F457">
        <v>14.22</v>
      </c>
      <c r="G457" t="s">
        <v>70</v>
      </c>
      <c r="H457" t="s">
        <v>71</v>
      </c>
      <c r="I457" t="s">
        <v>72</v>
      </c>
    </row>
    <row r="458" spans="1:9" x14ac:dyDescent="0.25">
      <c r="A458" t="s">
        <v>71</v>
      </c>
      <c r="B458" t="s">
        <v>100</v>
      </c>
      <c r="C458" t="s">
        <v>762</v>
      </c>
      <c r="D458" s="1">
        <v>45295</v>
      </c>
      <c r="E458" t="s">
        <v>56</v>
      </c>
      <c r="F458">
        <v>501.53</v>
      </c>
      <c r="G458" t="s">
        <v>73</v>
      </c>
      <c r="H458" t="s">
        <v>74</v>
      </c>
      <c r="I458" t="s">
        <v>75</v>
      </c>
    </row>
    <row r="459" spans="1:9" x14ac:dyDescent="0.25">
      <c r="A459" t="s">
        <v>71</v>
      </c>
      <c r="B459" t="s">
        <v>100</v>
      </c>
      <c r="C459" t="s">
        <v>762</v>
      </c>
      <c r="D459" s="1">
        <v>45295</v>
      </c>
      <c r="E459" t="s">
        <v>41</v>
      </c>
      <c r="F459">
        <v>-11.95</v>
      </c>
      <c r="G459" t="s">
        <v>70</v>
      </c>
      <c r="H459" t="s">
        <v>71</v>
      </c>
      <c r="I459" t="s">
        <v>72</v>
      </c>
    </row>
    <row r="460" spans="1:9" x14ac:dyDescent="0.25">
      <c r="A460" t="s">
        <v>71</v>
      </c>
      <c r="B460" t="s">
        <v>100</v>
      </c>
      <c r="C460" t="s">
        <v>762</v>
      </c>
      <c r="D460" s="1">
        <v>45295</v>
      </c>
      <c r="E460" t="s">
        <v>52</v>
      </c>
      <c r="F460">
        <v>-1832.92</v>
      </c>
      <c r="G460" t="s">
        <v>70</v>
      </c>
      <c r="H460" t="s">
        <v>71</v>
      </c>
      <c r="I460" t="s">
        <v>72</v>
      </c>
    </row>
    <row r="461" spans="1:9" x14ac:dyDescent="0.25">
      <c r="A461" t="s">
        <v>71</v>
      </c>
      <c r="B461" t="s">
        <v>100</v>
      </c>
      <c r="C461" t="s">
        <v>762</v>
      </c>
      <c r="D461" s="1">
        <v>45296</v>
      </c>
      <c r="E461" t="s">
        <v>41</v>
      </c>
      <c r="F461">
        <v>-26.98</v>
      </c>
      <c r="G461" t="s">
        <v>70</v>
      </c>
      <c r="H461" t="s">
        <v>71</v>
      </c>
      <c r="I461" t="s">
        <v>72</v>
      </c>
    </row>
    <row r="462" spans="1:9" x14ac:dyDescent="0.25">
      <c r="A462" t="s">
        <v>71</v>
      </c>
      <c r="B462" t="s">
        <v>100</v>
      </c>
      <c r="C462" t="s">
        <v>762</v>
      </c>
      <c r="D462" s="1">
        <v>45296</v>
      </c>
      <c r="F462">
        <v>91398.45</v>
      </c>
      <c r="G462" t="s">
        <v>70</v>
      </c>
      <c r="H462" t="s">
        <v>71</v>
      </c>
      <c r="I462" t="s">
        <v>72</v>
      </c>
    </row>
    <row r="463" spans="1:9" x14ac:dyDescent="0.25">
      <c r="A463" t="s">
        <v>71</v>
      </c>
      <c r="B463" t="s">
        <v>100</v>
      </c>
      <c r="C463" t="s">
        <v>762</v>
      </c>
      <c r="D463" s="1">
        <v>45297</v>
      </c>
      <c r="E463" t="s">
        <v>41</v>
      </c>
      <c r="F463">
        <v>-0.38</v>
      </c>
      <c r="G463" t="s">
        <v>70</v>
      </c>
      <c r="H463" t="s">
        <v>71</v>
      </c>
      <c r="I463" t="s">
        <v>72</v>
      </c>
    </row>
    <row r="464" spans="1:9" x14ac:dyDescent="0.25">
      <c r="A464" t="s">
        <v>71</v>
      </c>
      <c r="B464" t="s">
        <v>100</v>
      </c>
      <c r="C464" t="s">
        <v>762</v>
      </c>
      <c r="D464" s="1">
        <v>45297</v>
      </c>
      <c r="E464" t="s">
        <v>52</v>
      </c>
      <c r="F464">
        <v>-71933.02</v>
      </c>
      <c r="G464" t="s">
        <v>70</v>
      </c>
      <c r="H464" t="s">
        <v>71</v>
      </c>
      <c r="I464" t="s">
        <v>72</v>
      </c>
    </row>
    <row r="465" spans="1:9" x14ac:dyDescent="0.25">
      <c r="A465" t="s">
        <v>71</v>
      </c>
      <c r="B465" t="s">
        <v>100</v>
      </c>
      <c r="C465" t="s">
        <v>762</v>
      </c>
      <c r="D465" s="1">
        <v>45297</v>
      </c>
      <c r="E465" t="s">
        <v>11</v>
      </c>
      <c r="F465">
        <v>143.6</v>
      </c>
      <c r="G465" t="s">
        <v>70</v>
      </c>
      <c r="H465" t="s">
        <v>71</v>
      </c>
      <c r="I465" t="s">
        <v>72</v>
      </c>
    </row>
    <row r="466" spans="1:9" x14ac:dyDescent="0.25">
      <c r="A466" t="s">
        <v>71</v>
      </c>
      <c r="B466" t="s">
        <v>100</v>
      </c>
      <c r="C466" t="s">
        <v>762</v>
      </c>
      <c r="D466" s="1">
        <v>45297</v>
      </c>
      <c r="E466" t="s">
        <v>12</v>
      </c>
      <c r="F466">
        <v>16.82</v>
      </c>
      <c r="G466" t="s">
        <v>70</v>
      </c>
      <c r="H466" t="s">
        <v>71</v>
      </c>
      <c r="I466" t="s">
        <v>72</v>
      </c>
    </row>
    <row r="467" spans="1:9" x14ac:dyDescent="0.25">
      <c r="A467" t="s">
        <v>71</v>
      </c>
      <c r="B467" t="s">
        <v>100</v>
      </c>
      <c r="C467" t="s">
        <v>762</v>
      </c>
      <c r="D467" s="1">
        <v>45298</v>
      </c>
      <c r="E467" t="s">
        <v>41</v>
      </c>
      <c r="F467">
        <v>-291.76</v>
      </c>
      <c r="G467" t="s">
        <v>70</v>
      </c>
      <c r="H467" t="s">
        <v>71</v>
      </c>
      <c r="I467" t="s">
        <v>72</v>
      </c>
    </row>
    <row r="468" spans="1:9" x14ac:dyDescent="0.25">
      <c r="A468" t="s">
        <v>71</v>
      </c>
      <c r="B468" t="s">
        <v>100</v>
      </c>
      <c r="C468" t="s">
        <v>762</v>
      </c>
      <c r="D468" s="1">
        <v>45299</v>
      </c>
      <c r="E468" t="s">
        <v>41</v>
      </c>
      <c r="F468">
        <v>-2</v>
      </c>
      <c r="G468" t="s">
        <v>70</v>
      </c>
      <c r="H468" t="s">
        <v>71</v>
      </c>
      <c r="I468" t="s">
        <v>72</v>
      </c>
    </row>
    <row r="469" spans="1:9" x14ac:dyDescent="0.25">
      <c r="A469" t="s">
        <v>71</v>
      </c>
      <c r="B469" t="s">
        <v>100</v>
      </c>
      <c r="C469" t="s">
        <v>762</v>
      </c>
      <c r="D469" s="1">
        <v>45300</v>
      </c>
      <c r="E469" t="s">
        <v>41</v>
      </c>
      <c r="F469">
        <v>-0.19</v>
      </c>
      <c r="G469" t="s">
        <v>70</v>
      </c>
      <c r="H469" t="s">
        <v>71</v>
      </c>
      <c r="I469" t="s">
        <v>72</v>
      </c>
    </row>
    <row r="470" spans="1:9" x14ac:dyDescent="0.25">
      <c r="A470" t="s">
        <v>71</v>
      </c>
      <c r="B470" t="s">
        <v>100</v>
      </c>
      <c r="C470" t="s">
        <v>762</v>
      </c>
      <c r="D470" s="1">
        <v>45300</v>
      </c>
      <c r="F470">
        <v>728.44</v>
      </c>
      <c r="G470" t="s">
        <v>70</v>
      </c>
      <c r="H470" t="s">
        <v>71</v>
      </c>
      <c r="I470" t="s">
        <v>72</v>
      </c>
    </row>
    <row r="471" spans="1:9" x14ac:dyDescent="0.25">
      <c r="A471" t="s">
        <v>71</v>
      </c>
      <c r="B471" t="s">
        <v>100</v>
      </c>
      <c r="C471" t="s">
        <v>762</v>
      </c>
      <c r="D471" s="1">
        <v>45300</v>
      </c>
      <c r="E471" t="s">
        <v>57</v>
      </c>
      <c r="F471">
        <v>-491.64</v>
      </c>
      <c r="G471" t="s">
        <v>70</v>
      </c>
      <c r="H471" t="s">
        <v>71</v>
      </c>
      <c r="I471" t="s">
        <v>72</v>
      </c>
    </row>
    <row r="472" spans="1:9" x14ac:dyDescent="0.25">
      <c r="A472" t="s">
        <v>71</v>
      </c>
      <c r="B472" t="s">
        <v>100</v>
      </c>
      <c r="C472" t="s">
        <v>762</v>
      </c>
      <c r="D472" s="1">
        <v>45300</v>
      </c>
      <c r="E472" t="s">
        <v>41</v>
      </c>
      <c r="F472">
        <v>-3.13</v>
      </c>
      <c r="G472" t="s">
        <v>70</v>
      </c>
      <c r="H472" t="s">
        <v>71</v>
      </c>
      <c r="I472" t="s">
        <v>72</v>
      </c>
    </row>
    <row r="473" spans="1:9" x14ac:dyDescent="0.25">
      <c r="A473" t="s">
        <v>71</v>
      </c>
      <c r="B473" t="s">
        <v>100</v>
      </c>
      <c r="C473" t="s">
        <v>762</v>
      </c>
      <c r="D473" s="1">
        <v>45301</v>
      </c>
      <c r="E473" t="s">
        <v>58</v>
      </c>
      <c r="F473">
        <v>-10.28</v>
      </c>
      <c r="G473" t="s">
        <v>84</v>
      </c>
      <c r="H473" t="s">
        <v>85</v>
      </c>
      <c r="I473" t="s">
        <v>86</v>
      </c>
    </row>
    <row r="474" spans="1:9" x14ac:dyDescent="0.25">
      <c r="A474" t="s">
        <v>71</v>
      </c>
      <c r="B474" t="s">
        <v>100</v>
      </c>
      <c r="C474" t="s">
        <v>762</v>
      </c>
      <c r="D474" s="1">
        <v>45301</v>
      </c>
      <c r="E474" t="s">
        <v>41</v>
      </c>
      <c r="F474">
        <v>-2.96</v>
      </c>
      <c r="G474" t="s">
        <v>70</v>
      </c>
      <c r="H474" t="s">
        <v>71</v>
      </c>
      <c r="I474" t="s">
        <v>72</v>
      </c>
    </row>
    <row r="475" spans="1:9" x14ac:dyDescent="0.25">
      <c r="A475" t="s">
        <v>71</v>
      </c>
      <c r="B475" t="s">
        <v>100</v>
      </c>
      <c r="C475" t="s">
        <v>762</v>
      </c>
      <c r="D475" s="1">
        <v>45302</v>
      </c>
      <c r="E475" t="s">
        <v>10</v>
      </c>
      <c r="F475">
        <v>439.32</v>
      </c>
      <c r="G475" t="s">
        <v>70</v>
      </c>
      <c r="H475" t="s">
        <v>71</v>
      </c>
      <c r="I475" t="s">
        <v>72</v>
      </c>
    </row>
    <row r="476" spans="1:9" x14ac:dyDescent="0.25">
      <c r="A476" t="s">
        <v>71</v>
      </c>
      <c r="B476" t="s">
        <v>100</v>
      </c>
      <c r="C476" t="s">
        <v>762</v>
      </c>
      <c r="D476" s="1">
        <v>45302</v>
      </c>
      <c r="E476" t="s">
        <v>59</v>
      </c>
      <c r="F476">
        <v>-300.83</v>
      </c>
      <c r="G476" t="s">
        <v>68</v>
      </c>
      <c r="H476" t="s">
        <v>69</v>
      </c>
      <c r="I476" t="s">
        <v>69</v>
      </c>
    </row>
    <row r="477" spans="1:9" x14ac:dyDescent="0.25">
      <c r="A477" t="s">
        <v>71</v>
      </c>
      <c r="B477" t="s">
        <v>100</v>
      </c>
      <c r="C477" t="s">
        <v>762</v>
      </c>
      <c r="D477" s="1">
        <v>45303</v>
      </c>
      <c r="E477" t="s">
        <v>41</v>
      </c>
      <c r="F477">
        <v>-114.42</v>
      </c>
      <c r="G477" t="s">
        <v>70</v>
      </c>
      <c r="H477" t="s">
        <v>71</v>
      </c>
      <c r="I477" t="s">
        <v>72</v>
      </c>
    </row>
    <row r="478" spans="1:9" x14ac:dyDescent="0.25">
      <c r="A478" t="s">
        <v>71</v>
      </c>
      <c r="B478" t="s">
        <v>100</v>
      </c>
      <c r="C478" t="s">
        <v>762</v>
      </c>
      <c r="D478" s="1">
        <v>45304</v>
      </c>
      <c r="E478" t="s">
        <v>14</v>
      </c>
      <c r="F478">
        <v>119.56</v>
      </c>
      <c r="G478" t="s">
        <v>70</v>
      </c>
      <c r="H478" t="s">
        <v>71</v>
      </c>
      <c r="I478" t="s">
        <v>72</v>
      </c>
    </row>
    <row r="479" spans="1:9" x14ac:dyDescent="0.25">
      <c r="A479" t="s">
        <v>71</v>
      </c>
      <c r="B479" t="s">
        <v>100</v>
      </c>
      <c r="C479" t="s">
        <v>762</v>
      </c>
      <c r="D479" s="1">
        <v>45305</v>
      </c>
      <c r="F479">
        <v>293</v>
      </c>
      <c r="G479" t="s">
        <v>70</v>
      </c>
      <c r="H479" t="s">
        <v>71</v>
      </c>
      <c r="I479" t="s">
        <v>72</v>
      </c>
    </row>
    <row r="480" spans="1:9" x14ac:dyDescent="0.25">
      <c r="A480" t="s">
        <v>71</v>
      </c>
      <c r="B480" t="s">
        <v>100</v>
      </c>
      <c r="C480" t="s">
        <v>762</v>
      </c>
      <c r="D480" s="1">
        <v>45306</v>
      </c>
      <c r="E480" t="s">
        <v>60</v>
      </c>
      <c r="F480">
        <v>-527.49</v>
      </c>
      <c r="G480" t="s">
        <v>84</v>
      </c>
      <c r="H480" t="s">
        <v>85</v>
      </c>
      <c r="I480" t="s">
        <v>97</v>
      </c>
    </row>
    <row r="481" spans="1:9" x14ac:dyDescent="0.25">
      <c r="A481" t="s">
        <v>71</v>
      </c>
      <c r="B481" t="s">
        <v>100</v>
      </c>
      <c r="C481" t="s">
        <v>762</v>
      </c>
      <c r="D481" s="1">
        <v>45307</v>
      </c>
      <c r="E481" t="s">
        <v>41</v>
      </c>
      <c r="F481">
        <v>-0.56999999999999995</v>
      </c>
      <c r="G481" t="s">
        <v>70</v>
      </c>
      <c r="H481" t="s">
        <v>71</v>
      </c>
      <c r="I481" t="s">
        <v>72</v>
      </c>
    </row>
    <row r="482" spans="1:9" x14ac:dyDescent="0.25">
      <c r="A482" t="s">
        <v>71</v>
      </c>
      <c r="B482" t="s">
        <v>100</v>
      </c>
      <c r="C482" t="s">
        <v>762</v>
      </c>
      <c r="D482" s="1">
        <v>45307</v>
      </c>
      <c r="E482" t="s">
        <v>41</v>
      </c>
      <c r="F482">
        <v>-0.95</v>
      </c>
      <c r="G482" t="s">
        <v>70</v>
      </c>
      <c r="H482" t="s">
        <v>71</v>
      </c>
      <c r="I482" t="s">
        <v>72</v>
      </c>
    </row>
    <row r="483" spans="1:9" x14ac:dyDescent="0.25">
      <c r="A483" t="s">
        <v>71</v>
      </c>
      <c r="B483" t="s">
        <v>100</v>
      </c>
      <c r="C483" t="s">
        <v>762</v>
      </c>
      <c r="D483" s="1">
        <v>45308</v>
      </c>
      <c r="E483" t="s">
        <v>41</v>
      </c>
      <c r="F483">
        <v>-11.8</v>
      </c>
      <c r="G483" t="s">
        <v>70</v>
      </c>
      <c r="H483" t="s">
        <v>71</v>
      </c>
      <c r="I483" t="s">
        <v>72</v>
      </c>
    </row>
    <row r="484" spans="1:9" x14ac:dyDescent="0.25">
      <c r="A484" t="s">
        <v>71</v>
      </c>
      <c r="B484" t="s">
        <v>100</v>
      </c>
      <c r="C484" t="s">
        <v>762</v>
      </c>
      <c r="D484" s="1">
        <v>45308</v>
      </c>
      <c r="E484" t="s">
        <v>61</v>
      </c>
      <c r="F484">
        <v>522.66</v>
      </c>
      <c r="G484" t="s">
        <v>73</v>
      </c>
      <c r="H484" t="s">
        <v>74</v>
      </c>
      <c r="I484" t="s">
        <v>75</v>
      </c>
    </row>
    <row r="485" spans="1:9" x14ac:dyDescent="0.25">
      <c r="A485" t="s">
        <v>71</v>
      </c>
      <c r="B485" t="s">
        <v>100</v>
      </c>
      <c r="C485" t="s">
        <v>762</v>
      </c>
      <c r="D485" s="1">
        <v>45308</v>
      </c>
      <c r="E485" t="s">
        <v>52</v>
      </c>
      <c r="F485">
        <v>-1739.58</v>
      </c>
      <c r="G485" t="s">
        <v>70</v>
      </c>
      <c r="H485" t="s">
        <v>71</v>
      </c>
      <c r="I485" t="s">
        <v>72</v>
      </c>
    </row>
    <row r="486" spans="1:9" x14ac:dyDescent="0.25">
      <c r="A486" t="s">
        <v>71</v>
      </c>
      <c r="B486" t="s">
        <v>100</v>
      </c>
      <c r="C486" t="s">
        <v>762</v>
      </c>
      <c r="D486" s="1">
        <v>45309</v>
      </c>
      <c r="E486" t="s">
        <v>18</v>
      </c>
      <c r="F486">
        <v>171.27</v>
      </c>
      <c r="G486" t="s">
        <v>70</v>
      </c>
      <c r="H486" t="s">
        <v>71</v>
      </c>
      <c r="I486" t="s">
        <v>72</v>
      </c>
    </row>
    <row r="487" spans="1:9" x14ac:dyDescent="0.25">
      <c r="A487" t="s">
        <v>71</v>
      </c>
      <c r="B487" t="s">
        <v>100</v>
      </c>
      <c r="C487" t="s">
        <v>762</v>
      </c>
      <c r="D487" s="1">
        <v>45309</v>
      </c>
      <c r="E487" t="s">
        <v>20</v>
      </c>
      <c r="F487">
        <v>79.7</v>
      </c>
      <c r="G487" t="s">
        <v>70</v>
      </c>
      <c r="H487" t="s">
        <v>71</v>
      </c>
      <c r="I487" t="s">
        <v>72</v>
      </c>
    </row>
    <row r="488" spans="1:9" x14ac:dyDescent="0.25">
      <c r="A488" t="s">
        <v>71</v>
      </c>
      <c r="B488" t="s">
        <v>100</v>
      </c>
      <c r="C488" t="s">
        <v>762</v>
      </c>
      <c r="D488" s="1">
        <v>45309</v>
      </c>
      <c r="E488" t="s">
        <v>19</v>
      </c>
      <c r="F488">
        <v>81.38</v>
      </c>
      <c r="G488" t="s">
        <v>70</v>
      </c>
      <c r="H488" t="s">
        <v>71</v>
      </c>
      <c r="I488" t="s">
        <v>72</v>
      </c>
    </row>
    <row r="489" spans="1:9" x14ac:dyDescent="0.25">
      <c r="A489" t="s">
        <v>71</v>
      </c>
      <c r="B489" t="s">
        <v>100</v>
      </c>
      <c r="C489" t="s">
        <v>762</v>
      </c>
      <c r="D489" s="1">
        <v>45309</v>
      </c>
      <c r="E489" t="s">
        <v>785</v>
      </c>
      <c r="F489">
        <v>-245.82</v>
      </c>
      <c r="G489" t="s">
        <v>70</v>
      </c>
      <c r="H489" t="s">
        <v>71</v>
      </c>
      <c r="I489" t="s">
        <v>72</v>
      </c>
    </row>
    <row r="490" spans="1:9" x14ac:dyDescent="0.25">
      <c r="A490" t="s">
        <v>71</v>
      </c>
      <c r="B490" t="s">
        <v>100</v>
      </c>
      <c r="C490" t="s">
        <v>762</v>
      </c>
      <c r="D490" s="1">
        <v>45310</v>
      </c>
      <c r="E490" t="s">
        <v>41</v>
      </c>
      <c r="F490">
        <v>-0.06</v>
      </c>
      <c r="G490" t="s">
        <v>70</v>
      </c>
      <c r="H490" t="s">
        <v>71</v>
      </c>
      <c r="I490" t="s">
        <v>72</v>
      </c>
    </row>
    <row r="491" spans="1:9" x14ac:dyDescent="0.25">
      <c r="A491" t="s">
        <v>71</v>
      </c>
      <c r="B491" t="s">
        <v>100</v>
      </c>
      <c r="C491" t="s">
        <v>762</v>
      </c>
      <c r="D491" s="1">
        <v>45310</v>
      </c>
      <c r="E491" t="s">
        <v>16</v>
      </c>
      <c r="F491">
        <v>1.33</v>
      </c>
      <c r="G491" t="s">
        <v>70</v>
      </c>
      <c r="H491" t="s">
        <v>71</v>
      </c>
      <c r="I491" t="s">
        <v>72</v>
      </c>
    </row>
    <row r="492" spans="1:9" x14ac:dyDescent="0.25">
      <c r="A492" t="s">
        <v>71</v>
      </c>
      <c r="B492" t="s">
        <v>100</v>
      </c>
      <c r="C492" t="s">
        <v>762</v>
      </c>
      <c r="D492" s="1">
        <v>45311</v>
      </c>
      <c r="E492" t="s">
        <v>21</v>
      </c>
      <c r="F492">
        <v>279.16000000000003</v>
      </c>
      <c r="G492" t="s">
        <v>70</v>
      </c>
      <c r="H492" t="s">
        <v>71</v>
      </c>
      <c r="I492" t="s">
        <v>72</v>
      </c>
    </row>
    <row r="493" spans="1:9" x14ac:dyDescent="0.25">
      <c r="A493" t="s">
        <v>71</v>
      </c>
      <c r="B493" t="s">
        <v>100</v>
      </c>
      <c r="C493" t="s">
        <v>762</v>
      </c>
      <c r="D493" s="1">
        <v>45311</v>
      </c>
      <c r="E493" t="s">
        <v>785</v>
      </c>
      <c r="F493">
        <v>-53.96</v>
      </c>
      <c r="G493" t="s">
        <v>70</v>
      </c>
      <c r="H493" t="s">
        <v>71</v>
      </c>
      <c r="I493" t="s">
        <v>72</v>
      </c>
    </row>
    <row r="494" spans="1:9" x14ac:dyDescent="0.25">
      <c r="A494" t="s">
        <v>71</v>
      </c>
      <c r="B494" t="s">
        <v>100</v>
      </c>
      <c r="C494" t="s">
        <v>762</v>
      </c>
      <c r="D494" s="1">
        <v>45312</v>
      </c>
      <c r="E494" t="s">
        <v>25</v>
      </c>
      <c r="F494">
        <v>-10.5</v>
      </c>
      <c r="G494" t="s">
        <v>68</v>
      </c>
      <c r="H494" t="s">
        <v>69</v>
      </c>
      <c r="I494" t="s">
        <v>69</v>
      </c>
    </row>
    <row r="495" spans="1:9" x14ac:dyDescent="0.25">
      <c r="A495" t="s">
        <v>71</v>
      </c>
      <c r="B495" t="s">
        <v>100</v>
      </c>
      <c r="C495" t="s">
        <v>762</v>
      </c>
      <c r="D495" s="1">
        <v>45313</v>
      </c>
      <c r="E495" t="s">
        <v>786</v>
      </c>
      <c r="F495">
        <v>250.94</v>
      </c>
      <c r="G495" t="s">
        <v>70</v>
      </c>
      <c r="H495" t="s">
        <v>71</v>
      </c>
      <c r="I495" t="s">
        <v>72</v>
      </c>
    </row>
    <row r="496" spans="1:9" x14ac:dyDescent="0.25">
      <c r="A496" t="s">
        <v>71</v>
      </c>
      <c r="B496" t="s">
        <v>100</v>
      </c>
      <c r="C496" t="s">
        <v>762</v>
      </c>
      <c r="D496" s="1">
        <v>45313</v>
      </c>
      <c r="E496" t="s">
        <v>52</v>
      </c>
      <c r="F496">
        <v>-45.52</v>
      </c>
      <c r="G496" t="s">
        <v>70</v>
      </c>
      <c r="H496" t="s">
        <v>71</v>
      </c>
      <c r="I496" t="s">
        <v>72</v>
      </c>
    </row>
    <row r="497" spans="1:9" x14ac:dyDescent="0.25">
      <c r="A497" t="s">
        <v>71</v>
      </c>
      <c r="B497" t="s">
        <v>100</v>
      </c>
      <c r="C497" t="s">
        <v>762</v>
      </c>
      <c r="D497" s="1">
        <v>45314</v>
      </c>
      <c r="E497" t="s">
        <v>786</v>
      </c>
      <c r="F497">
        <v>49.26</v>
      </c>
      <c r="G497" t="s">
        <v>70</v>
      </c>
      <c r="H497" t="s">
        <v>71</v>
      </c>
      <c r="I497" t="s">
        <v>72</v>
      </c>
    </row>
    <row r="498" spans="1:9" x14ac:dyDescent="0.25">
      <c r="A498" t="s">
        <v>71</v>
      </c>
      <c r="B498" t="s">
        <v>100</v>
      </c>
      <c r="C498" t="s">
        <v>762</v>
      </c>
      <c r="D498" s="1">
        <v>45314</v>
      </c>
      <c r="E498" t="s">
        <v>41</v>
      </c>
      <c r="F498">
        <v>-23.28</v>
      </c>
      <c r="G498" t="s">
        <v>70</v>
      </c>
      <c r="H498" t="s">
        <v>71</v>
      </c>
      <c r="I498" t="s">
        <v>72</v>
      </c>
    </row>
    <row r="499" spans="1:9" x14ac:dyDescent="0.25">
      <c r="A499" t="s">
        <v>71</v>
      </c>
      <c r="B499" t="s">
        <v>100</v>
      </c>
      <c r="C499" t="s">
        <v>762</v>
      </c>
      <c r="D499" s="1">
        <v>45315</v>
      </c>
      <c r="E499" t="s">
        <v>23</v>
      </c>
      <c r="F499">
        <v>10.24</v>
      </c>
      <c r="G499" t="s">
        <v>70</v>
      </c>
      <c r="H499" t="s">
        <v>71</v>
      </c>
      <c r="I499" t="s">
        <v>72</v>
      </c>
    </row>
    <row r="500" spans="1:9" x14ac:dyDescent="0.25">
      <c r="A500" t="s">
        <v>71</v>
      </c>
      <c r="B500" t="s">
        <v>100</v>
      </c>
      <c r="C500" t="s">
        <v>762</v>
      </c>
      <c r="D500" s="1">
        <v>45315</v>
      </c>
      <c r="E500" t="s">
        <v>785</v>
      </c>
      <c r="F500">
        <v>-3.15</v>
      </c>
      <c r="G500" t="s">
        <v>70</v>
      </c>
      <c r="H500" t="s">
        <v>71</v>
      </c>
      <c r="I500" t="s">
        <v>72</v>
      </c>
    </row>
    <row r="501" spans="1:9" x14ac:dyDescent="0.25">
      <c r="A501" t="s">
        <v>71</v>
      </c>
      <c r="B501" t="s">
        <v>100</v>
      </c>
      <c r="C501" t="s">
        <v>762</v>
      </c>
      <c r="D501" s="1">
        <v>45315</v>
      </c>
      <c r="E501" t="s">
        <v>10</v>
      </c>
      <c r="F501">
        <v>22.87</v>
      </c>
      <c r="G501" t="s">
        <v>70</v>
      </c>
      <c r="H501" t="s">
        <v>71</v>
      </c>
      <c r="I501" t="s">
        <v>72</v>
      </c>
    </row>
    <row r="502" spans="1:9" x14ac:dyDescent="0.25">
      <c r="A502" t="s">
        <v>71</v>
      </c>
      <c r="B502" t="s">
        <v>100</v>
      </c>
      <c r="C502" t="s">
        <v>762</v>
      </c>
      <c r="D502" s="1">
        <v>45316</v>
      </c>
      <c r="E502" t="s">
        <v>41</v>
      </c>
      <c r="F502">
        <v>-8.43</v>
      </c>
      <c r="G502" t="s">
        <v>70</v>
      </c>
      <c r="H502" t="s">
        <v>71</v>
      </c>
      <c r="I502" t="s">
        <v>72</v>
      </c>
    </row>
    <row r="503" spans="1:9" x14ac:dyDescent="0.25">
      <c r="A503" t="s">
        <v>71</v>
      </c>
      <c r="B503" t="s">
        <v>100</v>
      </c>
      <c r="C503" t="s">
        <v>762</v>
      </c>
      <c r="D503" s="1">
        <v>45316</v>
      </c>
      <c r="E503" t="s">
        <v>62</v>
      </c>
      <c r="F503">
        <v>-40.28</v>
      </c>
      <c r="G503" t="s">
        <v>70</v>
      </c>
      <c r="H503" t="s">
        <v>71</v>
      </c>
      <c r="I503" t="s">
        <v>72</v>
      </c>
    </row>
    <row r="504" spans="1:9" x14ac:dyDescent="0.25">
      <c r="A504" t="s">
        <v>71</v>
      </c>
      <c r="B504" t="s">
        <v>100</v>
      </c>
      <c r="C504" t="s">
        <v>762</v>
      </c>
      <c r="D504" s="1">
        <v>45317</v>
      </c>
      <c r="E504" t="s">
        <v>786</v>
      </c>
      <c r="F504">
        <v>67.61</v>
      </c>
      <c r="G504" t="s">
        <v>70</v>
      </c>
      <c r="H504" t="s">
        <v>71</v>
      </c>
      <c r="I504" t="s">
        <v>72</v>
      </c>
    </row>
    <row r="505" spans="1:9" x14ac:dyDescent="0.25">
      <c r="A505" t="s">
        <v>71</v>
      </c>
      <c r="B505" t="s">
        <v>100</v>
      </c>
      <c r="C505" t="s">
        <v>762</v>
      </c>
      <c r="D505" s="1">
        <v>45319</v>
      </c>
      <c r="E505" t="s">
        <v>24</v>
      </c>
      <c r="F505">
        <v>5.72</v>
      </c>
      <c r="G505" t="s">
        <v>70</v>
      </c>
      <c r="H505" t="s">
        <v>71</v>
      </c>
      <c r="I505" t="s">
        <v>72</v>
      </c>
    </row>
    <row r="506" spans="1:9" x14ac:dyDescent="0.25">
      <c r="A506" t="s">
        <v>71</v>
      </c>
      <c r="B506" t="s">
        <v>100</v>
      </c>
      <c r="C506" t="s">
        <v>762</v>
      </c>
      <c r="D506" s="1">
        <v>45321</v>
      </c>
      <c r="E506" t="s">
        <v>41</v>
      </c>
      <c r="F506">
        <v>-31.16</v>
      </c>
      <c r="G506" t="s">
        <v>70</v>
      </c>
      <c r="H506" t="s">
        <v>71</v>
      </c>
      <c r="I506" t="s">
        <v>72</v>
      </c>
    </row>
    <row r="507" spans="1:9" x14ac:dyDescent="0.25">
      <c r="A507" t="s">
        <v>71</v>
      </c>
      <c r="B507" t="s">
        <v>100</v>
      </c>
      <c r="C507" t="s">
        <v>762</v>
      </c>
      <c r="D507" s="1">
        <v>45322</v>
      </c>
      <c r="E507" t="s">
        <v>63</v>
      </c>
      <c r="F507">
        <v>116.83</v>
      </c>
      <c r="G507" t="s">
        <v>73</v>
      </c>
      <c r="H507" t="s">
        <v>74</v>
      </c>
      <c r="I507" t="s">
        <v>75</v>
      </c>
    </row>
    <row r="508" spans="1:9" x14ac:dyDescent="0.25">
      <c r="A508" t="s">
        <v>71</v>
      </c>
      <c r="B508" t="s">
        <v>100</v>
      </c>
      <c r="C508" t="s">
        <v>762</v>
      </c>
      <c r="D508" s="1">
        <v>45322</v>
      </c>
      <c r="E508" t="s">
        <v>52</v>
      </c>
      <c r="F508">
        <v>-631.79</v>
      </c>
      <c r="G508" t="s">
        <v>70</v>
      </c>
      <c r="H508" t="s">
        <v>71</v>
      </c>
      <c r="I508" t="s">
        <v>72</v>
      </c>
    </row>
    <row r="509" spans="1:9" x14ac:dyDescent="0.25">
      <c r="A509" t="s">
        <v>71</v>
      </c>
      <c r="B509" t="s">
        <v>100</v>
      </c>
      <c r="C509" t="s">
        <v>762</v>
      </c>
      <c r="D509" s="1">
        <v>45322</v>
      </c>
      <c r="E509" t="s">
        <v>785</v>
      </c>
      <c r="F509">
        <v>-124.39</v>
      </c>
      <c r="G509" t="s">
        <v>70</v>
      </c>
      <c r="H509" t="s">
        <v>71</v>
      </c>
      <c r="I509" t="s">
        <v>72</v>
      </c>
    </row>
    <row r="510" spans="1:9" x14ac:dyDescent="0.25">
      <c r="A510" t="s">
        <v>71</v>
      </c>
      <c r="B510" t="s">
        <v>100</v>
      </c>
      <c r="C510" t="s">
        <v>762</v>
      </c>
      <c r="D510" s="1">
        <v>45322</v>
      </c>
      <c r="E510" t="s">
        <v>10</v>
      </c>
      <c r="F510">
        <v>209.57</v>
      </c>
      <c r="G510" t="s">
        <v>70</v>
      </c>
      <c r="H510" t="s">
        <v>71</v>
      </c>
      <c r="I510" t="s">
        <v>72</v>
      </c>
    </row>
    <row r="511" spans="1:9" x14ac:dyDescent="0.25">
      <c r="A511" t="s">
        <v>71</v>
      </c>
      <c r="B511" t="s">
        <v>100</v>
      </c>
      <c r="C511" t="s">
        <v>762</v>
      </c>
      <c r="D511" s="1">
        <v>45322</v>
      </c>
      <c r="E511" t="s">
        <v>785</v>
      </c>
      <c r="F511">
        <v>-18.07</v>
      </c>
      <c r="G511" t="s">
        <v>70</v>
      </c>
      <c r="H511" t="s">
        <v>71</v>
      </c>
      <c r="I511" t="s">
        <v>72</v>
      </c>
    </row>
    <row r="512" spans="1:9" x14ac:dyDescent="0.25">
      <c r="A512" t="s">
        <v>71</v>
      </c>
      <c r="B512" t="s">
        <v>100</v>
      </c>
      <c r="C512" t="s">
        <v>762</v>
      </c>
      <c r="D512" s="1">
        <v>45323</v>
      </c>
      <c r="E512" t="s">
        <v>41</v>
      </c>
      <c r="F512">
        <v>-6.2</v>
      </c>
      <c r="G512" t="s">
        <v>70</v>
      </c>
      <c r="H512" t="s">
        <v>71</v>
      </c>
      <c r="I512" t="s">
        <v>72</v>
      </c>
    </row>
    <row r="513" spans="1:9" x14ac:dyDescent="0.25">
      <c r="A513" t="s">
        <v>71</v>
      </c>
      <c r="B513" t="s">
        <v>100</v>
      </c>
      <c r="C513" t="s">
        <v>762</v>
      </c>
      <c r="D513" s="1">
        <v>45324</v>
      </c>
      <c r="E513" t="s">
        <v>41</v>
      </c>
      <c r="F513">
        <v>-35.869999999999997</v>
      </c>
      <c r="G513" t="s">
        <v>70</v>
      </c>
      <c r="H513" t="s">
        <v>71</v>
      </c>
      <c r="I513" t="s">
        <v>72</v>
      </c>
    </row>
    <row r="514" spans="1:9" x14ac:dyDescent="0.25">
      <c r="A514" t="s">
        <v>71</v>
      </c>
      <c r="B514" t="s">
        <v>100</v>
      </c>
      <c r="C514" t="s">
        <v>762</v>
      </c>
      <c r="D514" s="1">
        <v>45325</v>
      </c>
      <c r="E514" t="s">
        <v>25</v>
      </c>
      <c r="F514">
        <v>-2.0499999999999998</v>
      </c>
      <c r="G514" t="s">
        <v>68</v>
      </c>
      <c r="H514" t="s">
        <v>69</v>
      </c>
      <c r="I514" t="s">
        <v>69</v>
      </c>
    </row>
    <row r="515" spans="1:9" x14ac:dyDescent="0.25">
      <c r="A515" t="s">
        <v>71</v>
      </c>
      <c r="B515" t="s">
        <v>100</v>
      </c>
      <c r="C515" t="s">
        <v>762</v>
      </c>
      <c r="D515" s="1">
        <v>45325</v>
      </c>
      <c r="E515" t="s">
        <v>25</v>
      </c>
      <c r="F515">
        <v>-5.46</v>
      </c>
      <c r="G515" t="s">
        <v>76</v>
      </c>
      <c r="H515" t="s">
        <v>87</v>
      </c>
      <c r="I515" t="s">
        <v>88</v>
      </c>
    </row>
    <row r="516" spans="1:9" x14ac:dyDescent="0.25">
      <c r="A516" t="s">
        <v>71</v>
      </c>
      <c r="B516" t="s">
        <v>100</v>
      </c>
      <c r="C516" t="s">
        <v>762</v>
      </c>
      <c r="D516" s="1">
        <v>45325</v>
      </c>
      <c r="E516" t="s">
        <v>786</v>
      </c>
      <c r="F516">
        <v>109</v>
      </c>
      <c r="G516" t="s">
        <v>70</v>
      </c>
      <c r="H516" t="s">
        <v>71</v>
      </c>
      <c r="I516" t="s">
        <v>72</v>
      </c>
    </row>
    <row r="517" spans="1:9" x14ac:dyDescent="0.25">
      <c r="A517" t="s">
        <v>71</v>
      </c>
      <c r="B517" t="s">
        <v>100</v>
      </c>
      <c r="C517" t="s">
        <v>762</v>
      </c>
      <c r="D517" s="1">
        <v>45326</v>
      </c>
      <c r="E517" t="s">
        <v>8</v>
      </c>
      <c r="F517">
        <v>13.84</v>
      </c>
      <c r="G517" t="s">
        <v>70</v>
      </c>
      <c r="H517" t="s">
        <v>71</v>
      </c>
      <c r="I517" t="s">
        <v>72</v>
      </c>
    </row>
    <row r="518" spans="1:9" x14ac:dyDescent="0.25">
      <c r="A518" t="s">
        <v>71</v>
      </c>
      <c r="B518" t="s">
        <v>100</v>
      </c>
      <c r="C518" t="s">
        <v>762</v>
      </c>
      <c r="D518" s="1">
        <v>45326</v>
      </c>
      <c r="E518" t="s">
        <v>9</v>
      </c>
      <c r="F518">
        <v>8.48</v>
      </c>
      <c r="G518" t="s">
        <v>70</v>
      </c>
      <c r="H518" t="s">
        <v>71</v>
      </c>
      <c r="I518" t="s">
        <v>72</v>
      </c>
    </row>
    <row r="519" spans="1:9" x14ac:dyDescent="0.25">
      <c r="A519" t="s">
        <v>71</v>
      </c>
      <c r="B519" t="s">
        <v>100</v>
      </c>
      <c r="C519" t="s">
        <v>762</v>
      </c>
      <c r="D519" s="1">
        <v>45326</v>
      </c>
      <c r="E519" t="s">
        <v>41</v>
      </c>
      <c r="F519">
        <v>-6.93</v>
      </c>
      <c r="G519" t="s">
        <v>70</v>
      </c>
      <c r="H519" t="s">
        <v>71</v>
      </c>
      <c r="I519" t="s">
        <v>72</v>
      </c>
    </row>
    <row r="520" spans="1:9" x14ac:dyDescent="0.25">
      <c r="A520" t="s">
        <v>71</v>
      </c>
      <c r="B520" t="s">
        <v>100</v>
      </c>
      <c r="C520" t="s">
        <v>762</v>
      </c>
      <c r="D520" s="1">
        <v>45326</v>
      </c>
      <c r="E520" t="s">
        <v>786</v>
      </c>
      <c r="F520">
        <v>69.239999999999995</v>
      </c>
      <c r="G520" t="s">
        <v>70</v>
      </c>
      <c r="H520" t="s">
        <v>71</v>
      </c>
      <c r="I520" t="s">
        <v>72</v>
      </c>
    </row>
    <row r="521" spans="1:9" x14ac:dyDescent="0.25">
      <c r="A521" t="s">
        <v>71</v>
      </c>
      <c r="B521" t="s">
        <v>100</v>
      </c>
      <c r="C521" t="s">
        <v>762</v>
      </c>
      <c r="D521" s="1">
        <v>45328</v>
      </c>
      <c r="E521" t="s">
        <v>11</v>
      </c>
      <c r="F521">
        <v>100.23</v>
      </c>
      <c r="G521" t="s">
        <v>70</v>
      </c>
      <c r="H521" t="s">
        <v>71</v>
      </c>
      <c r="I521" t="s">
        <v>72</v>
      </c>
    </row>
    <row r="522" spans="1:9" x14ac:dyDescent="0.25">
      <c r="A522" t="s">
        <v>71</v>
      </c>
      <c r="B522" t="s">
        <v>100</v>
      </c>
      <c r="C522" t="s">
        <v>762</v>
      </c>
      <c r="D522" s="1">
        <v>45328</v>
      </c>
      <c r="E522" t="s">
        <v>12</v>
      </c>
      <c r="F522">
        <v>1.38</v>
      </c>
      <c r="G522" t="s">
        <v>70</v>
      </c>
      <c r="H522" t="s">
        <v>71</v>
      </c>
      <c r="I522" t="s">
        <v>72</v>
      </c>
    </row>
    <row r="523" spans="1:9" x14ac:dyDescent="0.25">
      <c r="A523" t="s">
        <v>71</v>
      </c>
      <c r="B523" t="s">
        <v>100</v>
      </c>
      <c r="C523" t="s">
        <v>762</v>
      </c>
      <c r="D523" s="1">
        <v>45328</v>
      </c>
      <c r="E523" t="s">
        <v>41</v>
      </c>
      <c r="F523">
        <v>-76.48</v>
      </c>
      <c r="G523" t="s">
        <v>70</v>
      </c>
      <c r="H523" t="s">
        <v>71</v>
      </c>
      <c r="I523" t="s">
        <v>72</v>
      </c>
    </row>
    <row r="524" spans="1:9" x14ac:dyDescent="0.25">
      <c r="A524" t="s">
        <v>71</v>
      </c>
      <c r="B524" t="s">
        <v>100</v>
      </c>
      <c r="C524" t="s">
        <v>762</v>
      </c>
      <c r="D524" s="1">
        <v>45329</v>
      </c>
      <c r="E524" t="s">
        <v>786</v>
      </c>
      <c r="F524">
        <v>63.41</v>
      </c>
      <c r="G524" t="s">
        <v>70</v>
      </c>
      <c r="H524" t="s">
        <v>71</v>
      </c>
      <c r="I524" t="s">
        <v>72</v>
      </c>
    </row>
    <row r="525" spans="1:9" x14ac:dyDescent="0.25">
      <c r="A525" t="s">
        <v>71</v>
      </c>
      <c r="B525" t="s">
        <v>100</v>
      </c>
      <c r="C525" t="s">
        <v>762</v>
      </c>
      <c r="D525" s="1">
        <v>45330</v>
      </c>
      <c r="E525" t="s">
        <v>41</v>
      </c>
      <c r="F525">
        <v>-14.55</v>
      </c>
      <c r="G525" t="s">
        <v>70</v>
      </c>
      <c r="H525" t="s">
        <v>71</v>
      </c>
      <c r="I525" t="s">
        <v>72</v>
      </c>
    </row>
    <row r="526" spans="1:9" x14ac:dyDescent="0.25">
      <c r="A526" t="s">
        <v>71</v>
      </c>
      <c r="B526" t="s">
        <v>100</v>
      </c>
      <c r="C526" t="s">
        <v>762</v>
      </c>
      <c r="D526" s="1">
        <v>45330</v>
      </c>
      <c r="E526" t="s">
        <v>41</v>
      </c>
      <c r="F526">
        <v>-12.61</v>
      </c>
      <c r="G526" t="s">
        <v>70</v>
      </c>
      <c r="H526" t="s">
        <v>71</v>
      </c>
      <c r="I526" t="s">
        <v>72</v>
      </c>
    </row>
    <row r="527" spans="1:9" x14ac:dyDescent="0.25">
      <c r="A527" t="s">
        <v>71</v>
      </c>
      <c r="B527" t="s">
        <v>100</v>
      </c>
      <c r="C527" t="s">
        <v>762</v>
      </c>
      <c r="D527" s="1">
        <v>45331</v>
      </c>
      <c r="E527" t="s">
        <v>41</v>
      </c>
      <c r="F527">
        <v>-32.520000000000003</v>
      </c>
      <c r="G527" t="s">
        <v>70</v>
      </c>
      <c r="H527" t="s">
        <v>71</v>
      </c>
      <c r="I527" t="s">
        <v>72</v>
      </c>
    </row>
    <row r="528" spans="1:9" x14ac:dyDescent="0.25">
      <c r="A528" t="s">
        <v>71</v>
      </c>
      <c r="B528" t="s">
        <v>100</v>
      </c>
      <c r="C528" t="s">
        <v>762</v>
      </c>
      <c r="D528" s="1">
        <v>45331</v>
      </c>
      <c r="E528" t="s">
        <v>52</v>
      </c>
      <c r="F528">
        <v>-71.27</v>
      </c>
      <c r="G528" t="s">
        <v>70</v>
      </c>
      <c r="H528" t="s">
        <v>71</v>
      </c>
      <c r="I528" t="s">
        <v>72</v>
      </c>
    </row>
    <row r="529" spans="1:9" x14ac:dyDescent="0.25">
      <c r="A529" t="s">
        <v>71</v>
      </c>
      <c r="B529" t="s">
        <v>100</v>
      </c>
      <c r="C529" t="s">
        <v>762</v>
      </c>
      <c r="D529" s="1">
        <v>45335</v>
      </c>
      <c r="E529" t="s">
        <v>41</v>
      </c>
      <c r="F529">
        <v>-19.86</v>
      </c>
      <c r="G529" t="s">
        <v>70</v>
      </c>
      <c r="H529" t="s">
        <v>71</v>
      </c>
      <c r="I529" t="s">
        <v>72</v>
      </c>
    </row>
    <row r="530" spans="1:9" x14ac:dyDescent="0.25">
      <c r="A530" t="s">
        <v>71</v>
      </c>
      <c r="B530" t="s">
        <v>100</v>
      </c>
      <c r="C530" t="s">
        <v>762</v>
      </c>
      <c r="D530" s="1">
        <v>45335</v>
      </c>
      <c r="E530" t="s">
        <v>14</v>
      </c>
      <c r="F530">
        <v>4.33</v>
      </c>
      <c r="G530" t="s">
        <v>70</v>
      </c>
      <c r="H530" t="s">
        <v>71</v>
      </c>
      <c r="I530" t="s">
        <v>72</v>
      </c>
    </row>
    <row r="531" spans="1:9" x14ac:dyDescent="0.25">
      <c r="A531" t="s">
        <v>71</v>
      </c>
      <c r="B531" t="s">
        <v>100</v>
      </c>
      <c r="C531" t="s">
        <v>762</v>
      </c>
      <c r="D531" s="1">
        <v>45336</v>
      </c>
      <c r="E531" t="s">
        <v>64</v>
      </c>
      <c r="F531">
        <v>1866.08</v>
      </c>
      <c r="G531" t="s">
        <v>73</v>
      </c>
      <c r="H531" t="s">
        <v>74</v>
      </c>
      <c r="I531" t="s">
        <v>75</v>
      </c>
    </row>
    <row r="532" spans="1:9" x14ac:dyDescent="0.25">
      <c r="A532" t="s">
        <v>71</v>
      </c>
      <c r="B532" t="s">
        <v>100</v>
      </c>
      <c r="C532" t="s">
        <v>762</v>
      </c>
      <c r="D532" s="1">
        <v>45336</v>
      </c>
      <c r="E532" t="s">
        <v>52</v>
      </c>
      <c r="F532">
        <v>-521.98</v>
      </c>
      <c r="G532" t="s">
        <v>70</v>
      </c>
      <c r="H532" t="s">
        <v>71</v>
      </c>
      <c r="I532" t="s">
        <v>72</v>
      </c>
    </row>
    <row r="533" spans="1:9" x14ac:dyDescent="0.25">
      <c r="A533" t="s">
        <v>71</v>
      </c>
      <c r="B533" t="s">
        <v>100</v>
      </c>
      <c r="C533" t="s">
        <v>762</v>
      </c>
      <c r="D533" s="1">
        <v>45336</v>
      </c>
      <c r="E533" t="s">
        <v>785</v>
      </c>
      <c r="F533">
        <v>-47.31</v>
      </c>
      <c r="G533" t="s">
        <v>70</v>
      </c>
      <c r="H533" t="s">
        <v>71</v>
      </c>
      <c r="I533" t="s">
        <v>72</v>
      </c>
    </row>
    <row r="534" spans="1:9" x14ac:dyDescent="0.25">
      <c r="A534" t="s">
        <v>71</v>
      </c>
      <c r="B534" t="s">
        <v>100</v>
      </c>
      <c r="C534" t="s">
        <v>762</v>
      </c>
      <c r="D534" s="1">
        <v>45337</v>
      </c>
      <c r="E534" t="s">
        <v>41</v>
      </c>
      <c r="F534">
        <v>-14.69</v>
      </c>
      <c r="G534" t="s">
        <v>70</v>
      </c>
      <c r="H534" t="s">
        <v>71</v>
      </c>
      <c r="I534" t="s">
        <v>72</v>
      </c>
    </row>
    <row r="535" spans="1:9" x14ac:dyDescent="0.25">
      <c r="A535" t="s">
        <v>71</v>
      </c>
      <c r="B535" t="s">
        <v>100</v>
      </c>
      <c r="C535" t="s">
        <v>762</v>
      </c>
      <c r="D535" s="1">
        <v>45338</v>
      </c>
      <c r="E535" t="s">
        <v>41</v>
      </c>
      <c r="F535">
        <v>-4.68</v>
      </c>
      <c r="G535" t="s">
        <v>70</v>
      </c>
      <c r="H535" t="s">
        <v>71</v>
      </c>
      <c r="I535" t="s">
        <v>72</v>
      </c>
    </row>
    <row r="536" spans="1:9" x14ac:dyDescent="0.25">
      <c r="A536" t="s">
        <v>71</v>
      </c>
      <c r="B536" t="s">
        <v>100</v>
      </c>
      <c r="C536" t="s">
        <v>762</v>
      </c>
      <c r="D536" s="1">
        <v>45338</v>
      </c>
      <c r="E536" t="s">
        <v>16</v>
      </c>
      <c r="F536">
        <v>14.17</v>
      </c>
      <c r="G536" t="s">
        <v>70</v>
      </c>
      <c r="H536" t="s">
        <v>71</v>
      </c>
      <c r="I536" t="s">
        <v>72</v>
      </c>
    </row>
    <row r="537" spans="1:9" x14ac:dyDescent="0.25">
      <c r="A537" t="s">
        <v>71</v>
      </c>
      <c r="B537" t="s">
        <v>100</v>
      </c>
      <c r="C537" t="s">
        <v>762</v>
      </c>
      <c r="D537" s="1">
        <v>45338</v>
      </c>
      <c r="E537" t="s">
        <v>41</v>
      </c>
      <c r="F537">
        <v>-3.69</v>
      </c>
      <c r="G537" t="s">
        <v>70</v>
      </c>
      <c r="H537" t="s">
        <v>71</v>
      </c>
      <c r="I537" t="s">
        <v>72</v>
      </c>
    </row>
    <row r="538" spans="1:9" x14ac:dyDescent="0.25">
      <c r="A538" t="s">
        <v>71</v>
      </c>
      <c r="B538" t="s">
        <v>100</v>
      </c>
      <c r="C538" t="s">
        <v>762</v>
      </c>
      <c r="D538" s="1">
        <v>45338</v>
      </c>
      <c r="E538" t="s">
        <v>41</v>
      </c>
      <c r="F538">
        <v>-6.09</v>
      </c>
      <c r="G538" t="s">
        <v>70</v>
      </c>
      <c r="H538" t="s">
        <v>71</v>
      </c>
      <c r="I538" t="s">
        <v>72</v>
      </c>
    </row>
    <row r="539" spans="1:9" x14ac:dyDescent="0.25">
      <c r="A539" t="s">
        <v>71</v>
      </c>
      <c r="B539" t="s">
        <v>100</v>
      </c>
      <c r="C539" t="s">
        <v>762</v>
      </c>
      <c r="D539" s="1">
        <v>45340</v>
      </c>
      <c r="E539" t="s">
        <v>18</v>
      </c>
      <c r="F539">
        <v>42.02</v>
      </c>
      <c r="G539" t="s">
        <v>70</v>
      </c>
      <c r="H539" t="s">
        <v>71</v>
      </c>
      <c r="I539" t="s">
        <v>72</v>
      </c>
    </row>
    <row r="540" spans="1:9" x14ac:dyDescent="0.25">
      <c r="A540" t="s">
        <v>71</v>
      </c>
      <c r="B540" t="s">
        <v>100</v>
      </c>
      <c r="C540" t="s">
        <v>762</v>
      </c>
      <c r="D540" s="1">
        <v>45340</v>
      </c>
      <c r="E540" t="s">
        <v>20</v>
      </c>
      <c r="F540">
        <v>16.14</v>
      </c>
      <c r="G540" t="s">
        <v>70</v>
      </c>
      <c r="H540" t="s">
        <v>71</v>
      </c>
      <c r="I540" t="s">
        <v>72</v>
      </c>
    </row>
    <row r="541" spans="1:9" x14ac:dyDescent="0.25">
      <c r="A541" t="s">
        <v>71</v>
      </c>
      <c r="B541" t="s">
        <v>100</v>
      </c>
      <c r="C541" t="s">
        <v>762</v>
      </c>
      <c r="D541" s="1">
        <v>45340</v>
      </c>
      <c r="E541" t="s">
        <v>19</v>
      </c>
      <c r="F541">
        <v>53.31</v>
      </c>
      <c r="G541" t="s">
        <v>70</v>
      </c>
      <c r="H541" t="s">
        <v>71</v>
      </c>
      <c r="I541" t="s">
        <v>72</v>
      </c>
    </row>
    <row r="542" spans="1:9" x14ac:dyDescent="0.25">
      <c r="A542" t="s">
        <v>71</v>
      </c>
      <c r="B542" t="s">
        <v>100</v>
      </c>
      <c r="C542" t="s">
        <v>762</v>
      </c>
      <c r="D542" s="1">
        <v>45340</v>
      </c>
      <c r="E542" t="s">
        <v>25</v>
      </c>
      <c r="F542">
        <v>-7.78</v>
      </c>
      <c r="G542" t="s">
        <v>68</v>
      </c>
      <c r="H542" t="s">
        <v>69</v>
      </c>
      <c r="I542" t="s">
        <v>69</v>
      </c>
    </row>
    <row r="543" spans="1:9" x14ac:dyDescent="0.25">
      <c r="A543" t="s">
        <v>71</v>
      </c>
      <c r="B543" t="s">
        <v>100</v>
      </c>
      <c r="C543" t="s">
        <v>762</v>
      </c>
      <c r="D543" s="1">
        <v>45340</v>
      </c>
      <c r="E543" t="s">
        <v>25</v>
      </c>
      <c r="F543">
        <v>-1.1299999999999999</v>
      </c>
      <c r="G543" t="s">
        <v>68</v>
      </c>
      <c r="H543" t="s">
        <v>69</v>
      </c>
      <c r="I543" t="s">
        <v>69</v>
      </c>
    </row>
    <row r="544" spans="1:9" x14ac:dyDescent="0.25">
      <c r="A544" t="s">
        <v>71</v>
      </c>
      <c r="B544" t="s">
        <v>100</v>
      </c>
      <c r="C544" t="s">
        <v>762</v>
      </c>
      <c r="D544" s="1">
        <v>45340</v>
      </c>
      <c r="E544" t="s">
        <v>25</v>
      </c>
      <c r="F544">
        <v>-15.11</v>
      </c>
      <c r="G544" t="s">
        <v>68</v>
      </c>
      <c r="H544" t="s">
        <v>69</v>
      </c>
      <c r="I544" t="s">
        <v>69</v>
      </c>
    </row>
    <row r="545" spans="1:9" x14ac:dyDescent="0.25">
      <c r="A545" t="s">
        <v>71</v>
      </c>
      <c r="B545" t="s">
        <v>100</v>
      </c>
      <c r="C545" t="s">
        <v>762</v>
      </c>
      <c r="D545" s="1">
        <v>45340</v>
      </c>
      <c r="E545" t="s">
        <v>25</v>
      </c>
      <c r="F545">
        <v>-14.56</v>
      </c>
      <c r="G545" t="s">
        <v>68</v>
      </c>
      <c r="H545" t="s">
        <v>69</v>
      </c>
      <c r="I545" t="s">
        <v>69</v>
      </c>
    </row>
    <row r="546" spans="1:9" x14ac:dyDescent="0.25">
      <c r="A546" t="s">
        <v>71</v>
      </c>
      <c r="B546" t="s">
        <v>100</v>
      </c>
      <c r="C546" t="s">
        <v>762</v>
      </c>
      <c r="D546" s="1">
        <v>45340</v>
      </c>
      <c r="E546" t="s">
        <v>25</v>
      </c>
      <c r="F546">
        <v>-4.57</v>
      </c>
      <c r="G546" t="s">
        <v>68</v>
      </c>
      <c r="H546" t="s">
        <v>69</v>
      </c>
      <c r="I546" t="s">
        <v>69</v>
      </c>
    </row>
    <row r="547" spans="1:9" x14ac:dyDescent="0.25">
      <c r="A547" t="s">
        <v>71</v>
      </c>
      <c r="B547" t="s">
        <v>100</v>
      </c>
      <c r="C547" t="s">
        <v>762</v>
      </c>
      <c r="D547" s="1">
        <v>45340</v>
      </c>
      <c r="E547" t="s">
        <v>41</v>
      </c>
      <c r="F547">
        <v>-232.04</v>
      </c>
      <c r="G547" t="s">
        <v>70</v>
      </c>
      <c r="H547" t="s">
        <v>71</v>
      </c>
      <c r="I547" t="s">
        <v>72</v>
      </c>
    </row>
    <row r="548" spans="1:9" x14ac:dyDescent="0.25">
      <c r="A548" t="s">
        <v>71</v>
      </c>
      <c r="B548" t="s">
        <v>100</v>
      </c>
      <c r="C548" t="s">
        <v>762</v>
      </c>
      <c r="D548" s="1">
        <v>45341</v>
      </c>
      <c r="E548" t="s">
        <v>59</v>
      </c>
      <c r="F548">
        <v>-27.21</v>
      </c>
      <c r="G548" t="s">
        <v>68</v>
      </c>
      <c r="H548" t="s">
        <v>69</v>
      </c>
      <c r="I548" t="s">
        <v>69</v>
      </c>
    </row>
    <row r="549" spans="1:9" x14ac:dyDescent="0.25">
      <c r="A549" t="s">
        <v>71</v>
      </c>
      <c r="B549" t="s">
        <v>100</v>
      </c>
      <c r="C549" t="s">
        <v>762</v>
      </c>
      <c r="D549" s="1">
        <v>45341</v>
      </c>
      <c r="E549" t="s">
        <v>41</v>
      </c>
      <c r="F549">
        <v>-141.69999999999999</v>
      </c>
      <c r="G549" t="s">
        <v>70</v>
      </c>
      <c r="H549" t="s">
        <v>71</v>
      </c>
      <c r="I549" t="s">
        <v>72</v>
      </c>
    </row>
    <row r="550" spans="1:9" x14ac:dyDescent="0.25">
      <c r="A550" t="s">
        <v>71</v>
      </c>
      <c r="B550" t="s">
        <v>100</v>
      </c>
      <c r="C550" t="s">
        <v>762</v>
      </c>
      <c r="D550" s="1">
        <v>45342</v>
      </c>
      <c r="E550" t="s">
        <v>21</v>
      </c>
      <c r="F550">
        <v>188.08</v>
      </c>
      <c r="G550" t="s">
        <v>70</v>
      </c>
      <c r="H550" t="s">
        <v>71</v>
      </c>
      <c r="I550" t="s">
        <v>72</v>
      </c>
    </row>
    <row r="551" spans="1:9" x14ac:dyDescent="0.25">
      <c r="A551" t="s">
        <v>71</v>
      </c>
      <c r="B551" t="s">
        <v>100</v>
      </c>
      <c r="C551" t="s">
        <v>762</v>
      </c>
      <c r="D551" s="1">
        <v>45342</v>
      </c>
      <c r="E551" t="s">
        <v>59</v>
      </c>
      <c r="F551">
        <v>-282.87</v>
      </c>
      <c r="G551" t="s">
        <v>68</v>
      </c>
      <c r="H551" t="s">
        <v>69</v>
      </c>
      <c r="I551" t="s">
        <v>69</v>
      </c>
    </row>
    <row r="552" spans="1:9" x14ac:dyDescent="0.25">
      <c r="A552" t="s">
        <v>71</v>
      </c>
      <c r="B552" t="s">
        <v>100</v>
      </c>
      <c r="C552" t="s">
        <v>762</v>
      </c>
      <c r="D552" s="1">
        <v>45342</v>
      </c>
      <c r="E552" t="s">
        <v>786</v>
      </c>
      <c r="F552">
        <v>188.31</v>
      </c>
      <c r="G552" t="s">
        <v>70</v>
      </c>
      <c r="H552" t="s">
        <v>71</v>
      </c>
      <c r="I552" t="s">
        <v>72</v>
      </c>
    </row>
    <row r="553" spans="1:9" x14ac:dyDescent="0.25">
      <c r="A553" t="s">
        <v>71</v>
      </c>
      <c r="B553" t="s">
        <v>100</v>
      </c>
      <c r="C553" t="s">
        <v>762</v>
      </c>
      <c r="D553" s="1">
        <v>45342</v>
      </c>
      <c r="E553" t="s">
        <v>41</v>
      </c>
      <c r="F553">
        <v>-31.05</v>
      </c>
      <c r="G553" t="s">
        <v>70</v>
      </c>
      <c r="H553" t="s">
        <v>71</v>
      </c>
      <c r="I553" t="s">
        <v>72</v>
      </c>
    </row>
    <row r="554" spans="1:9" x14ac:dyDescent="0.25">
      <c r="A554" t="s">
        <v>71</v>
      </c>
      <c r="B554" t="s">
        <v>100</v>
      </c>
      <c r="C554" t="s">
        <v>762</v>
      </c>
      <c r="D554" s="1">
        <v>45343</v>
      </c>
      <c r="E554" t="s">
        <v>10</v>
      </c>
      <c r="F554">
        <v>251.16</v>
      </c>
      <c r="G554" t="s">
        <v>70</v>
      </c>
      <c r="H554" t="s">
        <v>71</v>
      </c>
      <c r="I554" t="s">
        <v>72</v>
      </c>
    </row>
    <row r="555" spans="1:9" x14ac:dyDescent="0.25">
      <c r="A555" t="s">
        <v>71</v>
      </c>
      <c r="B555" t="s">
        <v>100</v>
      </c>
      <c r="C555" t="s">
        <v>762</v>
      </c>
      <c r="D555" s="1">
        <v>45344</v>
      </c>
      <c r="E555" t="s">
        <v>41</v>
      </c>
      <c r="F555">
        <v>-1.1399999999999999</v>
      </c>
      <c r="G555" t="s">
        <v>70</v>
      </c>
      <c r="H555" t="s">
        <v>71</v>
      </c>
      <c r="I555" t="s">
        <v>72</v>
      </c>
    </row>
    <row r="556" spans="1:9" x14ac:dyDescent="0.25">
      <c r="A556" t="s">
        <v>71</v>
      </c>
      <c r="B556" t="s">
        <v>100</v>
      </c>
      <c r="C556" t="s">
        <v>762</v>
      </c>
      <c r="D556" s="1">
        <v>45344</v>
      </c>
      <c r="E556" t="s">
        <v>41</v>
      </c>
      <c r="F556">
        <v>-0.48</v>
      </c>
      <c r="G556" t="s">
        <v>70</v>
      </c>
      <c r="H556" t="s">
        <v>71</v>
      </c>
      <c r="I556" t="s">
        <v>72</v>
      </c>
    </row>
    <row r="557" spans="1:9" x14ac:dyDescent="0.25">
      <c r="A557" t="s">
        <v>71</v>
      </c>
      <c r="B557" t="s">
        <v>100</v>
      </c>
      <c r="C557" t="s">
        <v>762</v>
      </c>
      <c r="D557" s="1">
        <v>45345</v>
      </c>
      <c r="E557" t="s">
        <v>41</v>
      </c>
      <c r="F557">
        <v>-2.56</v>
      </c>
      <c r="G557" t="s">
        <v>70</v>
      </c>
      <c r="H557" t="s">
        <v>71</v>
      </c>
      <c r="I557" t="s">
        <v>72</v>
      </c>
    </row>
    <row r="558" spans="1:9" x14ac:dyDescent="0.25">
      <c r="A558" t="s">
        <v>71</v>
      </c>
      <c r="B558" t="s">
        <v>100</v>
      </c>
      <c r="C558" t="s">
        <v>762</v>
      </c>
      <c r="D558" s="1">
        <v>45346</v>
      </c>
      <c r="E558" t="s">
        <v>23</v>
      </c>
      <c r="F558">
        <v>1.93</v>
      </c>
      <c r="G558" t="s">
        <v>70</v>
      </c>
      <c r="H558" t="s">
        <v>71</v>
      </c>
      <c r="I558" t="s">
        <v>72</v>
      </c>
    </row>
    <row r="559" spans="1:9" x14ac:dyDescent="0.25">
      <c r="A559" t="s">
        <v>71</v>
      </c>
      <c r="B559" t="s">
        <v>100</v>
      </c>
      <c r="C559" t="s">
        <v>762</v>
      </c>
      <c r="D559" s="1">
        <v>45347</v>
      </c>
      <c r="E559" t="s">
        <v>24</v>
      </c>
      <c r="F559">
        <v>20.37</v>
      </c>
      <c r="G559" t="s">
        <v>70</v>
      </c>
      <c r="H559" t="s">
        <v>71</v>
      </c>
      <c r="I559" t="s">
        <v>72</v>
      </c>
    </row>
    <row r="560" spans="1:9" x14ac:dyDescent="0.25">
      <c r="A560" t="s">
        <v>71</v>
      </c>
      <c r="B560" t="s">
        <v>100</v>
      </c>
      <c r="C560" t="s">
        <v>762</v>
      </c>
      <c r="D560" s="1">
        <v>45347</v>
      </c>
      <c r="E560" t="s">
        <v>41</v>
      </c>
      <c r="F560">
        <v>-4.79</v>
      </c>
      <c r="G560" t="s">
        <v>70</v>
      </c>
      <c r="H560" t="s">
        <v>71</v>
      </c>
      <c r="I560" t="s">
        <v>72</v>
      </c>
    </row>
    <row r="561" spans="1:9" x14ac:dyDescent="0.25">
      <c r="A561" t="s">
        <v>71</v>
      </c>
      <c r="B561" t="s">
        <v>100</v>
      </c>
      <c r="C561" t="s">
        <v>762</v>
      </c>
      <c r="D561" s="1">
        <v>45349</v>
      </c>
      <c r="E561" t="s">
        <v>52</v>
      </c>
      <c r="F561">
        <v>-110.42</v>
      </c>
      <c r="G561" t="s">
        <v>70</v>
      </c>
      <c r="H561" t="s">
        <v>71</v>
      </c>
      <c r="I561" t="s">
        <v>72</v>
      </c>
    </row>
    <row r="562" spans="1:9" x14ac:dyDescent="0.25">
      <c r="A562" t="s">
        <v>71</v>
      </c>
      <c r="B562" t="s">
        <v>100</v>
      </c>
      <c r="C562" t="s">
        <v>762</v>
      </c>
      <c r="D562" s="1">
        <v>45349</v>
      </c>
      <c r="E562" t="s">
        <v>41</v>
      </c>
      <c r="F562">
        <v>-13.41</v>
      </c>
      <c r="G562" t="s">
        <v>70</v>
      </c>
      <c r="H562" t="s">
        <v>71</v>
      </c>
      <c r="I562" t="s">
        <v>72</v>
      </c>
    </row>
    <row r="563" spans="1:9" x14ac:dyDescent="0.25">
      <c r="A563" t="s">
        <v>71</v>
      </c>
      <c r="B563" t="s">
        <v>100</v>
      </c>
      <c r="C563" t="s">
        <v>762</v>
      </c>
      <c r="D563" s="1">
        <v>45350</v>
      </c>
      <c r="E563" t="s">
        <v>65</v>
      </c>
      <c r="F563">
        <v>465.77</v>
      </c>
      <c r="G563" t="s">
        <v>73</v>
      </c>
      <c r="H563" t="s">
        <v>74</v>
      </c>
      <c r="I563" t="s">
        <v>75</v>
      </c>
    </row>
    <row r="564" spans="1:9" x14ac:dyDescent="0.25">
      <c r="A564" t="s">
        <v>71</v>
      </c>
      <c r="B564" t="s">
        <v>100</v>
      </c>
      <c r="C564" t="s">
        <v>762</v>
      </c>
      <c r="D564" s="1">
        <v>45350</v>
      </c>
      <c r="E564" t="s">
        <v>52</v>
      </c>
      <c r="F564">
        <v>-718.19</v>
      </c>
      <c r="G564" t="s">
        <v>70</v>
      </c>
      <c r="H564" t="s">
        <v>71</v>
      </c>
      <c r="I564" t="s">
        <v>72</v>
      </c>
    </row>
    <row r="565" spans="1:9" x14ac:dyDescent="0.25">
      <c r="A565" t="s">
        <v>71</v>
      </c>
      <c r="B565" t="s">
        <v>100</v>
      </c>
      <c r="C565" t="s">
        <v>762</v>
      </c>
      <c r="D565" s="1">
        <v>45351</v>
      </c>
      <c r="E565" t="s">
        <v>41</v>
      </c>
      <c r="F565">
        <v>-1.54</v>
      </c>
      <c r="G565" t="s">
        <v>70</v>
      </c>
      <c r="H565" t="s">
        <v>71</v>
      </c>
      <c r="I565" t="s">
        <v>72</v>
      </c>
    </row>
    <row r="566" spans="1:9" x14ac:dyDescent="0.25">
      <c r="A566" t="s">
        <v>71</v>
      </c>
      <c r="B566" t="s">
        <v>100</v>
      </c>
      <c r="C566" t="s">
        <v>762</v>
      </c>
      <c r="D566" s="1">
        <v>45351</v>
      </c>
      <c r="E566" t="s">
        <v>41</v>
      </c>
      <c r="F566">
        <v>-11.43</v>
      </c>
      <c r="G566" t="s">
        <v>70</v>
      </c>
      <c r="H566" t="s">
        <v>71</v>
      </c>
      <c r="I566" t="s">
        <v>72</v>
      </c>
    </row>
    <row r="567" spans="1:9" x14ac:dyDescent="0.25">
      <c r="A567" t="s">
        <v>71</v>
      </c>
      <c r="B567" t="s">
        <v>100</v>
      </c>
      <c r="C567" t="s">
        <v>762</v>
      </c>
      <c r="D567" s="1">
        <v>45352</v>
      </c>
      <c r="E567" t="s">
        <v>41</v>
      </c>
      <c r="F567">
        <v>-33.020000000000003</v>
      </c>
      <c r="G567" t="s">
        <v>70</v>
      </c>
      <c r="H567" t="s">
        <v>71</v>
      </c>
      <c r="I567" t="s">
        <v>72</v>
      </c>
    </row>
    <row r="568" spans="1:9" x14ac:dyDescent="0.25">
      <c r="A568" t="s">
        <v>71</v>
      </c>
      <c r="B568" t="s">
        <v>100</v>
      </c>
      <c r="C568" t="s">
        <v>762</v>
      </c>
      <c r="D568" s="1">
        <v>45352</v>
      </c>
      <c r="E568" t="s">
        <v>41</v>
      </c>
      <c r="F568">
        <v>-122.85</v>
      </c>
      <c r="G568" t="s">
        <v>70</v>
      </c>
      <c r="H568" t="s">
        <v>71</v>
      </c>
      <c r="I568" t="s">
        <v>72</v>
      </c>
    </row>
    <row r="569" spans="1:9" x14ac:dyDescent="0.25">
      <c r="A569" t="s">
        <v>71</v>
      </c>
      <c r="B569" t="s">
        <v>100</v>
      </c>
      <c r="C569" t="s">
        <v>762</v>
      </c>
      <c r="D569" s="1">
        <v>45353</v>
      </c>
      <c r="E569" t="s">
        <v>41</v>
      </c>
      <c r="F569">
        <v>-6.02</v>
      </c>
      <c r="G569" t="s">
        <v>70</v>
      </c>
      <c r="H569" t="s">
        <v>71</v>
      </c>
      <c r="I569" t="s">
        <v>72</v>
      </c>
    </row>
    <row r="570" spans="1:9" x14ac:dyDescent="0.25">
      <c r="A570" t="s">
        <v>71</v>
      </c>
      <c r="B570" t="s">
        <v>100</v>
      </c>
      <c r="C570" t="s">
        <v>762</v>
      </c>
      <c r="D570" s="1">
        <v>45353</v>
      </c>
      <c r="E570" t="s">
        <v>41</v>
      </c>
      <c r="F570">
        <v>-10.18</v>
      </c>
      <c r="G570" t="s">
        <v>70</v>
      </c>
      <c r="H570" t="s">
        <v>71</v>
      </c>
      <c r="I570" t="s">
        <v>72</v>
      </c>
    </row>
    <row r="571" spans="1:9" x14ac:dyDescent="0.25">
      <c r="A571" t="s">
        <v>71</v>
      </c>
      <c r="B571" t="s">
        <v>100</v>
      </c>
      <c r="C571" t="s">
        <v>762</v>
      </c>
      <c r="D571" s="1">
        <v>45354</v>
      </c>
      <c r="E571" t="s">
        <v>25</v>
      </c>
      <c r="F571">
        <v>-21.17</v>
      </c>
      <c r="G571" t="s">
        <v>68</v>
      </c>
      <c r="H571" t="s">
        <v>69</v>
      </c>
      <c r="I571" t="s">
        <v>69</v>
      </c>
    </row>
    <row r="572" spans="1:9" x14ac:dyDescent="0.25">
      <c r="A572" t="s">
        <v>71</v>
      </c>
      <c r="B572" t="s">
        <v>100</v>
      </c>
      <c r="C572" t="s">
        <v>762</v>
      </c>
      <c r="D572" s="1">
        <v>45355</v>
      </c>
      <c r="E572" t="s">
        <v>8</v>
      </c>
      <c r="F572">
        <v>39.46</v>
      </c>
      <c r="G572" t="s">
        <v>70</v>
      </c>
      <c r="H572" t="s">
        <v>71</v>
      </c>
      <c r="I572" t="s">
        <v>72</v>
      </c>
    </row>
    <row r="573" spans="1:9" x14ac:dyDescent="0.25">
      <c r="A573" t="s">
        <v>71</v>
      </c>
      <c r="B573" t="s">
        <v>100</v>
      </c>
      <c r="C573" t="s">
        <v>762</v>
      </c>
      <c r="D573" s="1">
        <v>45355</v>
      </c>
      <c r="E573" t="s">
        <v>9</v>
      </c>
      <c r="F573">
        <v>18.61</v>
      </c>
      <c r="G573" t="s">
        <v>70</v>
      </c>
      <c r="H573" t="s">
        <v>71</v>
      </c>
      <c r="I573" t="s">
        <v>72</v>
      </c>
    </row>
    <row r="574" spans="1:9" x14ac:dyDescent="0.25">
      <c r="A574" t="s">
        <v>71</v>
      </c>
      <c r="B574" t="s">
        <v>100</v>
      </c>
      <c r="C574" t="s">
        <v>762</v>
      </c>
      <c r="D574" s="1">
        <v>45355</v>
      </c>
      <c r="E574" t="s">
        <v>41</v>
      </c>
      <c r="F574">
        <v>-120.82</v>
      </c>
      <c r="G574" t="s">
        <v>70</v>
      </c>
      <c r="H574" t="s">
        <v>71</v>
      </c>
      <c r="I574" t="s">
        <v>72</v>
      </c>
    </row>
    <row r="575" spans="1:9" x14ac:dyDescent="0.25">
      <c r="A575" t="s">
        <v>71</v>
      </c>
      <c r="B575" t="s">
        <v>100</v>
      </c>
      <c r="C575" t="s">
        <v>762</v>
      </c>
      <c r="D575" s="1">
        <v>45357</v>
      </c>
      <c r="E575" t="s">
        <v>12</v>
      </c>
      <c r="F575">
        <v>17.39</v>
      </c>
      <c r="G575" t="s">
        <v>70</v>
      </c>
      <c r="H575" t="s">
        <v>71</v>
      </c>
      <c r="I575" t="s">
        <v>72</v>
      </c>
    </row>
    <row r="576" spans="1:9" x14ac:dyDescent="0.25">
      <c r="A576" t="s">
        <v>71</v>
      </c>
      <c r="B576" t="s">
        <v>100</v>
      </c>
      <c r="C576" t="s">
        <v>762</v>
      </c>
      <c r="D576" s="1">
        <v>45357</v>
      </c>
      <c r="E576" t="s">
        <v>11</v>
      </c>
      <c r="F576">
        <v>28.55</v>
      </c>
      <c r="G576" t="s">
        <v>70</v>
      </c>
      <c r="H576" t="s">
        <v>71</v>
      </c>
      <c r="I576" t="s">
        <v>72</v>
      </c>
    </row>
    <row r="577" spans="1:9" x14ac:dyDescent="0.25">
      <c r="A577" t="s">
        <v>71</v>
      </c>
      <c r="B577" t="s">
        <v>100</v>
      </c>
      <c r="C577" t="s">
        <v>762</v>
      </c>
      <c r="D577" s="1">
        <v>45357</v>
      </c>
      <c r="E577" t="s">
        <v>10</v>
      </c>
      <c r="F577">
        <v>153.08000000000001</v>
      </c>
      <c r="G577" t="s">
        <v>70</v>
      </c>
      <c r="H577" t="s">
        <v>71</v>
      </c>
      <c r="I577" t="s">
        <v>72</v>
      </c>
    </row>
    <row r="578" spans="1:9" x14ac:dyDescent="0.25">
      <c r="A578" t="s">
        <v>71</v>
      </c>
      <c r="B578" t="s">
        <v>100</v>
      </c>
      <c r="C578" t="s">
        <v>762</v>
      </c>
      <c r="D578" s="1">
        <v>45358</v>
      </c>
      <c r="E578" t="s">
        <v>41</v>
      </c>
      <c r="F578">
        <v>-8.7100000000000009</v>
      </c>
      <c r="G578" t="s">
        <v>70</v>
      </c>
      <c r="H578" t="s">
        <v>71</v>
      </c>
      <c r="I578" t="s">
        <v>72</v>
      </c>
    </row>
    <row r="579" spans="1:9" x14ac:dyDescent="0.25">
      <c r="A579" t="s">
        <v>71</v>
      </c>
      <c r="B579" t="s">
        <v>100</v>
      </c>
      <c r="C579" t="s">
        <v>762</v>
      </c>
      <c r="D579" s="1">
        <v>45358</v>
      </c>
      <c r="E579" t="s">
        <v>41</v>
      </c>
      <c r="F579">
        <v>-2.14</v>
      </c>
      <c r="G579" t="s">
        <v>70</v>
      </c>
      <c r="H579" t="s">
        <v>71</v>
      </c>
      <c r="I579" t="s">
        <v>72</v>
      </c>
    </row>
    <row r="580" spans="1:9" x14ac:dyDescent="0.25">
      <c r="A580" t="s">
        <v>71</v>
      </c>
      <c r="B580" t="s">
        <v>100</v>
      </c>
      <c r="C580" t="s">
        <v>762</v>
      </c>
      <c r="D580" s="1">
        <v>45359</v>
      </c>
      <c r="E580" t="s">
        <v>41</v>
      </c>
      <c r="F580">
        <v>-31.73</v>
      </c>
      <c r="G580" t="s">
        <v>70</v>
      </c>
      <c r="H580" t="s">
        <v>71</v>
      </c>
      <c r="I580" t="s">
        <v>72</v>
      </c>
    </row>
    <row r="581" spans="1:9" x14ac:dyDescent="0.25">
      <c r="A581" t="s">
        <v>71</v>
      </c>
      <c r="B581" t="s">
        <v>100</v>
      </c>
      <c r="C581" t="s">
        <v>762</v>
      </c>
      <c r="D581" s="1">
        <v>45360</v>
      </c>
      <c r="E581" t="s">
        <v>41</v>
      </c>
      <c r="F581">
        <v>-37.619999999999997</v>
      </c>
      <c r="G581" t="s">
        <v>70</v>
      </c>
      <c r="H581" t="s">
        <v>71</v>
      </c>
      <c r="I581" t="s">
        <v>72</v>
      </c>
    </row>
    <row r="582" spans="1:9" x14ac:dyDescent="0.25">
      <c r="A582" t="s">
        <v>71</v>
      </c>
      <c r="B582" t="s">
        <v>100</v>
      </c>
      <c r="C582" t="s">
        <v>762</v>
      </c>
      <c r="D582" s="1">
        <v>45360</v>
      </c>
      <c r="E582" t="s">
        <v>25</v>
      </c>
      <c r="F582">
        <v>-1.53</v>
      </c>
      <c r="G582" t="s">
        <v>68</v>
      </c>
      <c r="H582" t="s">
        <v>69</v>
      </c>
      <c r="I582" t="s">
        <v>69</v>
      </c>
    </row>
    <row r="583" spans="1:9" x14ac:dyDescent="0.25">
      <c r="A583" t="s">
        <v>71</v>
      </c>
      <c r="B583" t="s">
        <v>100</v>
      </c>
      <c r="C583" t="s">
        <v>762</v>
      </c>
      <c r="D583" s="1">
        <v>45360</v>
      </c>
      <c r="E583" t="s">
        <v>25</v>
      </c>
      <c r="F583">
        <v>-2.14</v>
      </c>
      <c r="G583" t="s">
        <v>68</v>
      </c>
      <c r="H583" t="s">
        <v>69</v>
      </c>
      <c r="I583" t="s">
        <v>69</v>
      </c>
    </row>
    <row r="584" spans="1:9" x14ac:dyDescent="0.25">
      <c r="A584" t="s">
        <v>71</v>
      </c>
      <c r="B584" t="s">
        <v>100</v>
      </c>
      <c r="C584" t="s">
        <v>762</v>
      </c>
      <c r="D584" s="1">
        <v>45360</v>
      </c>
      <c r="E584" t="s">
        <v>25</v>
      </c>
      <c r="F584">
        <v>-3.92</v>
      </c>
      <c r="G584" t="s">
        <v>68</v>
      </c>
      <c r="H584" t="s">
        <v>69</v>
      </c>
      <c r="I584" t="s">
        <v>69</v>
      </c>
    </row>
    <row r="585" spans="1:9" x14ac:dyDescent="0.25">
      <c r="A585" t="s">
        <v>71</v>
      </c>
      <c r="B585" t="s">
        <v>100</v>
      </c>
      <c r="C585" t="s">
        <v>762</v>
      </c>
      <c r="D585" s="1">
        <v>45360</v>
      </c>
      <c r="E585" t="s">
        <v>25</v>
      </c>
      <c r="F585">
        <v>-75.08</v>
      </c>
      <c r="G585" t="s">
        <v>68</v>
      </c>
      <c r="H585" t="s">
        <v>69</v>
      </c>
      <c r="I585" t="s">
        <v>69</v>
      </c>
    </row>
    <row r="586" spans="1:9" x14ac:dyDescent="0.25">
      <c r="A586" t="s">
        <v>71</v>
      </c>
      <c r="B586" t="s">
        <v>100</v>
      </c>
      <c r="C586" t="s">
        <v>762</v>
      </c>
      <c r="D586" s="1">
        <v>45364</v>
      </c>
      <c r="E586" t="s">
        <v>14</v>
      </c>
      <c r="F586">
        <v>45.02</v>
      </c>
      <c r="G586" t="s">
        <v>70</v>
      </c>
      <c r="H586" t="s">
        <v>71</v>
      </c>
      <c r="I586" t="s">
        <v>72</v>
      </c>
    </row>
    <row r="587" spans="1:9" x14ac:dyDescent="0.25">
      <c r="A587" t="s">
        <v>71</v>
      </c>
      <c r="B587" t="s">
        <v>100</v>
      </c>
      <c r="C587" t="s">
        <v>762</v>
      </c>
      <c r="D587" s="1">
        <v>45364</v>
      </c>
      <c r="E587" t="s">
        <v>66</v>
      </c>
      <c r="F587">
        <v>179.97</v>
      </c>
      <c r="G587" t="s">
        <v>73</v>
      </c>
      <c r="H587" t="s">
        <v>74</v>
      </c>
      <c r="I587" t="s">
        <v>75</v>
      </c>
    </row>
    <row r="588" spans="1:9" x14ac:dyDescent="0.25">
      <c r="A588" t="s">
        <v>71</v>
      </c>
      <c r="B588" t="s">
        <v>100</v>
      </c>
      <c r="C588" t="s">
        <v>762</v>
      </c>
      <c r="D588" s="1">
        <v>45364</v>
      </c>
      <c r="E588" t="s">
        <v>59</v>
      </c>
      <c r="F588">
        <v>-59.64</v>
      </c>
      <c r="G588" t="s">
        <v>68</v>
      </c>
      <c r="H588" t="s">
        <v>69</v>
      </c>
      <c r="I588" t="s">
        <v>69</v>
      </c>
    </row>
    <row r="589" spans="1:9" x14ac:dyDescent="0.25">
      <c r="A589" t="s">
        <v>71</v>
      </c>
      <c r="B589" t="s">
        <v>100</v>
      </c>
      <c r="C589" t="s">
        <v>762</v>
      </c>
      <c r="D589" s="1">
        <v>45364</v>
      </c>
      <c r="E589" t="s">
        <v>52</v>
      </c>
      <c r="F589">
        <v>-1421.87</v>
      </c>
      <c r="G589" t="s">
        <v>70</v>
      </c>
      <c r="H589" t="s">
        <v>71</v>
      </c>
      <c r="I589" t="s">
        <v>72</v>
      </c>
    </row>
    <row r="590" spans="1:9" x14ac:dyDescent="0.25">
      <c r="A590" t="s">
        <v>71</v>
      </c>
      <c r="B590" t="s">
        <v>100</v>
      </c>
      <c r="C590" t="s">
        <v>762</v>
      </c>
      <c r="D590" s="1">
        <v>45365</v>
      </c>
      <c r="E590" t="s">
        <v>41</v>
      </c>
      <c r="F590">
        <v>-1.57</v>
      </c>
      <c r="G590" t="s">
        <v>70</v>
      </c>
      <c r="H590" t="s">
        <v>71</v>
      </c>
      <c r="I590" t="s">
        <v>72</v>
      </c>
    </row>
    <row r="591" spans="1:9" x14ac:dyDescent="0.25">
      <c r="A591" t="s">
        <v>71</v>
      </c>
      <c r="B591" t="s">
        <v>100</v>
      </c>
      <c r="C591" t="s">
        <v>762</v>
      </c>
      <c r="D591" s="1">
        <v>45366</v>
      </c>
      <c r="E591" t="s">
        <v>16</v>
      </c>
      <c r="F591">
        <v>11.66</v>
      </c>
      <c r="G591" t="s">
        <v>70</v>
      </c>
      <c r="H591" t="s">
        <v>71</v>
      </c>
      <c r="I591" t="s">
        <v>72</v>
      </c>
    </row>
    <row r="592" spans="1:9" x14ac:dyDescent="0.25">
      <c r="A592" t="s">
        <v>71</v>
      </c>
      <c r="B592" t="s">
        <v>100</v>
      </c>
      <c r="C592" t="s">
        <v>762</v>
      </c>
      <c r="D592" s="1">
        <v>45369</v>
      </c>
      <c r="E592" t="s">
        <v>41</v>
      </c>
      <c r="F592">
        <v>-15.22</v>
      </c>
      <c r="G592" t="s">
        <v>70</v>
      </c>
      <c r="H592" t="s">
        <v>71</v>
      </c>
      <c r="I592" t="s">
        <v>72</v>
      </c>
    </row>
    <row r="593" spans="1:9" x14ac:dyDescent="0.25">
      <c r="A593" t="s">
        <v>71</v>
      </c>
      <c r="B593" t="s">
        <v>100</v>
      </c>
      <c r="C593" t="s">
        <v>762</v>
      </c>
      <c r="D593" s="1">
        <v>45369</v>
      </c>
      <c r="E593" t="s">
        <v>19</v>
      </c>
      <c r="F593">
        <v>49.65</v>
      </c>
      <c r="G593" t="s">
        <v>70</v>
      </c>
      <c r="H593" t="s">
        <v>71</v>
      </c>
      <c r="I593" t="s">
        <v>72</v>
      </c>
    </row>
    <row r="594" spans="1:9" x14ac:dyDescent="0.25">
      <c r="A594" t="s">
        <v>71</v>
      </c>
      <c r="B594" t="s">
        <v>100</v>
      </c>
      <c r="C594" t="s">
        <v>762</v>
      </c>
      <c r="D594" s="1">
        <v>45369</v>
      </c>
      <c r="E594" t="s">
        <v>18</v>
      </c>
      <c r="F594">
        <v>145.02000000000001</v>
      </c>
      <c r="G594" t="s">
        <v>70</v>
      </c>
      <c r="H594" t="s">
        <v>71</v>
      </c>
      <c r="I594" t="s">
        <v>72</v>
      </c>
    </row>
    <row r="595" spans="1:9" x14ac:dyDescent="0.25">
      <c r="A595" t="s">
        <v>71</v>
      </c>
      <c r="B595" t="s">
        <v>100</v>
      </c>
      <c r="C595" t="s">
        <v>762</v>
      </c>
      <c r="D595" s="1">
        <v>45369</v>
      </c>
      <c r="E595" t="s">
        <v>20</v>
      </c>
      <c r="F595">
        <v>22.77</v>
      </c>
      <c r="G595" t="s">
        <v>70</v>
      </c>
      <c r="H595" t="s">
        <v>71</v>
      </c>
      <c r="I595" t="s">
        <v>72</v>
      </c>
    </row>
    <row r="596" spans="1:9" x14ac:dyDescent="0.25">
      <c r="A596" t="s">
        <v>71</v>
      </c>
      <c r="B596" t="s">
        <v>100</v>
      </c>
      <c r="C596" t="s">
        <v>762</v>
      </c>
      <c r="D596" s="1">
        <v>45370</v>
      </c>
      <c r="E596" t="s">
        <v>41</v>
      </c>
      <c r="F596">
        <v>-113.28</v>
      </c>
      <c r="G596" t="s">
        <v>70</v>
      </c>
      <c r="H596" t="s">
        <v>71</v>
      </c>
      <c r="I596" t="s">
        <v>72</v>
      </c>
    </row>
    <row r="597" spans="1:9" x14ac:dyDescent="0.25">
      <c r="A597" t="s">
        <v>71</v>
      </c>
      <c r="B597" t="s">
        <v>100</v>
      </c>
      <c r="C597" t="s">
        <v>762</v>
      </c>
      <c r="D597" s="1">
        <v>45370</v>
      </c>
      <c r="E597" t="s">
        <v>41</v>
      </c>
      <c r="F597">
        <v>-21.31</v>
      </c>
      <c r="G597" t="s">
        <v>70</v>
      </c>
      <c r="H597" t="s">
        <v>71</v>
      </c>
      <c r="I597" t="s">
        <v>72</v>
      </c>
    </row>
    <row r="598" spans="1:9" x14ac:dyDescent="0.25">
      <c r="A598" t="s">
        <v>71</v>
      </c>
      <c r="B598" t="s">
        <v>100</v>
      </c>
      <c r="C598" t="s">
        <v>762</v>
      </c>
      <c r="D598" s="1">
        <v>45371</v>
      </c>
      <c r="E598" t="s">
        <v>21</v>
      </c>
      <c r="F598">
        <v>125.89</v>
      </c>
      <c r="G598" t="s">
        <v>70</v>
      </c>
      <c r="H598" t="s">
        <v>71</v>
      </c>
      <c r="I598" t="s">
        <v>72</v>
      </c>
    </row>
    <row r="599" spans="1:9" x14ac:dyDescent="0.25">
      <c r="A599" t="s">
        <v>71</v>
      </c>
      <c r="B599" t="s">
        <v>100</v>
      </c>
      <c r="C599" t="s">
        <v>762</v>
      </c>
      <c r="D599" s="1">
        <v>45373</v>
      </c>
      <c r="E599" t="s">
        <v>41</v>
      </c>
      <c r="F599">
        <v>-24.52</v>
      </c>
      <c r="G599" t="s">
        <v>70</v>
      </c>
      <c r="H599" t="s">
        <v>71</v>
      </c>
      <c r="I599" t="s">
        <v>72</v>
      </c>
    </row>
    <row r="600" spans="1:9" x14ac:dyDescent="0.25">
      <c r="A600" t="s">
        <v>71</v>
      </c>
      <c r="B600" t="s">
        <v>100</v>
      </c>
      <c r="C600" t="s">
        <v>762</v>
      </c>
      <c r="D600" s="1">
        <v>45375</v>
      </c>
      <c r="E600" t="s">
        <v>23</v>
      </c>
      <c r="F600">
        <v>14.93</v>
      </c>
      <c r="G600" t="s">
        <v>70</v>
      </c>
      <c r="H600" t="s">
        <v>71</v>
      </c>
      <c r="I600" t="s">
        <v>72</v>
      </c>
    </row>
    <row r="601" spans="1:9" x14ac:dyDescent="0.25">
      <c r="A601" t="s">
        <v>71</v>
      </c>
      <c r="B601" t="s">
        <v>100</v>
      </c>
      <c r="C601" t="s">
        <v>762</v>
      </c>
      <c r="D601" s="1">
        <v>45375</v>
      </c>
      <c r="E601" t="s">
        <v>24</v>
      </c>
      <c r="F601">
        <v>25.15</v>
      </c>
      <c r="G601" t="s">
        <v>70</v>
      </c>
      <c r="H601" t="s">
        <v>71</v>
      </c>
      <c r="I601" t="s">
        <v>72</v>
      </c>
    </row>
    <row r="602" spans="1:9" x14ac:dyDescent="0.25">
      <c r="A602" t="s">
        <v>71</v>
      </c>
      <c r="B602" t="s">
        <v>100</v>
      </c>
      <c r="C602" t="s">
        <v>762</v>
      </c>
      <c r="D602" s="1">
        <v>45375</v>
      </c>
      <c r="E602" t="s">
        <v>41</v>
      </c>
      <c r="F602">
        <v>-1.22</v>
      </c>
      <c r="G602" t="s">
        <v>70</v>
      </c>
      <c r="H602" t="s">
        <v>71</v>
      </c>
      <c r="I602" t="s">
        <v>72</v>
      </c>
    </row>
    <row r="603" spans="1:9" x14ac:dyDescent="0.25">
      <c r="A603" t="s">
        <v>71</v>
      </c>
      <c r="B603" t="s">
        <v>100</v>
      </c>
      <c r="C603" t="s">
        <v>762</v>
      </c>
      <c r="D603" s="1">
        <v>45378</v>
      </c>
      <c r="E603" t="s">
        <v>41</v>
      </c>
      <c r="F603">
        <v>-2.9</v>
      </c>
      <c r="G603" t="s">
        <v>70</v>
      </c>
      <c r="H603" t="s">
        <v>71</v>
      </c>
      <c r="I603" t="s">
        <v>72</v>
      </c>
    </row>
    <row r="604" spans="1:9" x14ac:dyDescent="0.25">
      <c r="A604" t="s">
        <v>71</v>
      </c>
      <c r="B604" t="s">
        <v>100</v>
      </c>
      <c r="C604" t="s">
        <v>762</v>
      </c>
      <c r="D604" s="1">
        <v>45378</v>
      </c>
      <c r="E604" t="s">
        <v>67</v>
      </c>
      <c r="F604">
        <v>1452.87</v>
      </c>
      <c r="G604" t="s">
        <v>73</v>
      </c>
      <c r="H604" t="s">
        <v>74</v>
      </c>
      <c r="I604" t="s">
        <v>75</v>
      </c>
    </row>
    <row r="605" spans="1:9" x14ac:dyDescent="0.25">
      <c r="A605" t="s">
        <v>71</v>
      </c>
      <c r="B605" t="s">
        <v>100</v>
      </c>
      <c r="C605" t="s">
        <v>762</v>
      </c>
      <c r="D605" s="1">
        <v>45380</v>
      </c>
      <c r="E605" t="s">
        <v>41</v>
      </c>
      <c r="F605">
        <v>-2.36</v>
      </c>
      <c r="G605" t="s">
        <v>70</v>
      </c>
      <c r="H605" t="s">
        <v>71</v>
      </c>
      <c r="I605" t="s">
        <v>72</v>
      </c>
    </row>
    <row r="606" spans="1:9" x14ac:dyDescent="0.25">
      <c r="A606" t="s">
        <v>71</v>
      </c>
      <c r="B606" t="s">
        <v>100</v>
      </c>
      <c r="C606" t="s">
        <v>762</v>
      </c>
      <c r="D606" s="1">
        <v>45382</v>
      </c>
      <c r="E606" t="s">
        <v>25</v>
      </c>
      <c r="F606">
        <v>-11.8</v>
      </c>
      <c r="G606" t="s">
        <v>89</v>
      </c>
      <c r="H606" t="s">
        <v>90</v>
      </c>
      <c r="I606" t="s">
        <v>98</v>
      </c>
    </row>
    <row r="607" spans="1:9" x14ac:dyDescent="0.25">
      <c r="A607" t="s">
        <v>71</v>
      </c>
      <c r="B607" t="s">
        <v>100</v>
      </c>
      <c r="C607" t="s">
        <v>788</v>
      </c>
      <c r="D607" s="1">
        <v>45196</v>
      </c>
      <c r="E607" t="s">
        <v>763</v>
      </c>
      <c r="F607">
        <v>549.80999999999995</v>
      </c>
      <c r="G607" t="s">
        <v>70</v>
      </c>
      <c r="H607" t="s">
        <v>71</v>
      </c>
      <c r="I607" t="s">
        <v>72</v>
      </c>
    </row>
    <row r="608" spans="1:9" x14ac:dyDescent="0.25">
      <c r="A608" t="s">
        <v>71</v>
      </c>
      <c r="B608" t="s">
        <v>100</v>
      </c>
      <c r="C608" t="s">
        <v>788</v>
      </c>
      <c r="D608" s="1">
        <v>45196</v>
      </c>
      <c r="E608" t="s">
        <v>764</v>
      </c>
      <c r="F608">
        <v>-494.15</v>
      </c>
      <c r="G608" t="s">
        <v>70</v>
      </c>
      <c r="H608" t="s">
        <v>71</v>
      </c>
      <c r="I608" t="s">
        <v>72</v>
      </c>
    </row>
    <row r="609" spans="1:9" x14ac:dyDescent="0.25">
      <c r="A609" t="s">
        <v>71</v>
      </c>
      <c r="B609" t="s">
        <v>100</v>
      </c>
      <c r="C609" t="s">
        <v>788</v>
      </c>
      <c r="D609" s="1">
        <v>45203</v>
      </c>
      <c r="E609" t="s">
        <v>763</v>
      </c>
      <c r="F609">
        <v>253.05</v>
      </c>
      <c r="G609" t="s">
        <v>70</v>
      </c>
      <c r="H609" t="s">
        <v>71</v>
      </c>
      <c r="I609" t="s">
        <v>72</v>
      </c>
    </row>
    <row r="610" spans="1:9" x14ac:dyDescent="0.25">
      <c r="A610" t="s">
        <v>71</v>
      </c>
      <c r="B610" t="s">
        <v>100</v>
      </c>
      <c r="C610" t="s">
        <v>788</v>
      </c>
      <c r="D610" s="1">
        <v>45204</v>
      </c>
      <c r="E610" t="s">
        <v>764</v>
      </c>
      <c r="F610">
        <v>-40.06</v>
      </c>
      <c r="G610" t="s">
        <v>70</v>
      </c>
      <c r="H610" t="s">
        <v>71</v>
      </c>
      <c r="I610" t="s">
        <v>72</v>
      </c>
    </row>
    <row r="611" spans="1:9" x14ac:dyDescent="0.25">
      <c r="A611" t="s">
        <v>71</v>
      </c>
      <c r="B611" t="s">
        <v>100</v>
      </c>
      <c r="C611" t="s">
        <v>788</v>
      </c>
      <c r="D611" s="1">
        <v>45204</v>
      </c>
      <c r="E611" t="s">
        <v>764</v>
      </c>
      <c r="F611">
        <v>-64.930000000000007</v>
      </c>
      <c r="G611" t="s">
        <v>70</v>
      </c>
      <c r="H611" t="s">
        <v>71</v>
      </c>
      <c r="I611" t="s">
        <v>72</v>
      </c>
    </row>
    <row r="612" spans="1:9" x14ac:dyDescent="0.25">
      <c r="A612" t="s">
        <v>71</v>
      </c>
      <c r="B612" t="s">
        <v>100</v>
      </c>
      <c r="C612" t="s">
        <v>788</v>
      </c>
      <c r="D612" s="1">
        <v>45206</v>
      </c>
      <c r="E612" t="s">
        <v>763</v>
      </c>
      <c r="F612">
        <v>122.63</v>
      </c>
      <c r="G612" t="s">
        <v>70</v>
      </c>
      <c r="H612" t="s">
        <v>71</v>
      </c>
      <c r="I612" t="s">
        <v>72</v>
      </c>
    </row>
    <row r="613" spans="1:9" x14ac:dyDescent="0.25">
      <c r="A613" t="s">
        <v>71</v>
      </c>
      <c r="B613" t="s">
        <v>100</v>
      </c>
      <c r="C613" t="s">
        <v>788</v>
      </c>
      <c r="D613" s="1">
        <v>45210</v>
      </c>
      <c r="E613" t="s">
        <v>763</v>
      </c>
      <c r="F613">
        <v>238.93</v>
      </c>
      <c r="G613" t="s">
        <v>70</v>
      </c>
      <c r="H613" t="s">
        <v>71</v>
      </c>
      <c r="I613" t="s">
        <v>72</v>
      </c>
    </row>
    <row r="614" spans="1:9" x14ac:dyDescent="0.25">
      <c r="A614" t="s">
        <v>71</v>
      </c>
      <c r="B614" t="s">
        <v>100</v>
      </c>
      <c r="C614" t="s">
        <v>788</v>
      </c>
      <c r="D614" s="1">
        <v>45210</v>
      </c>
      <c r="E614" t="s">
        <v>764</v>
      </c>
      <c r="F614">
        <v>-73.45</v>
      </c>
      <c r="G614" t="s">
        <v>70</v>
      </c>
      <c r="H614" t="s">
        <v>71</v>
      </c>
      <c r="I614" t="s">
        <v>72</v>
      </c>
    </row>
    <row r="615" spans="1:9" x14ac:dyDescent="0.25">
      <c r="A615" t="s">
        <v>71</v>
      </c>
      <c r="B615" t="s">
        <v>100</v>
      </c>
      <c r="C615" t="s">
        <v>788</v>
      </c>
      <c r="D615" s="1">
        <v>45212</v>
      </c>
      <c r="E615" t="s">
        <v>763</v>
      </c>
      <c r="F615">
        <v>60.37</v>
      </c>
      <c r="G615" t="s">
        <v>70</v>
      </c>
      <c r="H615" t="s">
        <v>71</v>
      </c>
      <c r="I615" t="s">
        <v>72</v>
      </c>
    </row>
    <row r="616" spans="1:9" x14ac:dyDescent="0.25">
      <c r="A616" t="s">
        <v>71</v>
      </c>
      <c r="B616" t="s">
        <v>100</v>
      </c>
      <c r="C616" t="s">
        <v>788</v>
      </c>
      <c r="D616" s="1">
        <v>45214</v>
      </c>
      <c r="E616" t="s">
        <v>765</v>
      </c>
      <c r="F616">
        <v>-338.2</v>
      </c>
      <c r="G616" t="s">
        <v>70</v>
      </c>
      <c r="H616" t="s">
        <v>71</v>
      </c>
      <c r="I616" t="s">
        <v>72</v>
      </c>
    </row>
    <row r="617" spans="1:9" x14ac:dyDescent="0.25">
      <c r="A617" t="s">
        <v>71</v>
      </c>
      <c r="B617" t="s">
        <v>100</v>
      </c>
      <c r="C617" t="s">
        <v>788</v>
      </c>
      <c r="D617" s="1">
        <v>45214</v>
      </c>
      <c r="E617" t="s">
        <v>764</v>
      </c>
      <c r="F617">
        <v>-64.28</v>
      </c>
      <c r="G617" t="s">
        <v>70</v>
      </c>
      <c r="H617" t="s">
        <v>71</v>
      </c>
      <c r="I617" t="s">
        <v>72</v>
      </c>
    </row>
    <row r="618" spans="1:9" x14ac:dyDescent="0.25">
      <c r="A618" t="s">
        <v>71</v>
      </c>
      <c r="B618" t="s">
        <v>100</v>
      </c>
      <c r="C618" t="s">
        <v>788</v>
      </c>
      <c r="D618" s="1">
        <v>45219</v>
      </c>
      <c r="E618" t="s">
        <v>763</v>
      </c>
      <c r="F618">
        <v>68.010000000000005</v>
      </c>
      <c r="G618" t="s">
        <v>70</v>
      </c>
      <c r="H618" t="s">
        <v>71</v>
      </c>
      <c r="I618" t="s">
        <v>72</v>
      </c>
    </row>
    <row r="619" spans="1:9" x14ac:dyDescent="0.25">
      <c r="A619" t="s">
        <v>71</v>
      </c>
      <c r="B619" t="s">
        <v>100</v>
      </c>
      <c r="C619" t="s">
        <v>788</v>
      </c>
      <c r="D619" s="1">
        <v>45219</v>
      </c>
      <c r="E619" t="s">
        <v>764</v>
      </c>
      <c r="F619">
        <v>-21.21</v>
      </c>
      <c r="G619" t="s">
        <v>70</v>
      </c>
      <c r="H619" t="s">
        <v>71</v>
      </c>
      <c r="I619" t="s">
        <v>72</v>
      </c>
    </row>
    <row r="620" spans="1:9" x14ac:dyDescent="0.25">
      <c r="A620" t="s">
        <v>71</v>
      </c>
      <c r="B620" t="s">
        <v>100</v>
      </c>
      <c r="C620" t="s">
        <v>788</v>
      </c>
      <c r="D620" s="1">
        <v>45220</v>
      </c>
      <c r="E620" t="s">
        <v>764</v>
      </c>
      <c r="F620">
        <v>-141.97</v>
      </c>
      <c r="G620" t="s">
        <v>70</v>
      </c>
      <c r="H620" t="s">
        <v>71</v>
      </c>
      <c r="I620" t="s">
        <v>72</v>
      </c>
    </row>
    <row r="621" spans="1:9" x14ac:dyDescent="0.25">
      <c r="A621" t="s">
        <v>71</v>
      </c>
      <c r="B621" t="s">
        <v>100</v>
      </c>
      <c r="C621" t="s">
        <v>788</v>
      </c>
      <c r="D621" s="1">
        <v>45225</v>
      </c>
      <c r="E621" t="s">
        <v>763</v>
      </c>
      <c r="F621">
        <v>109.64</v>
      </c>
      <c r="G621" t="s">
        <v>70</v>
      </c>
      <c r="H621" t="s">
        <v>71</v>
      </c>
      <c r="I621" t="s">
        <v>72</v>
      </c>
    </row>
    <row r="622" spans="1:9" x14ac:dyDescent="0.25">
      <c r="A622" t="s">
        <v>71</v>
      </c>
      <c r="B622" t="s">
        <v>100</v>
      </c>
      <c r="C622" t="s">
        <v>788</v>
      </c>
      <c r="D622" s="1">
        <v>45225</v>
      </c>
      <c r="E622" t="s">
        <v>764</v>
      </c>
      <c r="F622">
        <v>-90.1</v>
      </c>
      <c r="G622" t="s">
        <v>70</v>
      </c>
      <c r="H622" t="s">
        <v>71</v>
      </c>
      <c r="I622" t="s">
        <v>72</v>
      </c>
    </row>
    <row r="623" spans="1:9" x14ac:dyDescent="0.25">
      <c r="A623" t="s">
        <v>71</v>
      </c>
      <c r="B623" t="s">
        <v>100</v>
      </c>
      <c r="C623" t="s">
        <v>788</v>
      </c>
      <c r="D623" s="1">
        <v>45225</v>
      </c>
      <c r="E623" t="s">
        <v>764</v>
      </c>
      <c r="F623">
        <v>-46.72</v>
      </c>
      <c r="G623" t="s">
        <v>70</v>
      </c>
      <c r="H623" t="s">
        <v>71</v>
      </c>
      <c r="I623" t="s">
        <v>72</v>
      </c>
    </row>
    <row r="624" spans="1:9" x14ac:dyDescent="0.25">
      <c r="A624" t="s">
        <v>71</v>
      </c>
      <c r="B624" t="s">
        <v>100</v>
      </c>
      <c r="C624" t="s">
        <v>788</v>
      </c>
      <c r="D624" s="1">
        <v>45228</v>
      </c>
      <c r="E624" t="s">
        <v>764</v>
      </c>
      <c r="F624">
        <v>-2.2200000000000002</v>
      </c>
      <c r="G624" t="s">
        <v>70</v>
      </c>
      <c r="H624" t="s">
        <v>71</v>
      </c>
      <c r="I624" t="s">
        <v>72</v>
      </c>
    </row>
    <row r="625" spans="1:9" x14ac:dyDescent="0.25">
      <c r="A625" t="s">
        <v>71</v>
      </c>
      <c r="B625" t="s">
        <v>100</v>
      </c>
      <c r="C625" t="s">
        <v>788</v>
      </c>
      <c r="D625" s="1">
        <v>45232</v>
      </c>
      <c r="E625" t="s">
        <v>763</v>
      </c>
      <c r="F625">
        <v>4.7699999999999996</v>
      </c>
      <c r="G625" t="s">
        <v>70</v>
      </c>
      <c r="H625" t="s">
        <v>71</v>
      </c>
      <c r="I625" t="s">
        <v>72</v>
      </c>
    </row>
    <row r="626" spans="1:9" x14ac:dyDescent="0.25">
      <c r="A626" t="s">
        <v>71</v>
      </c>
      <c r="B626" t="s">
        <v>100</v>
      </c>
      <c r="C626" t="s">
        <v>788</v>
      </c>
      <c r="D626" s="1">
        <v>45235</v>
      </c>
      <c r="E626" t="s">
        <v>764</v>
      </c>
      <c r="F626">
        <v>-117.97</v>
      </c>
      <c r="G626" t="s">
        <v>70</v>
      </c>
      <c r="H626" t="s">
        <v>71</v>
      </c>
      <c r="I626" t="s">
        <v>72</v>
      </c>
    </row>
    <row r="627" spans="1:9" x14ac:dyDescent="0.25">
      <c r="A627" t="s">
        <v>71</v>
      </c>
      <c r="B627" t="s">
        <v>100</v>
      </c>
      <c r="C627" t="s">
        <v>788</v>
      </c>
      <c r="D627" s="1">
        <v>45238</v>
      </c>
      <c r="E627" t="s">
        <v>764</v>
      </c>
      <c r="F627">
        <v>-2.46</v>
      </c>
      <c r="G627" t="s">
        <v>70</v>
      </c>
      <c r="H627" t="s">
        <v>71</v>
      </c>
      <c r="I627" t="s">
        <v>72</v>
      </c>
    </row>
    <row r="628" spans="1:9" x14ac:dyDescent="0.25">
      <c r="A628" t="s">
        <v>71</v>
      </c>
      <c r="B628" t="s">
        <v>100</v>
      </c>
      <c r="C628" t="s">
        <v>788</v>
      </c>
      <c r="D628" s="1">
        <v>45249</v>
      </c>
      <c r="E628" t="s">
        <v>763</v>
      </c>
      <c r="F628">
        <v>433.9</v>
      </c>
      <c r="G628" t="s">
        <v>70</v>
      </c>
      <c r="H628" t="s">
        <v>71</v>
      </c>
      <c r="I628" t="s">
        <v>72</v>
      </c>
    </row>
    <row r="629" spans="1:9" x14ac:dyDescent="0.25">
      <c r="A629" t="s">
        <v>71</v>
      </c>
      <c r="B629" t="s">
        <v>100</v>
      </c>
      <c r="C629" t="s">
        <v>788</v>
      </c>
      <c r="D629" s="1">
        <v>45249</v>
      </c>
      <c r="E629" t="s">
        <v>764</v>
      </c>
      <c r="F629">
        <v>-3.26</v>
      </c>
      <c r="G629" t="s">
        <v>70</v>
      </c>
      <c r="H629" t="s">
        <v>71</v>
      </c>
      <c r="I629" t="s">
        <v>72</v>
      </c>
    </row>
    <row r="630" spans="1:9" x14ac:dyDescent="0.25">
      <c r="A630" t="s">
        <v>71</v>
      </c>
      <c r="B630" t="s">
        <v>100</v>
      </c>
      <c r="C630" t="s">
        <v>788</v>
      </c>
      <c r="D630" s="1">
        <v>45250</v>
      </c>
      <c r="E630" t="s">
        <v>764</v>
      </c>
      <c r="F630">
        <v>-88.74</v>
      </c>
      <c r="G630" t="s">
        <v>70</v>
      </c>
      <c r="H630" t="s">
        <v>71</v>
      </c>
      <c r="I630" t="s">
        <v>72</v>
      </c>
    </row>
    <row r="631" spans="1:9" x14ac:dyDescent="0.25">
      <c r="A631" t="s">
        <v>71</v>
      </c>
      <c r="B631" t="s">
        <v>100</v>
      </c>
      <c r="C631" t="s">
        <v>788</v>
      </c>
      <c r="D631" s="1">
        <v>45250</v>
      </c>
      <c r="E631" t="s">
        <v>763</v>
      </c>
      <c r="F631">
        <v>228.76</v>
      </c>
      <c r="G631" t="s">
        <v>70</v>
      </c>
      <c r="H631" t="s">
        <v>71</v>
      </c>
      <c r="I631" t="s">
        <v>72</v>
      </c>
    </row>
    <row r="632" spans="1:9" x14ac:dyDescent="0.25">
      <c r="A632" t="s">
        <v>71</v>
      </c>
      <c r="B632" t="s">
        <v>100</v>
      </c>
      <c r="C632" t="s">
        <v>788</v>
      </c>
      <c r="D632" s="1">
        <v>45250</v>
      </c>
      <c r="E632" t="s">
        <v>764</v>
      </c>
      <c r="F632">
        <v>-71.92</v>
      </c>
      <c r="G632" t="s">
        <v>70</v>
      </c>
      <c r="H632" t="s">
        <v>71</v>
      </c>
      <c r="I632" t="s">
        <v>72</v>
      </c>
    </row>
    <row r="633" spans="1:9" x14ac:dyDescent="0.25">
      <c r="A633" t="s">
        <v>71</v>
      </c>
      <c r="B633" t="s">
        <v>100</v>
      </c>
      <c r="C633" t="s">
        <v>788</v>
      </c>
      <c r="D633" s="1">
        <v>45252</v>
      </c>
      <c r="E633" t="s">
        <v>763</v>
      </c>
      <c r="F633">
        <v>390.23</v>
      </c>
      <c r="G633" t="s">
        <v>70</v>
      </c>
      <c r="H633" t="s">
        <v>71</v>
      </c>
      <c r="I633" t="s">
        <v>72</v>
      </c>
    </row>
    <row r="634" spans="1:9" x14ac:dyDescent="0.25">
      <c r="A634" t="s">
        <v>71</v>
      </c>
      <c r="B634" t="s">
        <v>100</v>
      </c>
      <c r="C634" t="s">
        <v>788</v>
      </c>
      <c r="D634" s="1">
        <v>45258</v>
      </c>
      <c r="E634" t="s">
        <v>764</v>
      </c>
      <c r="F634">
        <v>-80.05</v>
      </c>
      <c r="G634" t="s">
        <v>70</v>
      </c>
      <c r="H634" t="s">
        <v>71</v>
      </c>
      <c r="I634" t="s">
        <v>72</v>
      </c>
    </row>
    <row r="635" spans="1:9" x14ac:dyDescent="0.25">
      <c r="A635" t="s">
        <v>71</v>
      </c>
      <c r="B635" t="s">
        <v>100</v>
      </c>
      <c r="C635" t="s">
        <v>788</v>
      </c>
      <c r="D635" s="1">
        <v>45258</v>
      </c>
      <c r="E635" t="s">
        <v>764</v>
      </c>
      <c r="F635">
        <v>-296.11</v>
      </c>
      <c r="G635" t="s">
        <v>70</v>
      </c>
      <c r="H635" t="s">
        <v>71</v>
      </c>
      <c r="I635" t="s">
        <v>72</v>
      </c>
    </row>
    <row r="636" spans="1:9" x14ac:dyDescent="0.25">
      <c r="A636" t="s">
        <v>71</v>
      </c>
      <c r="B636" t="s">
        <v>100</v>
      </c>
      <c r="C636" t="s">
        <v>788</v>
      </c>
      <c r="D636" s="1">
        <v>45280</v>
      </c>
      <c r="E636" t="s">
        <v>763</v>
      </c>
      <c r="F636">
        <v>53.64</v>
      </c>
      <c r="G636" t="s">
        <v>70</v>
      </c>
      <c r="H636" t="s">
        <v>71</v>
      </c>
      <c r="I636" t="s">
        <v>72</v>
      </c>
    </row>
    <row r="637" spans="1:9" x14ac:dyDescent="0.25">
      <c r="A637" t="s">
        <v>71</v>
      </c>
      <c r="B637" t="s">
        <v>100</v>
      </c>
      <c r="C637" t="s">
        <v>788</v>
      </c>
      <c r="D637" s="1">
        <v>45282</v>
      </c>
      <c r="E637" t="s">
        <v>41</v>
      </c>
      <c r="F637">
        <v>-37.32</v>
      </c>
      <c r="G637" t="s">
        <v>70</v>
      </c>
      <c r="H637" t="s">
        <v>71</v>
      </c>
      <c r="I637" t="s">
        <v>72</v>
      </c>
    </row>
    <row r="638" spans="1:9" x14ac:dyDescent="0.25">
      <c r="A638" t="s">
        <v>71</v>
      </c>
      <c r="B638" t="s">
        <v>100</v>
      </c>
      <c r="C638" t="s">
        <v>788</v>
      </c>
      <c r="D638" s="1">
        <v>45289</v>
      </c>
      <c r="E638" t="s">
        <v>764</v>
      </c>
      <c r="F638">
        <v>-94.67</v>
      </c>
      <c r="G638" t="s">
        <v>70</v>
      </c>
      <c r="H638" t="s">
        <v>71</v>
      </c>
      <c r="I638" t="s">
        <v>72</v>
      </c>
    </row>
    <row r="639" spans="1:9" x14ac:dyDescent="0.25">
      <c r="A639" t="s">
        <v>71</v>
      </c>
      <c r="B639" t="s">
        <v>100</v>
      </c>
      <c r="C639" t="s">
        <v>788</v>
      </c>
      <c r="D639" s="1">
        <v>45294</v>
      </c>
      <c r="E639" t="s">
        <v>764</v>
      </c>
      <c r="F639">
        <v>-30.93</v>
      </c>
      <c r="G639" t="s">
        <v>70</v>
      </c>
      <c r="H639" t="s">
        <v>71</v>
      </c>
      <c r="I639" t="s">
        <v>72</v>
      </c>
    </row>
    <row r="640" spans="1:9" x14ac:dyDescent="0.25">
      <c r="A640" t="s">
        <v>71</v>
      </c>
      <c r="B640" t="s">
        <v>100</v>
      </c>
      <c r="C640" t="s">
        <v>788</v>
      </c>
      <c r="D640" s="1">
        <v>45309</v>
      </c>
      <c r="E640" t="s">
        <v>763</v>
      </c>
      <c r="F640">
        <v>386.73</v>
      </c>
      <c r="G640" t="s">
        <v>70</v>
      </c>
      <c r="H640" t="s">
        <v>71</v>
      </c>
      <c r="I640" t="s">
        <v>72</v>
      </c>
    </row>
    <row r="641" spans="1:9" x14ac:dyDescent="0.25">
      <c r="A641" t="s">
        <v>71</v>
      </c>
      <c r="B641" t="s">
        <v>100</v>
      </c>
      <c r="C641" t="s">
        <v>788</v>
      </c>
      <c r="D641" s="1">
        <v>45311</v>
      </c>
      <c r="E641" t="s">
        <v>763</v>
      </c>
      <c r="F641">
        <v>125.63</v>
      </c>
      <c r="G641" t="s">
        <v>70</v>
      </c>
      <c r="H641" t="s">
        <v>71</v>
      </c>
      <c r="I641" t="s">
        <v>72</v>
      </c>
    </row>
    <row r="642" spans="1:9" x14ac:dyDescent="0.25">
      <c r="A642" t="s">
        <v>71</v>
      </c>
      <c r="B642" t="s">
        <v>100</v>
      </c>
      <c r="C642" t="s">
        <v>788</v>
      </c>
      <c r="D642" s="1">
        <v>45313</v>
      </c>
      <c r="E642" t="s">
        <v>764</v>
      </c>
      <c r="F642">
        <v>-188.25</v>
      </c>
      <c r="G642" t="s">
        <v>70</v>
      </c>
      <c r="H642" t="s">
        <v>71</v>
      </c>
      <c r="I642" t="s">
        <v>72</v>
      </c>
    </row>
    <row r="643" spans="1:9" x14ac:dyDescent="0.25">
      <c r="A643" t="s">
        <v>71</v>
      </c>
      <c r="B643" t="s">
        <v>100</v>
      </c>
      <c r="C643" t="s">
        <v>788</v>
      </c>
      <c r="D643" s="1">
        <v>45314</v>
      </c>
      <c r="E643" t="s">
        <v>764</v>
      </c>
      <c r="F643">
        <v>-51.18</v>
      </c>
      <c r="G643" t="s">
        <v>70</v>
      </c>
      <c r="H643" t="s">
        <v>71</v>
      </c>
      <c r="I643" t="s">
        <v>72</v>
      </c>
    </row>
    <row r="644" spans="1:9" x14ac:dyDescent="0.25">
      <c r="A644" t="s">
        <v>71</v>
      </c>
      <c r="B644" t="s">
        <v>100</v>
      </c>
      <c r="C644" t="s">
        <v>788</v>
      </c>
      <c r="D644" s="1">
        <v>45315</v>
      </c>
      <c r="E644" t="s">
        <v>763</v>
      </c>
      <c r="F644">
        <v>55.88</v>
      </c>
      <c r="G644" t="s">
        <v>70</v>
      </c>
      <c r="H644" t="s">
        <v>71</v>
      </c>
      <c r="I644" t="s">
        <v>72</v>
      </c>
    </row>
    <row r="645" spans="1:9" x14ac:dyDescent="0.25">
      <c r="A645" t="s">
        <v>71</v>
      </c>
      <c r="B645" t="s">
        <v>100</v>
      </c>
      <c r="C645" t="s">
        <v>788</v>
      </c>
      <c r="D645" s="1">
        <v>45317</v>
      </c>
      <c r="E645" t="s">
        <v>41</v>
      </c>
      <c r="F645">
        <v>-0.93</v>
      </c>
      <c r="G645" t="s">
        <v>70</v>
      </c>
      <c r="H645" t="s">
        <v>71</v>
      </c>
      <c r="I645" t="s">
        <v>72</v>
      </c>
    </row>
    <row r="646" spans="1:9" x14ac:dyDescent="0.25">
      <c r="A646" t="s">
        <v>71</v>
      </c>
      <c r="B646" t="s">
        <v>100</v>
      </c>
      <c r="C646" t="s">
        <v>788</v>
      </c>
      <c r="D646" s="1">
        <v>45317</v>
      </c>
      <c r="E646" t="s">
        <v>41</v>
      </c>
      <c r="F646">
        <v>-8.15</v>
      </c>
      <c r="G646" t="s">
        <v>70</v>
      </c>
      <c r="H646" t="s">
        <v>71</v>
      </c>
      <c r="I646" t="s">
        <v>72</v>
      </c>
    </row>
    <row r="647" spans="1:9" x14ac:dyDescent="0.25">
      <c r="A647" t="s">
        <v>71</v>
      </c>
      <c r="B647" t="s">
        <v>100</v>
      </c>
      <c r="C647" t="s">
        <v>788</v>
      </c>
      <c r="D647" s="1">
        <v>45317</v>
      </c>
      <c r="E647" t="s">
        <v>764</v>
      </c>
      <c r="F647">
        <v>-147.6</v>
      </c>
      <c r="G647" t="s">
        <v>70</v>
      </c>
      <c r="H647" t="s">
        <v>71</v>
      </c>
      <c r="I647" t="s">
        <v>72</v>
      </c>
    </row>
    <row r="648" spans="1:9" x14ac:dyDescent="0.25">
      <c r="A648" t="s">
        <v>71</v>
      </c>
      <c r="B648" t="s">
        <v>100</v>
      </c>
      <c r="C648" t="s">
        <v>788</v>
      </c>
      <c r="D648" s="1">
        <v>45322</v>
      </c>
      <c r="E648" t="s">
        <v>763</v>
      </c>
      <c r="F648">
        <v>147.15</v>
      </c>
      <c r="G648" t="s">
        <v>70</v>
      </c>
      <c r="H648" t="s">
        <v>71</v>
      </c>
      <c r="I648" t="s">
        <v>72</v>
      </c>
    </row>
    <row r="649" spans="1:9" x14ac:dyDescent="0.25">
      <c r="A649" t="s">
        <v>71</v>
      </c>
      <c r="B649" t="s">
        <v>100</v>
      </c>
      <c r="C649" t="s">
        <v>788</v>
      </c>
      <c r="D649" s="1">
        <v>45322</v>
      </c>
      <c r="E649" t="s">
        <v>763</v>
      </c>
      <c r="F649">
        <v>77.73</v>
      </c>
      <c r="G649" t="s">
        <v>70</v>
      </c>
      <c r="H649" t="s">
        <v>71</v>
      </c>
      <c r="I649" t="s">
        <v>72</v>
      </c>
    </row>
    <row r="650" spans="1:9" x14ac:dyDescent="0.25">
      <c r="A650" t="s">
        <v>71</v>
      </c>
      <c r="B650" t="s">
        <v>100</v>
      </c>
      <c r="C650" t="s">
        <v>788</v>
      </c>
      <c r="D650" s="1">
        <v>45325</v>
      </c>
      <c r="E650" t="s">
        <v>764</v>
      </c>
      <c r="F650">
        <v>-15.1</v>
      </c>
      <c r="G650" t="s">
        <v>70</v>
      </c>
      <c r="H650" t="s">
        <v>71</v>
      </c>
      <c r="I650" t="s">
        <v>72</v>
      </c>
    </row>
    <row r="651" spans="1:9" x14ac:dyDescent="0.25">
      <c r="A651" t="s">
        <v>71</v>
      </c>
      <c r="B651" t="s">
        <v>100</v>
      </c>
      <c r="C651" t="s">
        <v>788</v>
      </c>
      <c r="D651" s="1">
        <v>45326</v>
      </c>
      <c r="E651" t="s">
        <v>764</v>
      </c>
      <c r="F651">
        <v>-79.87</v>
      </c>
      <c r="G651" t="s">
        <v>70</v>
      </c>
      <c r="H651" t="s">
        <v>71</v>
      </c>
      <c r="I651" t="s">
        <v>72</v>
      </c>
    </row>
    <row r="652" spans="1:9" x14ac:dyDescent="0.25">
      <c r="A652" t="s">
        <v>71</v>
      </c>
      <c r="B652" t="s">
        <v>100</v>
      </c>
      <c r="C652" t="s">
        <v>788</v>
      </c>
      <c r="D652" s="1">
        <v>45329</v>
      </c>
      <c r="E652" t="s">
        <v>764</v>
      </c>
      <c r="F652">
        <v>-146.32</v>
      </c>
      <c r="G652" t="s">
        <v>70</v>
      </c>
      <c r="H652" t="s">
        <v>71</v>
      </c>
      <c r="I652" t="s">
        <v>72</v>
      </c>
    </row>
    <row r="653" spans="1:9" x14ac:dyDescent="0.25">
      <c r="A653" t="s">
        <v>71</v>
      </c>
      <c r="B653" t="s">
        <v>100</v>
      </c>
      <c r="C653" t="s">
        <v>788</v>
      </c>
      <c r="D653" s="1">
        <v>45336</v>
      </c>
      <c r="E653" t="s">
        <v>763</v>
      </c>
      <c r="F653">
        <v>17.239999999999998</v>
      </c>
      <c r="G653" t="s">
        <v>70</v>
      </c>
      <c r="H653" t="s">
        <v>71</v>
      </c>
      <c r="I653" t="s">
        <v>72</v>
      </c>
    </row>
    <row r="654" spans="1:9" x14ac:dyDescent="0.25">
      <c r="A654" t="s">
        <v>71</v>
      </c>
      <c r="B654" t="s">
        <v>100</v>
      </c>
      <c r="C654" t="s">
        <v>788</v>
      </c>
      <c r="D654" s="1">
        <v>45342</v>
      </c>
      <c r="E654" t="s">
        <v>764</v>
      </c>
      <c r="F654">
        <v>-26.39</v>
      </c>
      <c r="G654" t="s">
        <v>70</v>
      </c>
      <c r="H654" t="s">
        <v>71</v>
      </c>
      <c r="I654" t="s">
        <v>72</v>
      </c>
    </row>
    <row r="655" spans="1:9" x14ac:dyDescent="0.25">
      <c r="A655" t="s">
        <v>71</v>
      </c>
      <c r="B655" t="s">
        <v>230</v>
      </c>
      <c r="C655" t="s">
        <v>229</v>
      </c>
      <c r="D655" s="1">
        <v>45016</v>
      </c>
      <c r="E655" t="s">
        <v>101</v>
      </c>
      <c r="F655">
        <v>-10.68</v>
      </c>
      <c r="G655" t="str">
        <f>VLOOKUP(E655,[1]ChatGPT!$1:$1048576,2,FALSE)</f>
        <v>Groceries</v>
      </c>
      <c r="H655" t="str">
        <f>VLOOKUP(E655,[1]ChatGPT!$1:$1048576,3,FALSE)</f>
        <v>Grocery</v>
      </c>
      <c r="I655" t="str">
        <f>VLOOKUP(E655,[1]ChatGPT!$1:$1048576,4,FALSE)</f>
        <v>Grocery</v>
      </c>
    </row>
    <row r="656" spans="1:9" x14ac:dyDescent="0.25">
      <c r="A656" t="s">
        <v>71</v>
      </c>
      <c r="B656" t="s">
        <v>230</v>
      </c>
      <c r="C656" t="s">
        <v>229</v>
      </c>
      <c r="D656" s="1">
        <v>45016</v>
      </c>
      <c r="E656" t="s">
        <v>102</v>
      </c>
      <c r="F656">
        <v>-102.57</v>
      </c>
      <c r="G656" t="str">
        <f>VLOOKUP(E656,[1]ChatGPT!$1:$1048576,2,FALSE)</f>
        <v>Transport</v>
      </c>
      <c r="H656" t="str">
        <f>VLOOKUP(E656,[1]ChatGPT!$1:$1048576,3,FALSE)</f>
        <v xml:space="preserve">Petrol </v>
      </c>
      <c r="I656" t="str">
        <f>VLOOKUP(E656,[1]ChatGPT!$1:$1048576,4,FALSE)</f>
        <v>Transport - Fuel</v>
      </c>
    </row>
    <row r="657" spans="1:9" x14ac:dyDescent="0.25">
      <c r="A657" t="s">
        <v>71</v>
      </c>
      <c r="B657" t="s">
        <v>230</v>
      </c>
      <c r="C657" t="s">
        <v>229</v>
      </c>
      <c r="D657" s="1">
        <v>45015</v>
      </c>
      <c r="E657" t="s">
        <v>103</v>
      </c>
      <c r="F657">
        <v>-0.34</v>
      </c>
      <c r="G657" t="s">
        <v>92</v>
      </c>
      <c r="H657" t="s">
        <v>104</v>
      </c>
      <c r="I657" t="s">
        <v>104</v>
      </c>
    </row>
    <row r="658" spans="1:9" x14ac:dyDescent="0.25">
      <c r="A658" t="s">
        <v>71</v>
      </c>
      <c r="B658" t="s">
        <v>230</v>
      </c>
      <c r="C658" t="s">
        <v>229</v>
      </c>
      <c r="D658" s="1">
        <v>45015</v>
      </c>
      <c r="E658" t="s">
        <v>86</v>
      </c>
      <c r="F658">
        <v>-0.23</v>
      </c>
      <c r="G658" t="str">
        <f>VLOOKUP(E658,[1]ChatGPT!$1:$1048576,2,FALSE)</f>
        <v>Other</v>
      </c>
      <c r="H658" t="str">
        <f>VLOOKUP(E658,[1]ChatGPT!$1:$1048576,3,FALSE)</f>
        <v xml:space="preserve">Other Expenses </v>
      </c>
      <c r="I658" t="str">
        <f>VLOOKUP(E658,[1]ChatGPT!$1:$1048576,4,FALSE)</f>
        <v>OFFSHORE SERVICE MARGINS</v>
      </c>
    </row>
    <row r="659" spans="1:9" x14ac:dyDescent="0.25">
      <c r="A659" t="s">
        <v>71</v>
      </c>
      <c r="B659" t="s">
        <v>230</v>
      </c>
      <c r="C659" t="s">
        <v>229</v>
      </c>
      <c r="D659" s="1">
        <v>45016</v>
      </c>
      <c r="E659" t="s">
        <v>105</v>
      </c>
      <c r="F659">
        <v>-6.56</v>
      </c>
      <c r="G659" t="str">
        <f>VLOOKUP(E659,[1]ChatGPT!$1:$1048576,2,FALSE)</f>
        <v>Recreational &amp; Entertainment</v>
      </c>
      <c r="H659" t="str">
        <f>VLOOKUP(E659,[1]ChatGPT!$1:$1048576,3,FALSE)</f>
        <v xml:space="preserve">Dining Out </v>
      </c>
      <c r="I659" t="str">
        <f>VLOOKUP(E659,[1]ChatGPT!$1:$1048576,4,FALSE)</f>
        <v>Dinning</v>
      </c>
    </row>
    <row r="660" spans="1:9" x14ac:dyDescent="0.25">
      <c r="A660" t="s">
        <v>71</v>
      </c>
      <c r="B660" t="s">
        <v>230</v>
      </c>
      <c r="C660" t="s">
        <v>229</v>
      </c>
      <c r="D660" s="1">
        <v>45016</v>
      </c>
      <c r="E660" t="s">
        <v>106</v>
      </c>
      <c r="F660">
        <v>-11.48</v>
      </c>
      <c r="G660" t="str">
        <f>VLOOKUP(E660,[1]ChatGPT!$1:$1048576,2,FALSE)</f>
        <v>Telephone &amp; Internet</v>
      </c>
      <c r="H660" t="str">
        <f>VLOOKUP(E660,[1]ChatGPT!$1:$1048576,3,FALSE)</f>
        <v xml:space="preserve">Mobile phone </v>
      </c>
      <c r="I660" t="str">
        <f>VLOOKUP(E660,[1]ChatGPT!$1:$1048576,4,FALSE)</f>
        <v>Mobile</v>
      </c>
    </row>
    <row r="661" spans="1:9" x14ac:dyDescent="0.25">
      <c r="A661" t="s">
        <v>71</v>
      </c>
      <c r="B661" t="s">
        <v>230</v>
      </c>
      <c r="C661" t="s">
        <v>229</v>
      </c>
      <c r="D661" s="1">
        <v>45017</v>
      </c>
      <c r="E661" t="s">
        <v>106</v>
      </c>
      <c r="F661">
        <v>-17.54</v>
      </c>
      <c r="G661" t="str">
        <f>VLOOKUP(E661,[1]ChatGPT!$1:$1048576,2,FALSE)</f>
        <v>Telephone &amp; Internet</v>
      </c>
      <c r="H661" t="str">
        <f>VLOOKUP(E661,[1]ChatGPT!$1:$1048576,3,FALSE)</f>
        <v xml:space="preserve">Mobile phone </v>
      </c>
      <c r="I661" t="str">
        <f>VLOOKUP(E661,[1]ChatGPT!$1:$1048576,4,FALSE)</f>
        <v>Mobile</v>
      </c>
    </row>
    <row r="662" spans="1:9" x14ac:dyDescent="0.25">
      <c r="A662" t="s">
        <v>71</v>
      </c>
      <c r="B662" t="s">
        <v>230</v>
      </c>
      <c r="C662" t="s">
        <v>229</v>
      </c>
      <c r="D662" s="1">
        <v>45019</v>
      </c>
      <c r="E662" t="s">
        <v>107</v>
      </c>
      <c r="F662">
        <v>-10.4</v>
      </c>
      <c r="G662" t="str">
        <f>VLOOKUP(E662,[1]ChatGPT!$1:$1048576,2,FALSE)</f>
        <v>Recreational &amp; Entertainment</v>
      </c>
      <c r="H662" t="str">
        <f>VLOOKUP(E662,[1]ChatGPT!$1:$1048576,3,FALSE)</f>
        <v xml:space="preserve">Dining Out </v>
      </c>
      <c r="I662" t="str">
        <f>VLOOKUP(E662,[1]ChatGPT!$1:$1048576,4,FALSE)</f>
        <v>Dinning</v>
      </c>
    </row>
    <row r="663" spans="1:9" x14ac:dyDescent="0.25">
      <c r="A663" t="s">
        <v>71</v>
      </c>
      <c r="B663" t="s">
        <v>230</v>
      </c>
      <c r="C663" t="s">
        <v>229</v>
      </c>
      <c r="D663" s="1">
        <v>45021</v>
      </c>
      <c r="E663" t="s">
        <v>108</v>
      </c>
      <c r="F663">
        <v>202.98</v>
      </c>
      <c r="G663" t="str">
        <f>VLOOKUP(E663,[1]ChatGPT!$1:$1048576,2,FALSE)</f>
        <v>Internal Transactions</v>
      </c>
      <c r="H663" t="str">
        <f>VLOOKUP(E663,[1]ChatGPT!$1:$1048576,3,FALSE)</f>
        <v>ASB</v>
      </c>
      <c r="I663" t="str">
        <f>VLOOKUP(E663,[1]ChatGPT!$1:$1048576,4,FALSE)</f>
        <v>PAYMENT RECEIVED THANK YOU</v>
      </c>
    </row>
    <row r="664" spans="1:9" x14ac:dyDescent="0.25">
      <c r="A664" t="s">
        <v>71</v>
      </c>
      <c r="B664" t="s">
        <v>230</v>
      </c>
      <c r="C664" t="s">
        <v>229</v>
      </c>
      <c r="D664" s="1">
        <v>45022</v>
      </c>
      <c r="E664" t="s">
        <v>108</v>
      </c>
      <c r="F664">
        <v>47.74</v>
      </c>
      <c r="G664" t="str">
        <f>VLOOKUP(E664,[1]ChatGPT!$1:$1048576,2,FALSE)</f>
        <v>Internal Transactions</v>
      </c>
      <c r="H664" t="str">
        <f>VLOOKUP(E664,[1]ChatGPT!$1:$1048576,3,FALSE)</f>
        <v>ASB</v>
      </c>
      <c r="I664" t="str">
        <f>VLOOKUP(E664,[1]ChatGPT!$1:$1048576,4,FALSE)</f>
        <v>PAYMENT RECEIVED THANK YOU</v>
      </c>
    </row>
    <row r="665" spans="1:9" x14ac:dyDescent="0.25">
      <c r="A665" t="s">
        <v>71</v>
      </c>
      <c r="B665" t="s">
        <v>230</v>
      </c>
      <c r="C665" t="s">
        <v>229</v>
      </c>
      <c r="D665" s="1">
        <v>45023</v>
      </c>
      <c r="E665" t="s">
        <v>109</v>
      </c>
      <c r="F665">
        <v>-63.33</v>
      </c>
      <c r="G665" t="str">
        <f>VLOOKUP(E665,[1]ChatGPT!$1:$1048576,2,FALSE)</f>
        <v>Recreational &amp; Entertainment</v>
      </c>
      <c r="H665" t="str">
        <f>VLOOKUP(E665,[1]ChatGPT!$1:$1048576,3,FALSE)</f>
        <v xml:space="preserve">Gym </v>
      </c>
      <c r="I665" t="str">
        <f>VLOOKUP(E665,[1]ChatGPT!$1:$1048576,4,FALSE)</f>
        <v>GYM</v>
      </c>
    </row>
    <row r="666" spans="1:9" x14ac:dyDescent="0.25">
      <c r="A666" t="s">
        <v>71</v>
      </c>
      <c r="B666" t="s">
        <v>230</v>
      </c>
      <c r="C666" t="s">
        <v>229</v>
      </c>
      <c r="D666" s="1">
        <v>45023</v>
      </c>
      <c r="E666" t="s">
        <v>110</v>
      </c>
      <c r="F666">
        <v>-4.32</v>
      </c>
      <c r="G666" t="str">
        <f>VLOOKUP(E666,[1]ChatGPT!$1:$1048576,2,FALSE)</f>
        <v>Recreational &amp; Entertainment</v>
      </c>
      <c r="H666" t="str">
        <f>VLOOKUP(E666,[1]ChatGPT!$1:$1048576,3,FALSE)</f>
        <v xml:space="preserve">Dining Out </v>
      </c>
      <c r="I666" t="str">
        <f>VLOOKUP(E666,[1]ChatGPT!$1:$1048576,4,FALSE)</f>
        <v>Dinning</v>
      </c>
    </row>
    <row r="667" spans="1:9" x14ac:dyDescent="0.25">
      <c r="A667" t="s">
        <v>71</v>
      </c>
      <c r="B667" t="s">
        <v>230</v>
      </c>
      <c r="C667" t="s">
        <v>229</v>
      </c>
      <c r="D667" s="1">
        <v>45021</v>
      </c>
      <c r="E667" t="s">
        <v>111</v>
      </c>
      <c r="F667">
        <v>-0.9</v>
      </c>
      <c r="G667" t="str">
        <f>VLOOKUP(E667,[1]ChatGPT!$1:$1048576,2,FALSE)</f>
        <v>Recreational &amp; Entertainment</v>
      </c>
      <c r="H667" t="str">
        <f>VLOOKUP(E667,[1]ChatGPT!$1:$1048576,3,FALSE)</f>
        <v xml:space="preserve">Gym </v>
      </c>
      <c r="I667" t="str">
        <f>VLOOKUP(E667,[1]ChatGPT!$1:$1048576,4,FALSE)</f>
        <v>GYM</v>
      </c>
    </row>
    <row r="668" spans="1:9" x14ac:dyDescent="0.25">
      <c r="A668" t="s">
        <v>71</v>
      </c>
      <c r="B668" t="s">
        <v>230</v>
      </c>
      <c r="C668" t="s">
        <v>229</v>
      </c>
      <c r="D668" s="1">
        <v>45022</v>
      </c>
      <c r="E668" t="s">
        <v>112</v>
      </c>
      <c r="F668">
        <v>-7.08</v>
      </c>
      <c r="G668" t="str">
        <f>VLOOKUP(E668,[1]ChatGPT!$1:$1048576,2,FALSE)</f>
        <v>Insurance</v>
      </c>
      <c r="H668" t="str">
        <f>VLOOKUP(E668,[1]ChatGPT!$1:$1048576,3,FALSE)</f>
        <v>Vehicle Insurance</v>
      </c>
      <c r="I668" t="str">
        <f>VLOOKUP(E668,[1]ChatGPT!$1:$1048576,4,FALSE)</f>
        <v>Vehicle Insurance</v>
      </c>
    </row>
    <row r="669" spans="1:9" x14ac:dyDescent="0.25">
      <c r="A669" t="s">
        <v>71</v>
      </c>
      <c r="B669" t="s">
        <v>230</v>
      </c>
      <c r="C669" t="s">
        <v>229</v>
      </c>
      <c r="D669" s="1">
        <v>45021</v>
      </c>
      <c r="E669" t="s">
        <v>113</v>
      </c>
      <c r="F669">
        <v>-24.94</v>
      </c>
      <c r="G669" t="str">
        <f>VLOOKUP(E669,[1]ChatGPT!$1:$1048576,2,FALSE)</f>
        <v>Telephone &amp; Internet</v>
      </c>
      <c r="H669" t="str">
        <f>VLOOKUP(E669,[1]ChatGPT!$1:$1048576,3,FALSE)</f>
        <v>AppleStorage</v>
      </c>
      <c r="I669" t="str">
        <f>VLOOKUP(E669,[1]ChatGPT!$1:$1048576,4,FALSE)</f>
        <v>AppleStorage</v>
      </c>
    </row>
    <row r="670" spans="1:9" x14ac:dyDescent="0.25">
      <c r="A670" t="s">
        <v>71</v>
      </c>
      <c r="B670" t="s">
        <v>230</v>
      </c>
      <c r="C670" t="s">
        <v>229</v>
      </c>
      <c r="D670" s="1">
        <v>45024</v>
      </c>
      <c r="E670" t="s">
        <v>108</v>
      </c>
      <c r="F670">
        <v>89.06</v>
      </c>
      <c r="G670" t="str">
        <f>VLOOKUP(E670,[1]ChatGPT!$1:$1048576,2,FALSE)</f>
        <v>Internal Transactions</v>
      </c>
      <c r="H670" t="str">
        <f>VLOOKUP(E670,[1]ChatGPT!$1:$1048576,3,FALSE)</f>
        <v>ASB</v>
      </c>
      <c r="I670" t="str">
        <f>VLOOKUP(E670,[1]ChatGPT!$1:$1048576,4,FALSE)</f>
        <v>PAYMENT RECEIVED THANK YOU</v>
      </c>
    </row>
    <row r="671" spans="1:9" x14ac:dyDescent="0.25">
      <c r="A671" t="s">
        <v>71</v>
      </c>
      <c r="B671" t="s">
        <v>230</v>
      </c>
      <c r="C671" t="s">
        <v>229</v>
      </c>
      <c r="D671" s="1">
        <v>45025</v>
      </c>
      <c r="E671" t="s">
        <v>114</v>
      </c>
      <c r="F671">
        <v>-24.43</v>
      </c>
      <c r="G671" t="str">
        <f>VLOOKUP(E671,[1]ChatGPT!$1:$1048576,2,FALSE)</f>
        <v xml:space="preserve">8 Denning Place </v>
      </c>
      <c r="H671" t="s">
        <v>96</v>
      </c>
      <c r="I671" t="str">
        <f>VLOOKUP(E671,[1]ChatGPT!$1:$1048576,4,FALSE)</f>
        <v>Home Expense</v>
      </c>
    </row>
    <row r="672" spans="1:9" x14ac:dyDescent="0.25">
      <c r="A672" t="s">
        <v>71</v>
      </c>
      <c r="B672" t="s">
        <v>230</v>
      </c>
      <c r="C672" t="s">
        <v>229</v>
      </c>
      <c r="D672" s="1">
        <v>45026</v>
      </c>
      <c r="E672" t="s">
        <v>108</v>
      </c>
      <c r="F672">
        <v>1.89</v>
      </c>
      <c r="G672" t="str">
        <f>VLOOKUP(E672,[1]ChatGPT!$1:$1048576,2,FALSE)</f>
        <v>Internal Transactions</v>
      </c>
      <c r="H672" t="str">
        <f>VLOOKUP(E672,[1]ChatGPT!$1:$1048576,3,FALSE)</f>
        <v>ASB</v>
      </c>
      <c r="I672" t="str">
        <f>VLOOKUP(E672,[1]ChatGPT!$1:$1048576,4,FALSE)</f>
        <v>PAYMENT RECEIVED THANK YOU</v>
      </c>
    </row>
    <row r="673" spans="1:9" x14ac:dyDescent="0.25">
      <c r="A673" t="s">
        <v>71</v>
      </c>
      <c r="B673" t="s">
        <v>230</v>
      </c>
      <c r="C673" t="s">
        <v>229</v>
      </c>
      <c r="D673" s="1">
        <v>45026</v>
      </c>
      <c r="E673" t="s">
        <v>108</v>
      </c>
      <c r="F673">
        <v>23.63</v>
      </c>
      <c r="G673" t="str">
        <f>VLOOKUP(E673,[1]ChatGPT!$1:$1048576,2,FALSE)</f>
        <v>Internal Transactions</v>
      </c>
      <c r="H673" t="str">
        <f>VLOOKUP(E673,[1]ChatGPT!$1:$1048576,3,FALSE)</f>
        <v>ASB</v>
      </c>
      <c r="I673" t="str">
        <f>VLOOKUP(E673,[1]ChatGPT!$1:$1048576,4,FALSE)</f>
        <v>PAYMENT RECEIVED THANK YOU</v>
      </c>
    </row>
    <row r="674" spans="1:9" x14ac:dyDescent="0.25">
      <c r="A674" t="s">
        <v>71</v>
      </c>
      <c r="B674" t="s">
        <v>230</v>
      </c>
      <c r="C674" t="s">
        <v>229</v>
      </c>
      <c r="D674" s="1">
        <v>45027</v>
      </c>
      <c r="E674" t="s">
        <v>108</v>
      </c>
      <c r="F674">
        <v>9.33</v>
      </c>
      <c r="G674" t="str">
        <f>VLOOKUP(E674,[1]ChatGPT!$1:$1048576,2,FALSE)</f>
        <v>Internal Transactions</v>
      </c>
      <c r="H674" t="str">
        <f>VLOOKUP(E674,[1]ChatGPT!$1:$1048576,3,FALSE)</f>
        <v>ASB</v>
      </c>
      <c r="I674" t="str">
        <f>VLOOKUP(E674,[1]ChatGPT!$1:$1048576,4,FALSE)</f>
        <v>PAYMENT RECEIVED THANK YOU</v>
      </c>
    </row>
    <row r="675" spans="1:9" x14ac:dyDescent="0.25">
      <c r="A675" t="s">
        <v>71</v>
      </c>
      <c r="B675" t="s">
        <v>230</v>
      </c>
      <c r="C675" t="s">
        <v>229</v>
      </c>
      <c r="D675" s="1">
        <v>45026</v>
      </c>
      <c r="E675" t="s">
        <v>115</v>
      </c>
      <c r="F675">
        <v>-14.76</v>
      </c>
      <c r="G675" t="str">
        <f>VLOOKUP(E675,[1]ChatGPT!$1:$1048576,2,FALSE)</f>
        <v xml:space="preserve">8 Denning Place </v>
      </c>
      <c r="H675" t="str">
        <f>VLOOKUP(E675,[1]ChatGPT!$1:$1048576,3,FALSE)</f>
        <v xml:space="preserve">MyRentCharge </v>
      </c>
      <c r="I675" t="str">
        <f>VLOOKUP(E675,[1]ChatGPT!$1:$1048576,4,FALSE)</f>
        <v>MyRentCharge</v>
      </c>
    </row>
    <row r="676" spans="1:9" x14ac:dyDescent="0.25">
      <c r="A676" t="s">
        <v>71</v>
      </c>
      <c r="B676" t="s">
        <v>230</v>
      </c>
      <c r="C676" t="s">
        <v>229</v>
      </c>
      <c r="D676" s="1">
        <v>45028</v>
      </c>
      <c r="E676" t="s">
        <v>108</v>
      </c>
      <c r="F676">
        <v>25.02</v>
      </c>
      <c r="G676" t="str">
        <f>VLOOKUP(E676,[1]ChatGPT!$1:$1048576,2,FALSE)</f>
        <v>Internal Transactions</v>
      </c>
      <c r="H676" t="str">
        <f>VLOOKUP(E676,[1]ChatGPT!$1:$1048576,3,FALSE)</f>
        <v>ASB</v>
      </c>
      <c r="I676" t="str">
        <f>VLOOKUP(E676,[1]ChatGPT!$1:$1048576,4,FALSE)</f>
        <v>PAYMENT RECEIVED THANK YOU</v>
      </c>
    </row>
    <row r="677" spans="1:9" x14ac:dyDescent="0.25">
      <c r="A677" t="s">
        <v>71</v>
      </c>
      <c r="B677" t="s">
        <v>230</v>
      </c>
      <c r="C677" t="s">
        <v>229</v>
      </c>
      <c r="D677" s="1">
        <v>45027</v>
      </c>
      <c r="E677" t="s">
        <v>116</v>
      </c>
      <c r="F677">
        <v>-6.22</v>
      </c>
      <c r="G677" t="str">
        <f>VLOOKUP(E677,[1]ChatGPT!$1:$1048576,2,FALSE)</f>
        <v>Transport</v>
      </c>
      <c r="H677" t="str">
        <f>VLOOKUP(E677,[1]ChatGPT!$1:$1048576,3,FALSE)</f>
        <v xml:space="preserve">Petrol </v>
      </c>
      <c r="I677" t="str">
        <f>VLOOKUP(E677,[1]ChatGPT!$1:$1048576,4,FALSE)</f>
        <v>Transport - Parking</v>
      </c>
    </row>
    <row r="678" spans="1:9" x14ac:dyDescent="0.25">
      <c r="A678" t="s">
        <v>71</v>
      </c>
      <c r="B678" t="s">
        <v>230</v>
      </c>
      <c r="C678" t="s">
        <v>229</v>
      </c>
      <c r="D678" s="1">
        <v>45028</v>
      </c>
      <c r="E678" t="s">
        <v>107</v>
      </c>
      <c r="F678">
        <v>-16.079999999999998</v>
      </c>
      <c r="G678" t="str">
        <f>VLOOKUP(E678,[1]ChatGPT!$1:$1048576,2,FALSE)</f>
        <v>Recreational &amp; Entertainment</v>
      </c>
      <c r="H678" t="str">
        <f>VLOOKUP(E678,[1]ChatGPT!$1:$1048576,3,FALSE)</f>
        <v xml:space="preserve">Dining Out </v>
      </c>
      <c r="I678" t="str">
        <f>VLOOKUP(E678,[1]ChatGPT!$1:$1048576,4,FALSE)</f>
        <v>Dinning</v>
      </c>
    </row>
    <row r="679" spans="1:9" x14ac:dyDescent="0.25">
      <c r="A679" t="s">
        <v>71</v>
      </c>
      <c r="B679" t="s">
        <v>230</v>
      </c>
      <c r="C679" t="s">
        <v>229</v>
      </c>
      <c r="D679" s="1">
        <v>45028</v>
      </c>
      <c r="E679" t="s">
        <v>117</v>
      </c>
      <c r="F679">
        <v>-2.1</v>
      </c>
      <c r="G679" t="str">
        <f>VLOOKUP(E679,[1]ChatGPT!$1:$1048576,2,FALSE)</f>
        <v>Recreational &amp; Entertainment</v>
      </c>
      <c r="H679" t="str">
        <f>VLOOKUP(E679,[1]ChatGPT!$1:$1048576,3,FALSE)</f>
        <v xml:space="preserve">Dining Out </v>
      </c>
      <c r="I679" t="str">
        <f>VLOOKUP(E679,[1]ChatGPT!$1:$1048576,4,FALSE)</f>
        <v>Dinning</v>
      </c>
    </row>
    <row r="680" spans="1:9" x14ac:dyDescent="0.25">
      <c r="A680" t="s">
        <v>71</v>
      </c>
      <c r="B680" t="s">
        <v>230</v>
      </c>
      <c r="C680" t="s">
        <v>229</v>
      </c>
      <c r="D680" s="1">
        <v>45029</v>
      </c>
      <c r="E680" t="s">
        <v>111</v>
      </c>
      <c r="F680">
        <v>-4.1100000000000003</v>
      </c>
      <c r="G680" t="str">
        <f>VLOOKUP(E680,[1]ChatGPT!$1:$1048576,2,FALSE)</f>
        <v>Recreational &amp; Entertainment</v>
      </c>
      <c r="H680" t="str">
        <f>VLOOKUP(E680,[1]ChatGPT!$1:$1048576,3,FALSE)</f>
        <v xml:space="preserve">Gym </v>
      </c>
      <c r="I680" t="str">
        <f>VLOOKUP(E680,[1]ChatGPT!$1:$1048576,4,FALSE)</f>
        <v>GYM</v>
      </c>
    </row>
    <row r="681" spans="1:9" x14ac:dyDescent="0.25">
      <c r="A681" t="s">
        <v>71</v>
      </c>
      <c r="B681" t="s">
        <v>230</v>
      </c>
      <c r="C681" t="s">
        <v>229</v>
      </c>
      <c r="D681" s="1">
        <v>45029</v>
      </c>
      <c r="E681" t="s">
        <v>108</v>
      </c>
      <c r="F681">
        <v>12.52</v>
      </c>
      <c r="G681" t="str">
        <f>VLOOKUP(E681,[1]ChatGPT!$1:$1048576,2,FALSE)</f>
        <v>Internal Transactions</v>
      </c>
      <c r="H681" t="str">
        <f>VLOOKUP(E681,[1]ChatGPT!$1:$1048576,3,FALSE)</f>
        <v>ASB</v>
      </c>
      <c r="I681" t="str">
        <f>VLOOKUP(E681,[1]ChatGPT!$1:$1048576,4,FALSE)</f>
        <v>PAYMENT RECEIVED THANK YOU</v>
      </c>
    </row>
    <row r="682" spans="1:9" x14ac:dyDescent="0.25">
      <c r="A682" t="s">
        <v>71</v>
      </c>
      <c r="B682" t="s">
        <v>230</v>
      </c>
      <c r="C682" t="s">
        <v>229</v>
      </c>
      <c r="D682" s="1">
        <v>45031</v>
      </c>
      <c r="E682" t="s">
        <v>108</v>
      </c>
      <c r="F682">
        <v>29.59</v>
      </c>
      <c r="G682" t="str">
        <f>VLOOKUP(E682,[1]ChatGPT!$1:$1048576,2,FALSE)</f>
        <v>Internal Transactions</v>
      </c>
      <c r="H682" t="str">
        <f>VLOOKUP(E682,[1]ChatGPT!$1:$1048576,3,FALSE)</f>
        <v>ASB</v>
      </c>
      <c r="I682" t="str">
        <f>VLOOKUP(E682,[1]ChatGPT!$1:$1048576,4,FALSE)</f>
        <v>PAYMENT RECEIVED THANK YOU</v>
      </c>
    </row>
    <row r="683" spans="1:9" x14ac:dyDescent="0.25">
      <c r="A683" t="s">
        <v>71</v>
      </c>
      <c r="B683" t="s">
        <v>230</v>
      </c>
      <c r="C683" t="s">
        <v>229</v>
      </c>
      <c r="D683" s="1">
        <v>45031</v>
      </c>
      <c r="E683" t="s">
        <v>108</v>
      </c>
      <c r="F683">
        <v>24.82</v>
      </c>
      <c r="G683" t="str">
        <f>VLOOKUP(E683,[1]ChatGPT!$1:$1048576,2,FALSE)</f>
        <v>Internal Transactions</v>
      </c>
      <c r="H683" t="str">
        <f>VLOOKUP(E683,[1]ChatGPT!$1:$1048576,3,FALSE)</f>
        <v>ASB</v>
      </c>
      <c r="I683" t="str">
        <f>VLOOKUP(E683,[1]ChatGPT!$1:$1048576,4,FALSE)</f>
        <v>PAYMENT RECEIVED THANK YOU</v>
      </c>
    </row>
    <row r="684" spans="1:9" x14ac:dyDescent="0.25">
      <c r="A684" t="s">
        <v>71</v>
      </c>
      <c r="B684" t="s">
        <v>230</v>
      </c>
      <c r="C684" t="s">
        <v>229</v>
      </c>
      <c r="D684" s="1">
        <v>45031</v>
      </c>
      <c r="E684" t="s">
        <v>108</v>
      </c>
      <c r="F684">
        <v>8.18</v>
      </c>
      <c r="G684" t="str">
        <f>VLOOKUP(E684,[1]ChatGPT!$1:$1048576,2,FALSE)</f>
        <v>Internal Transactions</v>
      </c>
      <c r="H684" t="str">
        <f>VLOOKUP(E684,[1]ChatGPT!$1:$1048576,3,FALSE)</f>
        <v>ASB</v>
      </c>
      <c r="I684" t="str">
        <f>VLOOKUP(E684,[1]ChatGPT!$1:$1048576,4,FALSE)</f>
        <v>PAYMENT RECEIVED THANK YOU</v>
      </c>
    </row>
    <row r="685" spans="1:9" x14ac:dyDescent="0.25">
      <c r="A685" t="s">
        <v>71</v>
      </c>
      <c r="B685" t="s">
        <v>230</v>
      </c>
      <c r="C685" t="s">
        <v>229</v>
      </c>
      <c r="D685" s="1">
        <v>45029</v>
      </c>
      <c r="E685" t="s">
        <v>118</v>
      </c>
      <c r="F685">
        <v>-10.36</v>
      </c>
      <c r="G685" t="str">
        <f>VLOOKUP(E685,[1]ChatGPT!$1:$1048576,2,FALSE)</f>
        <v>Personal Care</v>
      </c>
      <c r="H685" t="str">
        <f>VLOOKUP(E685,[1]ChatGPT!$1:$1048576,3,FALSE)</f>
        <v>Clothing &amp; Footwear</v>
      </c>
      <c r="I685" t="str">
        <f>VLOOKUP(E685,[1]ChatGPT!$1:$1048576,4,FALSE)</f>
        <v>Shopping - Online</v>
      </c>
    </row>
    <row r="686" spans="1:9" x14ac:dyDescent="0.25">
      <c r="A686" t="s">
        <v>71</v>
      </c>
      <c r="B686" t="s">
        <v>230</v>
      </c>
      <c r="C686" t="s">
        <v>229</v>
      </c>
      <c r="D686" s="1">
        <v>45031</v>
      </c>
      <c r="E686" t="s">
        <v>108</v>
      </c>
      <c r="F686">
        <v>7.41</v>
      </c>
      <c r="G686" t="str">
        <f>VLOOKUP(E686,[1]ChatGPT!$1:$1048576,2,FALSE)</f>
        <v>Internal Transactions</v>
      </c>
      <c r="H686" t="str">
        <f>VLOOKUP(E686,[1]ChatGPT!$1:$1048576,3,FALSE)</f>
        <v>ASB</v>
      </c>
      <c r="I686" t="str">
        <f>VLOOKUP(E686,[1]ChatGPT!$1:$1048576,4,FALSE)</f>
        <v>PAYMENT RECEIVED THANK YOU</v>
      </c>
    </row>
    <row r="687" spans="1:9" x14ac:dyDescent="0.25">
      <c r="A687" t="s">
        <v>71</v>
      </c>
      <c r="B687" t="s">
        <v>230</v>
      </c>
      <c r="C687" t="s">
        <v>229</v>
      </c>
      <c r="D687" s="1">
        <v>45031</v>
      </c>
      <c r="E687" t="s">
        <v>105</v>
      </c>
      <c r="F687">
        <v>-16.11</v>
      </c>
      <c r="G687" t="str">
        <f>VLOOKUP(E687,[1]ChatGPT!$1:$1048576,2,FALSE)</f>
        <v>Recreational &amp; Entertainment</v>
      </c>
      <c r="H687" t="str">
        <f>VLOOKUP(E687,[1]ChatGPT!$1:$1048576,3,FALSE)</f>
        <v xml:space="preserve">Dining Out </v>
      </c>
      <c r="I687" t="str">
        <f>VLOOKUP(E687,[1]ChatGPT!$1:$1048576,4,FALSE)</f>
        <v>Dinning</v>
      </c>
    </row>
    <row r="688" spans="1:9" x14ac:dyDescent="0.25">
      <c r="A688" t="s">
        <v>71</v>
      </c>
      <c r="B688" t="s">
        <v>230</v>
      </c>
      <c r="C688" t="s">
        <v>229</v>
      </c>
      <c r="D688" s="1">
        <v>45031</v>
      </c>
      <c r="E688" t="s">
        <v>119</v>
      </c>
      <c r="F688">
        <v>-11.65</v>
      </c>
      <c r="G688" t="s">
        <v>68</v>
      </c>
      <c r="H688" t="s">
        <v>69</v>
      </c>
      <c r="I688" t="s">
        <v>69</v>
      </c>
    </row>
    <row r="689" spans="1:9" x14ac:dyDescent="0.25">
      <c r="A689" t="s">
        <v>71</v>
      </c>
      <c r="B689" t="s">
        <v>230</v>
      </c>
      <c r="C689" t="s">
        <v>229</v>
      </c>
      <c r="D689" s="1">
        <v>45032</v>
      </c>
      <c r="E689" t="s">
        <v>108</v>
      </c>
      <c r="F689">
        <v>2.98</v>
      </c>
      <c r="G689" t="str">
        <f>VLOOKUP(E689,[1]ChatGPT!$1:$1048576,2,FALSE)</f>
        <v>Internal Transactions</v>
      </c>
      <c r="H689" t="str">
        <f>VLOOKUP(E689,[1]ChatGPT!$1:$1048576,3,FALSE)</f>
        <v>ASB</v>
      </c>
      <c r="I689" t="str">
        <f>VLOOKUP(E689,[1]ChatGPT!$1:$1048576,4,FALSE)</f>
        <v>PAYMENT RECEIVED THANK YOU</v>
      </c>
    </row>
    <row r="690" spans="1:9" x14ac:dyDescent="0.25">
      <c r="A690" t="s">
        <v>71</v>
      </c>
      <c r="B690" t="s">
        <v>230</v>
      </c>
      <c r="C690" t="s">
        <v>229</v>
      </c>
      <c r="D690" s="1">
        <v>45033</v>
      </c>
      <c r="E690" t="s">
        <v>116</v>
      </c>
      <c r="F690">
        <v>-7.17</v>
      </c>
      <c r="G690" t="str">
        <f>VLOOKUP(E690,[1]ChatGPT!$1:$1048576,2,FALSE)</f>
        <v>Transport</v>
      </c>
      <c r="H690" t="str">
        <f>VLOOKUP(E690,[1]ChatGPT!$1:$1048576,3,FALSE)</f>
        <v xml:space="preserve">Petrol </v>
      </c>
      <c r="I690" t="str">
        <f>VLOOKUP(E690,[1]ChatGPT!$1:$1048576,4,FALSE)</f>
        <v>Transport - Parking</v>
      </c>
    </row>
    <row r="691" spans="1:9" x14ac:dyDescent="0.25">
      <c r="A691" t="s">
        <v>71</v>
      </c>
      <c r="B691" t="s">
        <v>230</v>
      </c>
      <c r="C691" t="s">
        <v>229</v>
      </c>
      <c r="D691" s="1">
        <v>45032</v>
      </c>
      <c r="E691" t="s">
        <v>120</v>
      </c>
      <c r="F691">
        <v>-3.24</v>
      </c>
      <c r="G691" t="str">
        <f>VLOOKUP(E691,[1]ChatGPT!$1:$1048576,2,FALSE)</f>
        <v>Recreational &amp; Entertainment</v>
      </c>
      <c r="H691" t="str">
        <f>VLOOKUP(E691,[1]ChatGPT!$1:$1048576,3,FALSE)</f>
        <v xml:space="preserve">Dining Out </v>
      </c>
      <c r="I691" t="str">
        <f>VLOOKUP(E691,[1]ChatGPT!$1:$1048576,4,FALSE)</f>
        <v>Dinning</v>
      </c>
    </row>
    <row r="692" spans="1:9" x14ac:dyDescent="0.25">
      <c r="A692" t="s">
        <v>71</v>
      </c>
      <c r="B692" t="s">
        <v>230</v>
      </c>
      <c r="C692" t="s">
        <v>229</v>
      </c>
      <c r="D692" s="1">
        <v>45030</v>
      </c>
      <c r="E692" t="s">
        <v>121</v>
      </c>
      <c r="F692">
        <v>-41.24</v>
      </c>
      <c r="G692" t="str">
        <f>VLOOKUP(E692,[1]ChatGPT!$1:$1048576,2,FALSE)</f>
        <v>Insurance</v>
      </c>
      <c r="H692" t="str">
        <f>VLOOKUP(E692,[1]ChatGPT!$1:$1048576,3,FALSE)</f>
        <v>Life Insurance</v>
      </c>
      <c r="I692" t="str">
        <f>VLOOKUP(E692,[1]ChatGPT!$1:$1048576,4,FALSE)</f>
        <v>Life Insurance</v>
      </c>
    </row>
    <row r="693" spans="1:9" x14ac:dyDescent="0.25">
      <c r="A693" t="s">
        <v>71</v>
      </c>
      <c r="B693" t="s">
        <v>230</v>
      </c>
      <c r="C693" t="s">
        <v>229</v>
      </c>
      <c r="D693" s="1">
        <v>45035</v>
      </c>
      <c r="E693" t="s">
        <v>108</v>
      </c>
      <c r="F693">
        <v>221.73</v>
      </c>
      <c r="G693" t="str">
        <f>VLOOKUP(E693,[1]ChatGPT!$1:$1048576,2,FALSE)</f>
        <v>Internal Transactions</v>
      </c>
      <c r="H693" t="str">
        <f>VLOOKUP(E693,[1]ChatGPT!$1:$1048576,3,FALSE)</f>
        <v>ASB</v>
      </c>
      <c r="I693" t="str">
        <f>VLOOKUP(E693,[1]ChatGPT!$1:$1048576,4,FALSE)</f>
        <v>PAYMENT RECEIVED THANK YOU</v>
      </c>
    </row>
    <row r="694" spans="1:9" x14ac:dyDescent="0.25">
      <c r="A694" t="s">
        <v>71</v>
      </c>
      <c r="B694" t="s">
        <v>230</v>
      </c>
      <c r="C694" t="s">
        <v>229</v>
      </c>
      <c r="D694" s="1">
        <v>45034</v>
      </c>
      <c r="E694" t="s">
        <v>122</v>
      </c>
      <c r="F694">
        <v>-118.58</v>
      </c>
      <c r="G694" t="str">
        <f>VLOOKUP(E694,[1]ChatGPT!$1:$1048576,2,FALSE)</f>
        <v>Groceries</v>
      </c>
      <c r="H694" t="str">
        <f>VLOOKUP(E694,[1]ChatGPT!$1:$1048576,3,FALSE)</f>
        <v>Grocery</v>
      </c>
      <c r="I694" t="str">
        <f>VLOOKUP(E694,[1]ChatGPT!$1:$1048576,4,FALSE)</f>
        <v>Grocery</v>
      </c>
    </row>
    <row r="695" spans="1:9" x14ac:dyDescent="0.25">
      <c r="A695" t="s">
        <v>71</v>
      </c>
      <c r="B695" t="s">
        <v>230</v>
      </c>
      <c r="C695" t="s">
        <v>229</v>
      </c>
      <c r="D695" s="1">
        <v>45033</v>
      </c>
      <c r="E695" t="s">
        <v>123</v>
      </c>
      <c r="F695">
        <v>-933.25</v>
      </c>
      <c r="G695" t="str">
        <f>VLOOKUP(E695,[1]ChatGPT!$1:$1048576,2,FALSE)</f>
        <v>Recreational &amp; Entertainment</v>
      </c>
      <c r="H695" t="str">
        <f>VLOOKUP(E695,[1]ChatGPT!$1:$1048576,3,FALSE)</f>
        <v xml:space="preserve">Travel </v>
      </c>
      <c r="I695" t="str">
        <f>VLOOKUP(E695,[1]ChatGPT!$1:$1048576,4,FALSE)</f>
        <v>Travel</v>
      </c>
    </row>
    <row r="696" spans="1:9" x14ac:dyDescent="0.25">
      <c r="A696" t="s">
        <v>71</v>
      </c>
      <c r="B696" t="s">
        <v>230</v>
      </c>
      <c r="C696" t="s">
        <v>229</v>
      </c>
      <c r="D696" s="1">
        <v>45036</v>
      </c>
      <c r="E696" t="s">
        <v>108</v>
      </c>
      <c r="F696">
        <v>2117.33</v>
      </c>
      <c r="G696" t="str">
        <f>VLOOKUP(E696,[1]ChatGPT!$1:$1048576,2,FALSE)</f>
        <v>Internal Transactions</v>
      </c>
      <c r="H696" t="str">
        <f>VLOOKUP(E696,[1]ChatGPT!$1:$1048576,3,FALSE)</f>
        <v>ASB</v>
      </c>
      <c r="I696" t="str">
        <f>VLOOKUP(E696,[1]ChatGPT!$1:$1048576,4,FALSE)</f>
        <v>PAYMENT RECEIVED THANK YOU</v>
      </c>
    </row>
    <row r="697" spans="1:9" x14ac:dyDescent="0.25">
      <c r="A697" t="s">
        <v>71</v>
      </c>
      <c r="B697" t="s">
        <v>230</v>
      </c>
      <c r="C697" t="s">
        <v>229</v>
      </c>
      <c r="D697" s="1">
        <v>45036</v>
      </c>
      <c r="E697" t="s">
        <v>108</v>
      </c>
      <c r="F697">
        <v>10.99</v>
      </c>
      <c r="G697" t="str">
        <f>VLOOKUP(E697,[1]ChatGPT!$1:$1048576,2,FALSE)</f>
        <v>Internal Transactions</v>
      </c>
      <c r="H697" t="str">
        <f>VLOOKUP(E697,[1]ChatGPT!$1:$1048576,3,FALSE)</f>
        <v>ASB</v>
      </c>
      <c r="I697" t="str">
        <f>VLOOKUP(E697,[1]ChatGPT!$1:$1048576,4,FALSE)</f>
        <v>PAYMENT RECEIVED THANK YOU</v>
      </c>
    </row>
    <row r="698" spans="1:9" x14ac:dyDescent="0.25">
      <c r="A698" t="s">
        <v>71</v>
      </c>
      <c r="B698" t="s">
        <v>230</v>
      </c>
      <c r="C698" t="s">
        <v>229</v>
      </c>
      <c r="D698" s="1">
        <v>45035</v>
      </c>
      <c r="E698" t="s">
        <v>117</v>
      </c>
      <c r="F698">
        <v>-2.5099999999999998</v>
      </c>
      <c r="G698" t="str">
        <f>VLOOKUP(E698,[1]ChatGPT!$1:$1048576,2,FALSE)</f>
        <v>Recreational &amp; Entertainment</v>
      </c>
      <c r="H698" t="str">
        <f>VLOOKUP(E698,[1]ChatGPT!$1:$1048576,3,FALSE)</f>
        <v xml:space="preserve">Dining Out </v>
      </c>
      <c r="I698" t="str">
        <f>VLOOKUP(E698,[1]ChatGPT!$1:$1048576,4,FALSE)</f>
        <v>Dinning</v>
      </c>
    </row>
    <row r="699" spans="1:9" x14ac:dyDescent="0.25">
      <c r="A699" t="s">
        <v>71</v>
      </c>
      <c r="B699" t="s">
        <v>230</v>
      </c>
      <c r="C699" t="s">
        <v>229</v>
      </c>
      <c r="D699" s="1">
        <v>45035</v>
      </c>
      <c r="E699" t="s">
        <v>124</v>
      </c>
      <c r="F699">
        <v>-42.48</v>
      </c>
      <c r="G699" t="str">
        <f>VLOOKUP(E699,[1]ChatGPT!$1:$1048576,2,FALSE)</f>
        <v>Transport</v>
      </c>
      <c r="H699" t="str">
        <f>VLOOKUP(E699,[1]ChatGPT!$1:$1048576,3,FALSE)</f>
        <v xml:space="preserve">Petrol </v>
      </c>
      <c r="I699" t="str">
        <f>VLOOKUP(E699,[1]ChatGPT!$1:$1048576,4,FALSE)</f>
        <v>Transport - Parking</v>
      </c>
    </row>
    <row r="700" spans="1:9" x14ac:dyDescent="0.25">
      <c r="A700" t="s">
        <v>71</v>
      </c>
      <c r="B700" t="s">
        <v>230</v>
      </c>
      <c r="C700" t="s">
        <v>229</v>
      </c>
      <c r="D700" s="1">
        <v>45036</v>
      </c>
      <c r="E700" t="s">
        <v>112</v>
      </c>
      <c r="F700">
        <v>-65.03</v>
      </c>
      <c r="G700" t="str">
        <f>VLOOKUP(E700,[1]ChatGPT!$1:$1048576,2,FALSE)</f>
        <v>Insurance</v>
      </c>
      <c r="H700" t="str">
        <f>VLOOKUP(E700,[1]ChatGPT!$1:$1048576,3,FALSE)</f>
        <v>Vehicle Insurance</v>
      </c>
      <c r="I700" t="str">
        <f>VLOOKUP(E700,[1]ChatGPT!$1:$1048576,4,FALSE)</f>
        <v>Vehicle Insurance</v>
      </c>
    </row>
    <row r="701" spans="1:9" x14ac:dyDescent="0.25">
      <c r="A701" t="s">
        <v>71</v>
      </c>
      <c r="B701" t="s">
        <v>230</v>
      </c>
      <c r="C701" t="s">
        <v>229</v>
      </c>
      <c r="D701" s="1">
        <v>45036</v>
      </c>
      <c r="E701" t="s">
        <v>112</v>
      </c>
      <c r="F701">
        <v>-96.45</v>
      </c>
      <c r="G701" t="str">
        <f>VLOOKUP(E701,[1]ChatGPT!$1:$1048576,2,FALSE)</f>
        <v>Insurance</v>
      </c>
      <c r="H701" t="str">
        <f>VLOOKUP(E701,[1]ChatGPT!$1:$1048576,3,FALSE)</f>
        <v>Vehicle Insurance</v>
      </c>
      <c r="I701" t="str">
        <f>VLOOKUP(E701,[1]ChatGPT!$1:$1048576,4,FALSE)</f>
        <v>Vehicle Insurance</v>
      </c>
    </row>
    <row r="702" spans="1:9" x14ac:dyDescent="0.25">
      <c r="A702" t="s">
        <v>71</v>
      </c>
      <c r="B702" t="s">
        <v>230</v>
      </c>
      <c r="C702" t="s">
        <v>229</v>
      </c>
      <c r="D702" s="1">
        <v>45036</v>
      </c>
      <c r="E702" t="s">
        <v>112</v>
      </c>
      <c r="F702">
        <v>-9.18</v>
      </c>
      <c r="G702" t="str">
        <f>VLOOKUP(E702,[1]ChatGPT!$1:$1048576,2,FALSE)</f>
        <v>Insurance</v>
      </c>
      <c r="H702" t="str">
        <f>VLOOKUP(E702,[1]ChatGPT!$1:$1048576,3,FALSE)</f>
        <v>Vehicle Insurance</v>
      </c>
      <c r="I702" t="str">
        <f>VLOOKUP(E702,[1]ChatGPT!$1:$1048576,4,FALSE)</f>
        <v>Vehicle Insurance</v>
      </c>
    </row>
    <row r="703" spans="1:9" x14ac:dyDescent="0.25">
      <c r="A703" t="s">
        <v>71</v>
      </c>
      <c r="B703" t="s">
        <v>230</v>
      </c>
      <c r="C703" t="s">
        <v>229</v>
      </c>
      <c r="D703" s="1">
        <v>45038</v>
      </c>
      <c r="E703" t="s">
        <v>108</v>
      </c>
      <c r="F703">
        <v>22.26</v>
      </c>
      <c r="G703" t="str">
        <f>VLOOKUP(E703,[1]ChatGPT!$1:$1048576,2,FALSE)</f>
        <v>Internal Transactions</v>
      </c>
      <c r="H703" t="str">
        <f>VLOOKUP(E703,[1]ChatGPT!$1:$1048576,3,FALSE)</f>
        <v>ASB</v>
      </c>
      <c r="I703" t="str">
        <f>VLOOKUP(E703,[1]ChatGPT!$1:$1048576,4,FALSE)</f>
        <v>PAYMENT RECEIVED THANK YOU</v>
      </c>
    </row>
    <row r="704" spans="1:9" x14ac:dyDescent="0.25">
      <c r="A704" t="s">
        <v>71</v>
      </c>
      <c r="B704" t="s">
        <v>230</v>
      </c>
      <c r="C704" t="s">
        <v>229</v>
      </c>
      <c r="D704" s="1">
        <v>45036</v>
      </c>
      <c r="E704" t="s">
        <v>111</v>
      </c>
      <c r="F704">
        <v>-3.58</v>
      </c>
      <c r="G704" t="str">
        <f>VLOOKUP(E704,[1]ChatGPT!$1:$1048576,2,FALSE)</f>
        <v>Recreational &amp; Entertainment</v>
      </c>
      <c r="H704" t="str">
        <f>VLOOKUP(E704,[1]ChatGPT!$1:$1048576,3,FALSE)</f>
        <v xml:space="preserve">Gym </v>
      </c>
      <c r="I704" t="str">
        <f>VLOOKUP(E704,[1]ChatGPT!$1:$1048576,4,FALSE)</f>
        <v>GYM</v>
      </c>
    </row>
    <row r="705" spans="1:9" x14ac:dyDescent="0.25">
      <c r="A705" t="s">
        <v>71</v>
      </c>
      <c r="B705" t="s">
        <v>230</v>
      </c>
      <c r="C705" t="s">
        <v>229</v>
      </c>
      <c r="D705" s="1">
        <v>45040</v>
      </c>
      <c r="E705" t="s">
        <v>108</v>
      </c>
      <c r="F705">
        <v>10.69</v>
      </c>
      <c r="G705" t="str">
        <f>VLOOKUP(E705,[1]ChatGPT!$1:$1048576,2,FALSE)</f>
        <v>Internal Transactions</v>
      </c>
      <c r="H705" t="str">
        <f>VLOOKUP(E705,[1]ChatGPT!$1:$1048576,3,FALSE)</f>
        <v>ASB</v>
      </c>
      <c r="I705" t="str">
        <f>VLOOKUP(E705,[1]ChatGPT!$1:$1048576,4,FALSE)</f>
        <v>PAYMENT RECEIVED THANK YOU</v>
      </c>
    </row>
    <row r="706" spans="1:9" x14ac:dyDescent="0.25">
      <c r="A706" t="s">
        <v>71</v>
      </c>
      <c r="B706" t="s">
        <v>230</v>
      </c>
      <c r="C706" t="s">
        <v>229</v>
      </c>
      <c r="D706" s="1">
        <v>45043</v>
      </c>
      <c r="E706" t="s">
        <v>108</v>
      </c>
      <c r="F706">
        <v>610.33000000000004</v>
      </c>
      <c r="G706" t="str">
        <f>VLOOKUP(E706,[1]ChatGPT!$1:$1048576,2,FALSE)</f>
        <v>Internal Transactions</v>
      </c>
      <c r="H706" t="str">
        <f>VLOOKUP(E706,[1]ChatGPT!$1:$1048576,3,FALSE)</f>
        <v>ASB</v>
      </c>
      <c r="I706" t="str">
        <f>VLOOKUP(E706,[1]ChatGPT!$1:$1048576,4,FALSE)</f>
        <v>PAYMENT RECEIVED THANK YOU</v>
      </c>
    </row>
    <row r="707" spans="1:9" x14ac:dyDescent="0.25">
      <c r="A707" t="s">
        <v>71</v>
      </c>
      <c r="B707" t="s">
        <v>230</v>
      </c>
      <c r="C707" t="s">
        <v>229</v>
      </c>
      <c r="D707" s="1">
        <v>45043</v>
      </c>
      <c r="E707" t="s">
        <v>108</v>
      </c>
      <c r="F707">
        <v>59.86</v>
      </c>
      <c r="G707" t="str">
        <f>VLOOKUP(E707,[1]ChatGPT!$1:$1048576,2,FALSE)</f>
        <v>Internal Transactions</v>
      </c>
      <c r="H707" t="str">
        <f>VLOOKUP(E707,[1]ChatGPT!$1:$1048576,3,FALSE)</f>
        <v>ASB</v>
      </c>
      <c r="I707" t="str">
        <f>VLOOKUP(E707,[1]ChatGPT!$1:$1048576,4,FALSE)</f>
        <v>PAYMENT RECEIVED THANK YOU</v>
      </c>
    </row>
    <row r="708" spans="1:9" x14ac:dyDescent="0.25">
      <c r="A708" t="s">
        <v>71</v>
      </c>
      <c r="B708" t="s">
        <v>230</v>
      </c>
      <c r="C708" t="s">
        <v>229</v>
      </c>
      <c r="D708" s="1">
        <v>45042</v>
      </c>
      <c r="E708" t="s">
        <v>125</v>
      </c>
      <c r="F708">
        <v>-0.54</v>
      </c>
      <c r="G708" t="str">
        <f>VLOOKUP(E708,[1]ChatGPT!$1:$1048576,2,FALSE)</f>
        <v>Recreational &amp; Entertainment</v>
      </c>
      <c r="H708" t="str">
        <f>VLOOKUP(E708,[1]ChatGPT!$1:$1048576,3,FALSE)</f>
        <v xml:space="preserve">Travel </v>
      </c>
      <c r="I708" t="str">
        <f>VLOOKUP(E708,[1]ChatGPT!$1:$1048576,4,FALSE)</f>
        <v>Travel</v>
      </c>
    </row>
    <row r="709" spans="1:9" x14ac:dyDescent="0.25">
      <c r="A709" t="s">
        <v>71</v>
      </c>
      <c r="B709" t="s">
        <v>230</v>
      </c>
      <c r="C709" t="s">
        <v>229</v>
      </c>
      <c r="D709" s="1">
        <v>45042</v>
      </c>
      <c r="E709" t="s">
        <v>126</v>
      </c>
      <c r="F709">
        <v>-211.31</v>
      </c>
      <c r="G709" t="str">
        <f>VLOOKUP(E709,[1]ChatGPT!$1:$1048576,2,FALSE)</f>
        <v>Transport</v>
      </c>
      <c r="H709" t="str">
        <f>VLOOKUP(E709,[1]ChatGPT!$1:$1048576,3,FALSE)</f>
        <v xml:space="preserve">Petrol </v>
      </c>
      <c r="I709" t="str">
        <f>VLOOKUP(E709,[1]ChatGPT!$1:$1048576,4,FALSE)</f>
        <v>Transport - Rental Car</v>
      </c>
    </row>
    <row r="710" spans="1:9" x14ac:dyDescent="0.25">
      <c r="A710" t="s">
        <v>71</v>
      </c>
      <c r="B710" t="s">
        <v>230</v>
      </c>
      <c r="C710" t="s">
        <v>229</v>
      </c>
      <c r="D710" s="1">
        <v>45043</v>
      </c>
      <c r="E710" t="s">
        <v>127</v>
      </c>
      <c r="F710">
        <v>-3.83</v>
      </c>
      <c r="G710" t="s">
        <v>89</v>
      </c>
      <c r="H710" t="s">
        <v>90</v>
      </c>
      <c r="I710" t="s">
        <v>128</v>
      </c>
    </row>
    <row r="711" spans="1:9" x14ac:dyDescent="0.25">
      <c r="A711" t="s">
        <v>71</v>
      </c>
      <c r="B711" t="s">
        <v>230</v>
      </c>
      <c r="C711" t="s">
        <v>229</v>
      </c>
      <c r="D711" s="1">
        <v>45044</v>
      </c>
      <c r="E711" t="s">
        <v>108</v>
      </c>
      <c r="F711">
        <v>21.95</v>
      </c>
      <c r="G711" t="str">
        <f>VLOOKUP(E711,[1]ChatGPT!$1:$1048576,2,FALSE)</f>
        <v>Internal Transactions</v>
      </c>
      <c r="H711" t="str">
        <f>VLOOKUP(E711,[1]ChatGPT!$1:$1048576,3,FALSE)</f>
        <v>ASB</v>
      </c>
      <c r="I711" t="str">
        <f>VLOOKUP(E711,[1]ChatGPT!$1:$1048576,4,FALSE)</f>
        <v>PAYMENT RECEIVED THANK YOU</v>
      </c>
    </row>
    <row r="712" spans="1:9" x14ac:dyDescent="0.25">
      <c r="A712" t="s">
        <v>71</v>
      </c>
      <c r="B712" t="s">
        <v>230</v>
      </c>
      <c r="C712" t="s">
        <v>229</v>
      </c>
      <c r="D712" s="1">
        <v>45044</v>
      </c>
      <c r="E712" t="s">
        <v>108</v>
      </c>
      <c r="F712">
        <v>10.039999999999999</v>
      </c>
      <c r="G712" t="str">
        <f>VLOOKUP(E712,[1]ChatGPT!$1:$1048576,2,FALSE)</f>
        <v>Internal Transactions</v>
      </c>
      <c r="H712" t="str">
        <f>VLOOKUP(E712,[1]ChatGPT!$1:$1048576,3,FALSE)</f>
        <v>ASB</v>
      </c>
      <c r="I712" t="str">
        <f>VLOOKUP(E712,[1]ChatGPT!$1:$1048576,4,FALSE)</f>
        <v>PAYMENT RECEIVED THANK YOU</v>
      </c>
    </row>
    <row r="713" spans="1:9" x14ac:dyDescent="0.25">
      <c r="A713" t="s">
        <v>71</v>
      </c>
      <c r="B713" t="s">
        <v>230</v>
      </c>
      <c r="C713" t="s">
        <v>229</v>
      </c>
      <c r="D713" s="1">
        <v>45043</v>
      </c>
      <c r="E713" t="s">
        <v>127</v>
      </c>
      <c r="F713">
        <v>-9</v>
      </c>
      <c r="G713" t="s">
        <v>89</v>
      </c>
      <c r="H713" t="s">
        <v>90</v>
      </c>
      <c r="I713" t="s">
        <v>128</v>
      </c>
    </row>
    <row r="714" spans="1:9" x14ac:dyDescent="0.25">
      <c r="A714" t="s">
        <v>71</v>
      </c>
      <c r="B714" t="s">
        <v>230</v>
      </c>
      <c r="C714" t="s">
        <v>229</v>
      </c>
      <c r="D714" s="1">
        <v>45044</v>
      </c>
      <c r="E714" t="s">
        <v>129</v>
      </c>
      <c r="F714">
        <v>-11.66</v>
      </c>
      <c r="G714" t="str">
        <f>VLOOKUP(E714,[1]ChatGPT!$1:$1048576,2,FALSE)</f>
        <v>Recreational &amp; Entertainment</v>
      </c>
      <c r="H714" t="str">
        <f>VLOOKUP(E714,[1]ChatGPT!$1:$1048576,3,FALSE)</f>
        <v xml:space="preserve">Travel </v>
      </c>
      <c r="I714" t="str">
        <f>VLOOKUP(E714,[1]ChatGPT!$1:$1048576,4,FALSE)</f>
        <v>Travel</v>
      </c>
    </row>
    <row r="715" spans="1:9" x14ac:dyDescent="0.25">
      <c r="A715" t="s">
        <v>71</v>
      </c>
      <c r="B715" t="s">
        <v>230</v>
      </c>
      <c r="C715" t="s">
        <v>229</v>
      </c>
      <c r="D715" s="1">
        <v>45043</v>
      </c>
      <c r="E715" t="s">
        <v>130</v>
      </c>
      <c r="F715">
        <v>-9.57</v>
      </c>
      <c r="G715" t="str">
        <f>VLOOKUP(E715,[1]ChatGPT!$1:$1048576,2,FALSE)</f>
        <v>Groceries</v>
      </c>
      <c r="H715" t="str">
        <f>VLOOKUP(E715,[1]ChatGPT!$1:$1048576,3,FALSE)</f>
        <v>Grocery</v>
      </c>
      <c r="I715" t="str">
        <f>VLOOKUP(E715,[1]ChatGPT!$1:$1048576,4,FALSE)</f>
        <v>Grocery</v>
      </c>
    </row>
    <row r="716" spans="1:9" x14ac:dyDescent="0.25">
      <c r="A716" t="s">
        <v>71</v>
      </c>
      <c r="B716" t="s">
        <v>230</v>
      </c>
      <c r="C716" t="s">
        <v>229</v>
      </c>
      <c r="D716" s="1">
        <v>45042</v>
      </c>
      <c r="E716" t="s">
        <v>111</v>
      </c>
      <c r="F716">
        <v>-8.98</v>
      </c>
      <c r="G716" t="str">
        <f>VLOOKUP(E716,[1]ChatGPT!$1:$1048576,2,FALSE)</f>
        <v>Recreational &amp; Entertainment</v>
      </c>
      <c r="H716" t="str">
        <f>VLOOKUP(E716,[1]ChatGPT!$1:$1048576,3,FALSE)</f>
        <v xml:space="preserve">Gym </v>
      </c>
      <c r="I716" t="str">
        <f>VLOOKUP(E716,[1]ChatGPT!$1:$1048576,4,FALSE)</f>
        <v>GYM</v>
      </c>
    </row>
    <row r="717" spans="1:9" x14ac:dyDescent="0.25">
      <c r="A717" t="s">
        <v>71</v>
      </c>
      <c r="B717" t="s">
        <v>230</v>
      </c>
      <c r="C717" t="s">
        <v>229</v>
      </c>
      <c r="D717" s="1">
        <v>45043</v>
      </c>
      <c r="E717" t="s">
        <v>131</v>
      </c>
      <c r="F717">
        <v>-36.659999999999997</v>
      </c>
      <c r="G717" t="str">
        <f>VLOOKUP(E717,[1]ChatGPT!$1:$1048576,2,FALSE)</f>
        <v>Recreational &amp; Entertainment</v>
      </c>
      <c r="H717" t="str">
        <f>VLOOKUP(E717,[1]ChatGPT!$1:$1048576,3,FALSE)</f>
        <v xml:space="preserve">Dining Out </v>
      </c>
      <c r="I717" t="str">
        <f>VLOOKUP(E717,[1]ChatGPT!$1:$1048576,4,FALSE)</f>
        <v>Dinning</v>
      </c>
    </row>
    <row r="718" spans="1:9" x14ac:dyDescent="0.25">
      <c r="A718" t="s">
        <v>71</v>
      </c>
      <c r="B718" t="s">
        <v>230</v>
      </c>
      <c r="C718" t="s">
        <v>229</v>
      </c>
      <c r="D718" s="1">
        <v>45044</v>
      </c>
      <c r="E718" t="s">
        <v>106</v>
      </c>
      <c r="F718">
        <v>-9.2100000000000009</v>
      </c>
      <c r="G718" t="str">
        <f>VLOOKUP(E718,[1]ChatGPT!$1:$1048576,2,FALSE)</f>
        <v>Telephone &amp; Internet</v>
      </c>
      <c r="H718" t="str">
        <f>VLOOKUP(E718,[1]ChatGPT!$1:$1048576,3,FALSE)</f>
        <v xml:space="preserve">Mobile phone </v>
      </c>
      <c r="I718" t="str">
        <f>VLOOKUP(E718,[1]ChatGPT!$1:$1048576,4,FALSE)</f>
        <v>Mobile</v>
      </c>
    </row>
    <row r="719" spans="1:9" x14ac:dyDescent="0.25">
      <c r="A719" t="s">
        <v>71</v>
      </c>
      <c r="B719" t="s">
        <v>230</v>
      </c>
      <c r="C719" t="s">
        <v>229</v>
      </c>
      <c r="D719" s="1">
        <v>45046</v>
      </c>
      <c r="E719" t="s">
        <v>108</v>
      </c>
      <c r="F719">
        <v>5.95</v>
      </c>
      <c r="G719" t="str">
        <f>VLOOKUP(E719,[1]ChatGPT!$1:$1048576,2,FALSE)</f>
        <v>Internal Transactions</v>
      </c>
      <c r="H719" t="str">
        <f>VLOOKUP(E719,[1]ChatGPT!$1:$1048576,3,FALSE)</f>
        <v>ASB</v>
      </c>
      <c r="I719" t="str">
        <f>VLOOKUP(E719,[1]ChatGPT!$1:$1048576,4,FALSE)</f>
        <v>PAYMENT RECEIVED THANK YOU</v>
      </c>
    </row>
    <row r="720" spans="1:9" x14ac:dyDescent="0.25">
      <c r="A720" t="s">
        <v>71</v>
      </c>
      <c r="B720" t="s">
        <v>230</v>
      </c>
      <c r="C720" t="s">
        <v>229</v>
      </c>
      <c r="D720" s="1">
        <v>45045</v>
      </c>
      <c r="E720" t="s">
        <v>106</v>
      </c>
      <c r="F720">
        <v>-11.15</v>
      </c>
      <c r="G720" t="str">
        <f>VLOOKUP(E720,[1]ChatGPT!$1:$1048576,2,FALSE)</f>
        <v>Telephone &amp; Internet</v>
      </c>
      <c r="H720" t="str">
        <f>VLOOKUP(E720,[1]ChatGPT!$1:$1048576,3,FALSE)</f>
        <v xml:space="preserve">Mobile phone </v>
      </c>
      <c r="I720" t="str">
        <f>VLOOKUP(E720,[1]ChatGPT!$1:$1048576,4,FALSE)</f>
        <v>Mobile</v>
      </c>
    </row>
    <row r="721" spans="1:9" x14ac:dyDescent="0.25">
      <c r="A721" t="s">
        <v>71</v>
      </c>
      <c r="B721" t="s">
        <v>230</v>
      </c>
      <c r="C721" t="s">
        <v>229</v>
      </c>
      <c r="D721" s="1">
        <v>45047</v>
      </c>
      <c r="E721" t="s">
        <v>108</v>
      </c>
      <c r="F721">
        <v>16.170000000000002</v>
      </c>
      <c r="G721" t="str">
        <f>VLOOKUP(E721,[1]ChatGPT!$1:$1048576,2,FALSE)</f>
        <v>Internal Transactions</v>
      </c>
      <c r="H721" t="str">
        <f>VLOOKUP(E721,[1]ChatGPT!$1:$1048576,3,FALSE)</f>
        <v>ASB</v>
      </c>
      <c r="I721" t="str">
        <f>VLOOKUP(E721,[1]ChatGPT!$1:$1048576,4,FALSE)</f>
        <v>PAYMENT RECEIVED THANK YOU</v>
      </c>
    </row>
    <row r="722" spans="1:9" x14ac:dyDescent="0.25">
      <c r="A722" t="s">
        <v>71</v>
      </c>
      <c r="B722" t="s">
        <v>230</v>
      </c>
      <c r="C722" t="s">
        <v>229</v>
      </c>
      <c r="D722" s="1">
        <v>45046</v>
      </c>
      <c r="E722" t="s">
        <v>116</v>
      </c>
      <c r="F722">
        <v>-15.88</v>
      </c>
      <c r="G722" t="str">
        <f>VLOOKUP(E722,[1]ChatGPT!$1:$1048576,2,FALSE)</f>
        <v>Transport</v>
      </c>
      <c r="H722" t="str">
        <f>VLOOKUP(E722,[1]ChatGPT!$1:$1048576,3,FALSE)</f>
        <v xml:space="preserve">Petrol </v>
      </c>
      <c r="I722" t="str">
        <f>VLOOKUP(E722,[1]ChatGPT!$1:$1048576,4,FALSE)</f>
        <v>Transport - Parking</v>
      </c>
    </row>
    <row r="723" spans="1:9" x14ac:dyDescent="0.25">
      <c r="A723" t="s">
        <v>71</v>
      </c>
      <c r="B723" t="s">
        <v>230</v>
      </c>
      <c r="C723" t="s">
        <v>229</v>
      </c>
      <c r="D723" s="1">
        <v>45046</v>
      </c>
      <c r="E723" t="s">
        <v>132</v>
      </c>
      <c r="F723">
        <v>-11.23</v>
      </c>
      <c r="G723" t="str">
        <f>VLOOKUP(E723,[1]ChatGPT!$1:$1048576,2,FALSE)</f>
        <v>Recreational &amp; Entertainment</v>
      </c>
      <c r="H723" t="str">
        <f>VLOOKUP(E723,[1]ChatGPT!$1:$1048576,3,FALSE)</f>
        <v xml:space="preserve">Dining Out </v>
      </c>
      <c r="I723" t="str">
        <f>VLOOKUP(E723,[1]ChatGPT!$1:$1048576,4,FALSE)</f>
        <v>Dinning</v>
      </c>
    </row>
    <row r="724" spans="1:9" x14ac:dyDescent="0.25">
      <c r="A724" t="s">
        <v>71</v>
      </c>
      <c r="B724" t="s">
        <v>230</v>
      </c>
      <c r="C724" t="s">
        <v>229</v>
      </c>
      <c r="D724" s="1">
        <v>45046</v>
      </c>
      <c r="E724" t="s">
        <v>132</v>
      </c>
      <c r="F724">
        <v>-2.89</v>
      </c>
      <c r="G724" t="str">
        <f>VLOOKUP(E724,[1]ChatGPT!$1:$1048576,2,FALSE)</f>
        <v>Recreational &amp; Entertainment</v>
      </c>
      <c r="H724" t="str">
        <f>VLOOKUP(E724,[1]ChatGPT!$1:$1048576,3,FALSE)</f>
        <v xml:space="preserve">Dining Out </v>
      </c>
      <c r="I724" t="str">
        <f>VLOOKUP(E724,[1]ChatGPT!$1:$1048576,4,FALSE)</f>
        <v>Dinning</v>
      </c>
    </row>
    <row r="725" spans="1:9" x14ac:dyDescent="0.25">
      <c r="A725" t="s">
        <v>71</v>
      </c>
      <c r="B725" t="s">
        <v>230</v>
      </c>
      <c r="C725" t="s">
        <v>229</v>
      </c>
      <c r="D725" s="1">
        <v>45046</v>
      </c>
      <c r="E725" t="s">
        <v>133</v>
      </c>
      <c r="F725">
        <v>-32.409999999999997</v>
      </c>
      <c r="G725" t="str">
        <f>VLOOKUP(E725,[1]ChatGPT!$1:$1048576,2,FALSE)</f>
        <v>Transport</v>
      </c>
      <c r="H725" t="str">
        <f>VLOOKUP(E725,[1]ChatGPT!$1:$1048576,3,FALSE)</f>
        <v xml:space="preserve">Petrol </v>
      </c>
      <c r="I725" t="str">
        <f>VLOOKUP(E725,[1]ChatGPT!$1:$1048576,4,FALSE)</f>
        <v>Transport - Fuel</v>
      </c>
    </row>
    <row r="726" spans="1:9" x14ac:dyDescent="0.25">
      <c r="A726" t="s">
        <v>71</v>
      </c>
      <c r="B726" t="s">
        <v>230</v>
      </c>
      <c r="C726" t="s">
        <v>229</v>
      </c>
      <c r="D726" s="1">
        <v>45045</v>
      </c>
      <c r="E726" t="s">
        <v>134</v>
      </c>
      <c r="F726">
        <v>-2.56</v>
      </c>
      <c r="G726" t="s">
        <v>92</v>
      </c>
      <c r="H726" t="s">
        <v>104</v>
      </c>
      <c r="I726" t="s">
        <v>104</v>
      </c>
    </row>
    <row r="727" spans="1:9" x14ac:dyDescent="0.25">
      <c r="A727" t="s">
        <v>71</v>
      </c>
      <c r="B727" t="s">
        <v>230</v>
      </c>
      <c r="C727" t="s">
        <v>229</v>
      </c>
      <c r="D727" s="1">
        <v>45045</v>
      </c>
      <c r="E727" t="s">
        <v>86</v>
      </c>
      <c r="F727">
        <v>-0.09</v>
      </c>
      <c r="G727" t="str">
        <f>VLOOKUP(E727,[1]ChatGPT!$1:$1048576,2,FALSE)</f>
        <v>Other</v>
      </c>
      <c r="H727" t="str">
        <f>VLOOKUP(E727,[1]ChatGPT!$1:$1048576,3,FALSE)</f>
        <v xml:space="preserve">Other Expenses </v>
      </c>
      <c r="I727" t="str">
        <f>VLOOKUP(E727,[1]ChatGPT!$1:$1048576,4,FALSE)</f>
        <v>OFFSHORE SERVICE MARGINS</v>
      </c>
    </row>
    <row r="728" spans="1:9" x14ac:dyDescent="0.25">
      <c r="A728" t="s">
        <v>71</v>
      </c>
      <c r="B728" t="s">
        <v>230</v>
      </c>
      <c r="C728" t="s">
        <v>229</v>
      </c>
      <c r="D728" s="1">
        <v>45048</v>
      </c>
      <c r="E728" t="s">
        <v>108</v>
      </c>
      <c r="F728">
        <v>14.01</v>
      </c>
      <c r="G728" t="str">
        <f>VLOOKUP(E728,[1]ChatGPT!$1:$1048576,2,FALSE)</f>
        <v>Internal Transactions</v>
      </c>
      <c r="H728" t="str">
        <f>VLOOKUP(E728,[1]ChatGPT!$1:$1048576,3,FALSE)</f>
        <v>ASB</v>
      </c>
      <c r="I728" t="str">
        <f>VLOOKUP(E728,[1]ChatGPT!$1:$1048576,4,FALSE)</f>
        <v>PAYMENT RECEIVED THANK YOU</v>
      </c>
    </row>
    <row r="729" spans="1:9" x14ac:dyDescent="0.25">
      <c r="A729" t="s">
        <v>71</v>
      </c>
      <c r="B729" t="s">
        <v>230</v>
      </c>
      <c r="C729" t="s">
        <v>229</v>
      </c>
      <c r="D729" s="1">
        <v>45047</v>
      </c>
      <c r="E729" t="s">
        <v>135</v>
      </c>
      <c r="F729">
        <v>-13.51</v>
      </c>
      <c r="G729" t="str">
        <f>VLOOKUP(E729,[1]ChatGPT!$1:$1048576,2,FALSE)</f>
        <v>Transport</v>
      </c>
      <c r="H729" t="str">
        <f>VLOOKUP(E729,[1]ChatGPT!$1:$1048576,3,FALSE)</f>
        <v xml:space="preserve">Petrol </v>
      </c>
      <c r="I729" t="s">
        <v>98</v>
      </c>
    </row>
    <row r="730" spans="1:9" x14ac:dyDescent="0.25">
      <c r="A730" t="s">
        <v>71</v>
      </c>
      <c r="B730" t="s">
        <v>230</v>
      </c>
      <c r="C730" t="s">
        <v>229</v>
      </c>
      <c r="D730" s="1">
        <v>45046</v>
      </c>
      <c r="E730" t="s">
        <v>136</v>
      </c>
      <c r="F730">
        <v>-3.59</v>
      </c>
      <c r="G730" t="str">
        <f>VLOOKUP(E730,[1]ChatGPT!$1:$1048576,2,FALSE)</f>
        <v>Recreational &amp; Entertainment</v>
      </c>
      <c r="H730" t="str">
        <f>VLOOKUP(E730,[1]ChatGPT!$1:$1048576,3,FALSE)</f>
        <v xml:space="preserve">Dining Out </v>
      </c>
      <c r="I730" t="str">
        <f>VLOOKUP(E730,[1]ChatGPT!$1:$1048576,4,FALSE)</f>
        <v>Dinning</v>
      </c>
    </row>
    <row r="731" spans="1:9" x14ac:dyDescent="0.25">
      <c r="A731" t="s">
        <v>71</v>
      </c>
      <c r="B731" t="s">
        <v>230</v>
      </c>
      <c r="C731" t="s">
        <v>229</v>
      </c>
      <c r="D731" s="1">
        <v>45048</v>
      </c>
      <c r="E731" t="s">
        <v>137</v>
      </c>
      <c r="F731">
        <v>-2.23</v>
      </c>
      <c r="G731" t="str">
        <f>VLOOKUP(E731,[1]ChatGPT!$1:$1048576,2,FALSE)</f>
        <v>Recreational &amp; Entertainment</v>
      </c>
      <c r="H731" t="str">
        <f>VLOOKUP(E731,[1]ChatGPT!$1:$1048576,3,FALSE)</f>
        <v xml:space="preserve">Dining Out </v>
      </c>
      <c r="I731" t="str">
        <f>VLOOKUP(E731,[1]ChatGPT!$1:$1048576,4,FALSE)</f>
        <v>Dinning</v>
      </c>
    </row>
    <row r="732" spans="1:9" x14ac:dyDescent="0.25">
      <c r="A732" t="s">
        <v>71</v>
      </c>
      <c r="B732" t="s">
        <v>230</v>
      </c>
      <c r="C732" t="s">
        <v>229</v>
      </c>
      <c r="D732" s="1">
        <v>45048</v>
      </c>
      <c r="E732" t="s">
        <v>138</v>
      </c>
      <c r="F732">
        <v>-6.9</v>
      </c>
      <c r="G732" t="str">
        <f>VLOOKUP(E732,[1]ChatGPT!$1:$1048576,2,FALSE)</f>
        <v>Other</v>
      </c>
      <c r="H732" t="str">
        <f>VLOOKUP(E732,[1]ChatGPT!$1:$1048576,3,FALSE)</f>
        <v xml:space="preserve">Other Expenses </v>
      </c>
      <c r="I732" t="str">
        <f>VLOOKUP(E732,[1]ChatGPT!$1:$1048576,4,FALSE)</f>
        <v>POST</v>
      </c>
    </row>
    <row r="733" spans="1:9" x14ac:dyDescent="0.25">
      <c r="A733" t="s">
        <v>71</v>
      </c>
      <c r="B733" t="s">
        <v>230</v>
      </c>
      <c r="C733" t="s">
        <v>229</v>
      </c>
      <c r="D733" s="1">
        <v>45048</v>
      </c>
      <c r="E733" t="s">
        <v>139</v>
      </c>
      <c r="F733">
        <v>-141.91</v>
      </c>
      <c r="G733" t="str">
        <f>VLOOKUP(E733,[1]ChatGPT!$1:$1048576,2,FALSE)</f>
        <v>Groceries</v>
      </c>
      <c r="H733" t="str">
        <f>VLOOKUP(E733,[1]ChatGPT!$1:$1048576,3,FALSE)</f>
        <v>Grocery</v>
      </c>
      <c r="I733" t="str">
        <f>VLOOKUP(E733,[1]ChatGPT!$1:$1048576,4,FALSE)</f>
        <v>Grocery</v>
      </c>
    </row>
    <row r="734" spans="1:9" x14ac:dyDescent="0.25">
      <c r="A734" t="s">
        <v>71</v>
      </c>
      <c r="B734" t="s">
        <v>230</v>
      </c>
      <c r="C734" t="s">
        <v>229</v>
      </c>
      <c r="D734" s="1">
        <v>45048</v>
      </c>
      <c r="E734" t="s">
        <v>140</v>
      </c>
      <c r="F734">
        <v>-6.28</v>
      </c>
      <c r="G734" t="s">
        <v>89</v>
      </c>
      <c r="H734" t="s">
        <v>90</v>
      </c>
      <c r="I734" t="s">
        <v>128</v>
      </c>
    </row>
    <row r="735" spans="1:9" x14ac:dyDescent="0.25">
      <c r="A735" t="s">
        <v>71</v>
      </c>
      <c r="B735" t="s">
        <v>230</v>
      </c>
      <c r="C735" t="s">
        <v>229</v>
      </c>
      <c r="D735" s="1">
        <v>45050</v>
      </c>
      <c r="E735" t="s">
        <v>108</v>
      </c>
      <c r="F735">
        <v>10.34</v>
      </c>
      <c r="G735" t="str">
        <f>VLOOKUP(E735,[1]ChatGPT!$1:$1048576,2,FALSE)</f>
        <v>Internal Transactions</v>
      </c>
      <c r="H735" t="str">
        <f>VLOOKUP(E735,[1]ChatGPT!$1:$1048576,3,FALSE)</f>
        <v>ASB</v>
      </c>
      <c r="I735" t="str">
        <f>VLOOKUP(E735,[1]ChatGPT!$1:$1048576,4,FALSE)</f>
        <v>PAYMENT RECEIVED THANK YOU</v>
      </c>
    </row>
    <row r="736" spans="1:9" x14ac:dyDescent="0.25">
      <c r="A736" t="s">
        <v>71</v>
      </c>
      <c r="B736" t="s">
        <v>230</v>
      </c>
      <c r="C736" t="s">
        <v>229</v>
      </c>
      <c r="D736" s="1">
        <v>45050</v>
      </c>
      <c r="E736" t="s">
        <v>108</v>
      </c>
      <c r="F736">
        <v>160.9</v>
      </c>
      <c r="G736" t="str">
        <f>VLOOKUP(E736,[1]ChatGPT!$1:$1048576,2,FALSE)</f>
        <v>Internal Transactions</v>
      </c>
      <c r="H736" t="str">
        <f>VLOOKUP(E736,[1]ChatGPT!$1:$1048576,3,FALSE)</f>
        <v>ASB</v>
      </c>
      <c r="I736" t="str">
        <f>VLOOKUP(E736,[1]ChatGPT!$1:$1048576,4,FALSE)</f>
        <v>PAYMENT RECEIVED THANK YOU</v>
      </c>
    </row>
    <row r="737" spans="1:9" x14ac:dyDescent="0.25">
      <c r="A737" t="s">
        <v>71</v>
      </c>
      <c r="B737" t="s">
        <v>230</v>
      </c>
      <c r="C737" t="s">
        <v>229</v>
      </c>
      <c r="D737" s="1">
        <v>45050</v>
      </c>
      <c r="E737" t="s">
        <v>141</v>
      </c>
      <c r="F737">
        <v>-13.44</v>
      </c>
      <c r="G737" t="s">
        <v>68</v>
      </c>
      <c r="H737" t="s">
        <v>69</v>
      </c>
      <c r="I737" t="s">
        <v>69</v>
      </c>
    </row>
    <row r="738" spans="1:9" x14ac:dyDescent="0.25">
      <c r="A738" t="s">
        <v>71</v>
      </c>
      <c r="B738" t="s">
        <v>230</v>
      </c>
      <c r="C738" t="s">
        <v>229</v>
      </c>
      <c r="D738" s="1">
        <v>45050</v>
      </c>
      <c r="E738" t="s">
        <v>108</v>
      </c>
      <c r="F738">
        <v>32.69</v>
      </c>
      <c r="G738" t="str">
        <f>VLOOKUP(E738,[1]ChatGPT!$1:$1048576,2,FALSE)</f>
        <v>Internal Transactions</v>
      </c>
      <c r="H738" t="str">
        <f>VLOOKUP(E738,[1]ChatGPT!$1:$1048576,3,FALSE)</f>
        <v>ASB</v>
      </c>
      <c r="I738" t="str">
        <f>VLOOKUP(E738,[1]ChatGPT!$1:$1048576,4,FALSE)</f>
        <v>PAYMENT RECEIVED THANK YOU</v>
      </c>
    </row>
    <row r="739" spans="1:9" x14ac:dyDescent="0.25">
      <c r="A739" t="s">
        <v>71</v>
      </c>
      <c r="B739" t="s">
        <v>230</v>
      </c>
      <c r="C739" t="s">
        <v>229</v>
      </c>
      <c r="D739" s="1">
        <v>45051</v>
      </c>
      <c r="E739" t="s">
        <v>108</v>
      </c>
      <c r="F739">
        <v>45.26</v>
      </c>
      <c r="G739" t="str">
        <f>VLOOKUP(E739,[1]ChatGPT!$1:$1048576,2,FALSE)</f>
        <v>Internal Transactions</v>
      </c>
      <c r="H739" t="str">
        <f>VLOOKUP(E739,[1]ChatGPT!$1:$1048576,3,FALSE)</f>
        <v>ASB</v>
      </c>
      <c r="I739" t="str">
        <f>VLOOKUP(E739,[1]ChatGPT!$1:$1048576,4,FALSE)</f>
        <v>PAYMENT RECEIVED THANK YOU</v>
      </c>
    </row>
    <row r="740" spans="1:9" x14ac:dyDescent="0.25">
      <c r="A740" t="s">
        <v>71</v>
      </c>
      <c r="B740" t="s">
        <v>230</v>
      </c>
      <c r="C740" t="s">
        <v>229</v>
      </c>
      <c r="D740" s="1">
        <v>45050</v>
      </c>
      <c r="E740" t="s">
        <v>142</v>
      </c>
      <c r="F740">
        <v>-40.69</v>
      </c>
      <c r="G740" t="str">
        <f>VLOOKUP(E740,[1]ChatGPT!$1:$1048576,2,FALSE)</f>
        <v>Transport</v>
      </c>
      <c r="H740" t="str">
        <f>VLOOKUP(E740,[1]ChatGPT!$1:$1048576,3,FALSE)</f>
        <v xml:space="preserve">Petrol </v>
      </c>
      <c r="I740" t="str">
        <f>VLOOKUP(E740,[1]ChatGPT!$1:$1048576,4,FALSE)</f>
        <v>Transport - Parking</v>
      </c>
    </row>
    <row r="741" spans="1:9" x14ac:dyDescent="0.25">
      <c r="A741" t="s">
        <v>71</v>
      </c>
      <c r="B741" t="s">
        <v>230</v>
      </c>
      <c r="C741" t="s">
        <v>229</v>
      </c>
      <c r="D741" s="1">
        <v>45050</v>
      </c>
      <c r="E741" t="s">
        <v>143</v>
      </c>
      <c r="F741">
        <v>-6.69</v>
      </c>
      <c r="G741" t="s">
        <v>76</v>
      </c>
      <c r="H741" t="s">
        <v>82</v>
      </c>
      <c r="I741" t="s">
        <v>83</v>
      </c>
    </row>
    <row r="742" spans="1:9" x14ac:dyDescent="0.25">
      <c r="A742" t="s">
        <v>71</v>
      </c>
      <c r="B742" t="s">
        <v>230</v>
      </c>
      <c r="C742" t="s">
        <v>229</v>
      </c>
      <c r="D742" s="1">
        <v>45052</v>
      </c>
      <c r="E742" t="s">
        <v>108</v>
      </c>
      <c r="F742">
        <v>2.2400000000000002</v>
      </c>
      <c r="G742" t="str">
        <f>VLOOKUP(E742,[1]ChatGPT!$1:$1048576,2,FALSE)</f>
        <v>Internal Transactions</v>
      </c>
      <c r="H742" t="str">
        <f>VLOOKUP(E742,[1]ChatGPT!$1:$1048576,3,FALSE)</f>
        <v>ASB</v>
      </c>
      <c r="I742" t="str">
        <f>VLOOKUP(E742,[1]ChatGPT!$1:$1048576,4,FALSE)</f>
        <v>PAYMENT RECEIVED THANK YOU</v>
      </c>
    </row>
    <row r="743" spans="1:9" x14ac:dyDescent="0.25">
      <c r="A743" t="s">
        <v>71</v>
      </c>
      <c r="B743" t="s">
        <v>230</v>
      </c>
      <c r="C743" t="s">
        <v>229</v>
      </c>
      <c r="D743" s="1">
        <v>45051</v>
      </c>
      <c r="E743" t="s">
        <v>105</v>
      </c>
      <c r="F743">
        <v>-1.45</v>
      </c>
      <c r="G743" t="str">
        <f>VLOOKUP(E743,[1]ChatGPT!$1:$1048576,2,FALSE)</f>
        <v>Recreational &amp; Entertainment</v>
      </c>
      <c r="H743" t="str">
        <f>VLOOKUP(E743,[1]ChatGPT!$1:$1048576,3,FALSE)</f>
        <v xml:space="preserve">Dining Out </v>
      </c>
      <c r="I743" t="str">
        <f>VLOOKUP(E743,[1]ChatGPT!$1:$1048576,4,FALSE)</f>
        <v>Dinning</v>
      </c>
    </row>
    <row r="744" spans="1:9" x14ac:dyDescent="0.25">
      <c r="A744" t="s">
        <v>71</v>
      </c>
      <c r="B744" t="s">
        <v>230</v>
      </c>
      <c r="C744" t="s">
        <v>229</v>
      </c>
      <c r="D744" s="1">
        <v>45050</v>
      </c>
      <c r="E744" t="s">
        <v>111</v>
      </c>
      <c r="F744">
        <v>-0.82</v>
      </c>
      <c r="G744" t="str">
        <f>VLOOKUP(E744,[1]ChatGPT!$1:$1048576,2,FALSE)</f>
        <v>Recreational &amp; Entertainment</v>
      </c>
      <c r="H744" t="str">
        <f>VLOOKUP(E744,[1]ChatGPT!$1:$1048576,3,FALSE)</f>
        <v xml:space="preserve">Gym </v>
      </c>
      <c r="I744" t="str">
        <f>VLOOKUP(E744,[1]ChatGPT!$1:$1048576,4,FALSE)</f>
        <v>GYM</v>
      </c>
    </row>
    <row r="745" spans="1:9" x14ac:dyDescent="0.25">
      <c r="A745" t="s">
        <v>71</v>
      </c>
      <c r="B745" t="s">
        <v>230</v>
      </c>
      <c r="C745" t="s">
        <v>229</v>
      </c>
      <c r="D745" s="1">
        <v>45052</v>
      </c>
      <c r="E745" t="s">
        <v>144</v>
      </c>
      <c r="F745">
        <v>-0.72</v>
      </c>
      <c r="G745" t="str">
        <f>VLOOKUP(E745,[1]ChatGPT!$1:$1048576,2,FALSE)</f>
        <v>Transport</v>
      </c>
      <c r="H745" t="str">
        <f>VLOOKUP(E745,[1]ChatGPT!$1:$1048576,3,FALSE)</f>
        <v xml:space="preserve">Petrol </v>
      </c>
      <c r="I745" t="str">
        <f>VLOOKUP(E745,[1]ChatGPT!$1:$1048576,4,FALSE)</f>
        <v>Transport - Parking</v>
      </c>
    </row>
    <row r="746" spans="1:9" x14ac:dyDescent="0.25">
      <c r="A746" t="s">
        <v>71</v>
      </c>
      <c r="B746" t="s">
        <v>230</v>
      </c>
      <c r="C746" t="s">
        <v>229</v>
      </c>
      <c r="D746" s="1">
        <v>45051</v>
      </c>
      <c r="E746" t="s">
        <v>113</v>
      </c>
      <c r="F746">
        <v>-15.09</v>
      </c>
      <c r="G746" t="str">
        <f>VLOOKUP(E746,[1]ChatGPT!$1:$1048576,2,FALSE)</f>
        <v>Telephone &amp; Internet</v>
      </c>
      <c r="H746" t="str">
        <f>VLOOKUP(E746,[1]ChatGPT!$1:$1048576,3,FALSE)</f>
        <v>AppleStorage</v>
      </c>
      <c r="I746" t="str">
        <f>VLOOKUP(E746,[1]ChatGPT!$1:$1048576,4,FALSE)</f>
        <v>AppleStorage</v>
      </c>
    </row>
    <row r="747" spans="1:9" x14ac:dyDescent="0.25">
      <c r="A747" t="s">
        <v>71</v>
      </c>
      <c r="B747" t="s">
        <v>230</v>
      </c>
      <c r="C747" t="s">
        <v>229</v>
      </c>
      <c r="D747" s="1">
        <v>45054</v>
      </c>
      <c r="E747" t="s">
        <v>108</v>
      </c>
      <c r="F747">
        <v>2.19</v>
      </c>
      <c r="G747" t="str">
        <f>VLOOKUP(E747,[1]ChatGPT!$1:$1048576,2,FALSE)</f>
        <v>Internal Transactions</v>
      </c>
      <c r="H747" t="str">
        <f>VLOOKUP(E747,[1]ChatGPT!$1:$1048576,3,FALSE)</f>
        <v>ASB</v>
      </c>
      <c r="I747" t="str">
        <f>VLOOKUP(E747,[1]ChatGPT!$1:$1048576,4,FALSE)</f>
        <v>PAYMENT RECEIVED THANK YOU</v>
      </c>
    </row>
    <row r="748" spans="1:9" x14ac:dyDescent="0.25">
      <c r="A748" t="s">
        <v>71</v>
      </c>
      <c r="B748" t="s">
        <v>230</v>
      </c>
      <c r="C748" t="s">
        <v>229</v>
      </c>
      <c r="D748" s="1">
        <v>45053</v>
      </c>
      <c r="E748" t="s">
        <v>145</v>
      </c>
      <c r="F748">
        <v>-7.33</v>
      </c>
      <c r="G748" t="s">
        <v>68</v>
      </c>
      <c r="H748" t="s">
        <v>69</v>
      </c>
      <c r="I748" t="s">
        <v>69</v>
      </c>
    </row>
    <row r="749" spans="1:9" x14ac:dyDescent="0.25">
      <c r="A749" t="s">
        <v>71</v>
      </c>
      <c r="B749" t="s">
        <v>230</v>
      </c>
      <c r="C749" t="s">
        <v>229</v>
      </c>
      <c r="D749" s="1">
        <v>45052</v>
      </c>
      <c r="E749" t="s">
        <v>112</v>
      </c>
      <c r="F749">
        <v>-5.49</v>
      </c>
      <c r="G749" t="str">
        <f>VLOOKUP(E749,[1]ChatGPT!$1:$1048576,2,FALSE)</f>
        <v>Insurance</v>
      </c>
      <c r="H749" t="str">
        <f>VLOOKUP(E749,[1]ChatGPT!$1:$1048576,3,FALSE)</f>
        <v>Vehicle Insurance</v>
      </c>
      <c r="I749" t="str">
        <f>VLOOKUP(E749,[1]ChatGPT!$1:$1048576,4,FALSE)</f>
        <v>Vehicle Insurance</v>
      </c>
    </row>
    <row r="750" spans="1:9" x14ac:dyDescent="0.25">
      <c r="A750" t="s">
        <v>71</v>
      </c>
      <c r="B750" t="s">
        <v>230</v>
      </c>
      <c r="C750" t="s">
        <v>229</v>
      </c>
      <c r="D750" s="1">
        <v>45055</v>
      </c>
      <c r="E750" t="s">
        <v>108</v>
      </c>
      <c r="F750">
        <v>31.41</v>
      </c>
      <c r="G750" t="str">
        <f>VLOOKUP(E750,[1]ChatGPT!$1:$1048576,2,FALSE)</f>
        <v>Internal Transactions</v>
      </c>
      <c r="H750" t="str">
        <f>VLOOKUP(E750,[1]ChatGPT!$1:$1048576,3,FALSE)</f>
        <v>ASB</v>
      </c>
      <c r="I750" t="str">
        <f>VLOOKUP(E750,[1]ChatGPT!$1:$1048576,4,FALSE)</f>
        <v>PAYMENT RECEIVED THANK YOU</v>
      </c>
    </row>
    <row r="751" spans="1:9" x14ac:dyDescent="0.25">
      <c r="A751" t="s">
        <v>71</v>
      </c>
      <c r="B751" t="s">
        <v>230</v>
      </c>
      <c r="C751" t="s">
        <v>229</v>
      </c>
      <c r="D751" s="1">
        <v>45055</v>
      </c>
      <c r="E751" t="s">
        <v>108</v>
      </c>
      <c r="F751">
        <v>63.98</v>
      </c>
      <c r="G751" t="str">
        <f>VLOOKUP(E751,[1]ChatGPT!$1:$1048576,2,FALSE)</f>
        <v>Internal Transactions</v>
      </c>
      <c r="H751" t="str">
        <f>VLOOKUP(E751,[1]ChatGPT!$1:$1048576,3,FALSE)</f>
        <v>ASB</v>
      </c>
      <c r="I751" t="str">
        <f>VLOOKUP(E751,[1]ChatGPT!$1:$1048576,4,FALSE)</f>
        <v>PAYMENT RECEIVED THANK YOU</v>
      </c>
    </row>
    <row r="752" spans="1:9" x14ac:dyDescent="0.25">
      <c r="A752" t="s">
        <v>71</v>
      </c>
      <c r="B752" t="s">
        <v>230</v>
      </c>
      <c r="C752" t="s">
        <v>229</v>
      </c>
      <c r="D752" s="1">
        <v>45055</v>
      </c>
      <c r="E752" t="s">
        <v>146</v>
      </c>
      <c r="F752">
        <v>-89.4</v>
      </c>
      <c r="G752" t="str">
        <f>VLOOKUP(E752,[1]ChatGPT!$1:$1048576,2,FALSE)</f>
        <v>Recreational &amp; Entertainment</v>
      </c>
      <c r="H752" t="str">
        <f>VLOOKUP(E752,[1]ChatGPT!$1:$1048576,3,FALSE)</f>
        <v>Entertainment</v>
      </c>
      <c r="I752" t="str">
        <f>VLOOKUP(E752,[1]ChatGPT!$1:$1048576,4,FALSE)</f>
        <v>Gift</v>
      </c>
    </row>
    <row r="753" spans="1:9" x14ac:dyDescent="0.25">
      <c r="A753" t="s">
        <v>71</v>
      </c>
      <c r="B753" t="s">
        <v>230</v>
      </c>
      <c r="C753" t="s">
        <v>229</v>
      </c>
      <c r="D753" s="1">
        <v>45056</v>
      </c>
      <c r="E753" t="s">
        <v>115</v>
      </c>
      <c r="F753">
        <v>-29.16</v>
      </c>
      <c r="G753" t="str">
        <f>VLOOKUP(E753,[1]ChatGPT!$1:$1048576,2,FALSE)</f>
        <v xml:space="preserve">8 Denning Place </v>
      </c>
      <c r="H753" t="str">
        <f>VLOOKUP(E753,[1]ChatGPT!$1:$1048576,3,FALSE)</f>
        <v xml:space="preserve">MyRentCharge </v>
      </c>
      <c r="I753" t="str">
        <f>VLOOKUP(E753,[1]ChatGPT!$1:$1048576,4,FALSE)</f>
        <v>MyRentCharge</v>
      </c>
    </row>
    <row r="754" spans="1:9" x14ac:dyDescent="0.25">
      <c r="A754" t="s">
        <v>71</v>
      </c>
      <c r="B754" t="s">
        <v>230</v>
      </c>
      <c r="C754" t="s">
        <v>229</v>
      </c>
      <c r="D754" s="1">
        <v>45056</v>
      </c>
      <c r="E754" t="s">
        <v>122</v>
      </c>
      <c r="F754">
        <v>-82.53</v>
      </c>
      <c r="G754" t="str">
        <f>VLOOKUP(E754,[1]ChatGPT!$1:$1048576,2,FALSE)</f>
        <v>Groceries</v>
      </c>
      <c r="H754" t="str">
        <f>VLOOKUP(E754,[1]ChatGPT!$1:$1048576,3,FALSE)</f>
        <v>Grocery</v>
      </c>
      <c r="I754" t="str">
        <f>VLOOKUP(E754,[1]ChatGPT!$1:$1048576,4,FALSE)</f>
        <v>Grocery</v>
      </c>
    </row>
    <row r="755" spans="1:9" x14ac:dyDescent="0.25">
      <c r="A755" t="s">
        <v>71</v>
      </c>
      <c r="B755" t="s">
        <v>230</v>
      </c>
      <c r="C755" t="s">
        <v>229</v>
      </c>
      <c r="D755" s="1">
        <v>45058</v>
      </c>
      <c r="E755" t="s">
        <v>108</v>
      </c>
      <c r="F755">
        <v>3.48</v>
      </c>
      <c r="G755" t="str">
        <f>VLOOKUP(E755,[1]ChatGPT!$1:$1048576,2,FALSE)</f>
        <v>Internal Transactions</v>
      </c>
      <c r="H755" t="str">
        <f>VLOOKUP(E755,[1]ChatGPT!$1:$1048576,3,FALSE)</f>
        <v>ASB</v>
      </c>
      <c r="I755" t="str">
        <f>VLOOKUP(E755,[1]ChatGPT!$1:$1048576,4,FALSE)</f>
        <v>PAYMENT RECEIVED THANK YOU</v>
      </c>
    </row>
    <row r="756" spans="1:9" x14ac:dyDescent="0.25">
      <c r="A756" t="s">
        <v>71</v>
      </c>
      <c r="B756" t="s">
        <v>230</v>
      </c>
      <c r="C756" t="s">
        <v>229</v>
      </c>
      <c r="D756" s="1">
        <v>45058</v>
      </c>
      <c r="E756" t="s">
        <v>108</v>
      </c>
      <c r="F756">
        <v>43.92</v>
      </c>
      <c r="G756" t="str">
        <f>VLOOKUP(E756,[1]ChatGPT!$1:$1048576,2,FALSE)</f>
        <v>Internal Transactions</v>
      </c>
      <c r="H756" t="str">
        <f>VLOOKUP(E756,[1]ChatGPT!$1:$1048576,3,FALSE)</f>
        <v>ASB</v>
      </c>
      <c r="I756" t="str">
        <f>VLOOKUP(E756,[1]ChatGPT!$1:$1048576,4,FALSE)</f>
        <v>PAYMENT RECEIVED THANK YOU</v>
      </c>
    </row>
    <row r="757" spans="1:9" x14ac:dyDescent="0.25">
      <c r="A757" t="s">
        <v>71</v>
      </c>
      <c r="B757" t="s">
        <v>230</v>
      </c>
      <c r="C757" t="s">
        <v>229</v>
      </c>
      <c r="D757" s="1">
        <v>45057</v>
      </c>
      <c r="E757" t="s">
        <v>111</v>
      </c>
      <c r="F757">
        <v>-2.59</v>
      </c>
      <c r="G757" t="str">
        <f>VLOOKUP(E757,[1]ChatGPT!$1:$1048576,2,FALSE)</f>
        <v>Recreational &amp; Entertainment</v>
      </c>
      <c r="H757" t="str">
        <f>VLOOKUP(E757,[1]ChatGPT!$1:$1048576,3,FALSE)</f>
        <v xml:space="preserve">Gym </v>
      </c>
      <c r="I757" t="str">
        <f>VLOOKUP(E757,[1]ChatGPT!$1:$1048576,4,FALSE)</f>
        <v>GYM</v>
      </c>
    </row>
    <row r="758" spans="1:9" x14ac:dyDescent="0.25">
      <c r="A758" t="s">
        <v>71</v>
      </c>
      <c r="B758" t="s">
        <v>230</v>
      </c>
      <c r="C758" t="s">
        <v>229</v>
      </c>
      <c r="D758" s="1">
        <v>45058</v>
      </c>
      <c r="E758" t="s">
        <v>114</v>
      </c>
      <c r="F758">
        <v>-29.29</v>
      </c>
      <c r="G758" t="str">
        <f>VLOOKUP(E758,[1]ChatGPT!$1:$1048576,2,FALSE)</f>
        <v xml:space="preserve">8 Denning Place </v>
      </c>
      <c r="H758" t="s">
        <v>96</v>
      </c>
      <c r="I758" t="str">
        <f>VLOOKUP(E758,[1]ChatGPT!$1:$1048576,4,FALSE)</f>
        <v>Home Expense</v>
      </c>
    </row>
    <row r="759" spans="1:9" x14ac:dyDescent="0.25">
      <c r="A759" t="s">
        <v>71</v>
      </c>
      <c r="B759" t="s">
        <v>230</v>
      </c>
      <c r="C759" t="s">
        <v>229</v>
      </c>
      <c r="D759" s="1">
        <v>45058</v>
      </c>
      <c r="E759" t="s">
        <v>139</v>
      </c>
      <c r="F759">
        <v>-5.4</v>
      </c>
      <c r="G759" t="str">
        <f>VLOOKUP(E759,[1]ChatGPT!$1:$1048576,2,FALSE)</f>
        <v>Groceries</v>
      </c>
      <c r="H759" t="str">
        <f>VLOOKUP(E759,[1]ChatGPT!$1:$1048576,3,FALSE)</f>
        <v>Grocery</v>
      </c>
      <c r="I759" t="str">
        <f>VLOOKUP(E759,[1]ChatGPT!$1:$1048576,4,FALSE)</f>
        <v>Grocery</v>
      </c>
    </row>
    <row r="760" spans="1:9" x14ac:dyDescent="0.25">
      <c r="A760" t="s">
        <v>71</v>
      </c>
      <c r="B760" t="s">
        <v>230</v>
      </c>
      <c r="C760" t="s">
        <v>229</v>
      </c>
      <c r="D760" s="1">
        <v>45059</v>
      </c>
      <c r="E760" t="s">
        <v>135</v>
      </c>
      <c r="F760">
        <v>-70.52</v>
      </c>
      <c r="G760" t="str">
        <f>VLOOKUP(E760,[1]ChatGPT!$1:$1048576,2,FALSE)</f>
        <v>Transport</v>
      </c>
      <c r="H760" t="str">
        <f>VLOOKUP(E760,[1]ChatGPT!$1:$1048576,3,FALSE)</f>
        <v xml:space="preserve">Petrol </v>
      </c>
      <c r="I760" t="s">
        <v>98</v>
      </c>
    </row>
    <row r="761" spans="1:9" x14ac:dyDescent="0.25">
      <c r="A761" t="s">
        <v>71</v>
      </c>
      <c r="B761" t="s">
        <v>230</v>
      </c>
      <c r="C761" t="s">
        <v>229</v>
      </c>
      <c r="D761" s="1">
        <v>45061</v>
      </c>
      <c r="E761" t="s">
        <v>108</v>
      </c>
      <c r="F761">
        <v>215.17</v>
      </c>
      <c r="G761" t="str">
        <f>VLOOKUP(E761,[1]ChatGPT!$1:$1048576,2,FALSE)</f>
        <v>Internal Transactions</v>
      </c>
      <c r="H761" t="str">
        <f>VLOOKUP(E761,[1]ChatGPT!$1:$1048576,3,FALSE)</f>
        <v>ASB</v>
      </c>
      <c r="I761" t="str">
        <f>VLOOKUP(E761,[1]ChatGPT!$1:$1048576,4,FALSE)</f>
        <v>PAYMENT RECEIVED THANK YOU</v>
      </c>
    </row>
    <row r="762" spans="1:9" x14ac:dyDescent="0.25">
      <c r="A762" t="s">
        <v>71</v>
      </c>
      <c r="B762" t="s">
        <v>230</v>
      </c>
      <c r="C762" t="s">
        <v>229</v>
      </c>
      <c r="D762" s="1">
        <v>45060</v>
      </c>
      <c r="E762" t="s">
        <v>116</v>
      </c>
      <c r="F762">
        <v>-23.16</v>
      </c>
      <c r="G762" t="str">
        <f>VLOOKUP(E762,[1]ChatGPT!$1:$1048576,2,FALSE)</f>
        <v>Transport</v>
      </c>
      <c r="H762" t="str">
        <f>VLOOKUP(E762,[1]ChatGPT!$1:$1048576,3,FALSE)</f>
        <v xml:space="preserve">Petrol </v>
      </c>
      <c r="I762" t="str">
        <f>VLOOKUP(E762,[1]ChatGPT!$1:$1048576,4,FALSE)</f>
        <v>Transport - Parking</v>
      </c>
    </row>
    <row r="763" spans="1:9" x14ac:dyDescent="0.25">
      <c r="A763" t="s">
        <v>71</v>
      </c>
      <c r="B763" t="s">
        <v>230</v>
      </c>
      <c r="C763" t="s">
        <v>229</v>
      </c>
      <c r="D763" s="1">
        <v>45061</v>
      </c>
      <c r="E763" t="s">
        <v>147</v>
      </c>
      <c r="F763">
        <v>-28.31</v>
      </c>
      <c r="G763" t="str">
        <f>VLOOKUP(E763,[1]ChatGPT!$1:$1048576,2,FALSE)</f>
        <v>Medical</v>
      </c>
      <c r="H763" t="str">
        <f>VLOOKUP(E763,[1]ChatGPT!$1:$1048576,3,FALSE)</f>
        <v xml:space="preserve">Medical &amp; Health </v>
      </c>
      <c r="I763" t="str">
        <f>VLOOKUP(E763,[1]ChatGPT!$1:$1048576,4,FALSE)</f>
        <v>Medical</v>
      </c>
    </row>
    <row r="764" spans="1:9" x14ac:dyDescent="0.25">
      <c r="A764" t="s">
        <v>71</v>
      </c>
      <c r="B764" t="s">
        <v>230</v>
      </c>
      <c r="C764" t="s">
        <v>229</v>
      </c>
      <c r="D764" s="1">
        <v>45063</v>
      </c>
      <c r="E764" t="s">
        <v>108</v>
      </c>
      <c r="F764">
        <v>58.95</v>
      </c>
      <c r="G764" t="str">
        <f>VLOOKUP(E764,[1]ChatGPT!$1:$1048576,2,FALSE)</f>
        <v>Internal Transactions</v>
      </c>
      <c r="H764" t="str">
        <f>VLOOKUP(E764,[1]ChatGPT!$1:$1048576,3,FALSE)</f>
        <v>ASB</v>
      </c>
      <c r="I764" t="str">
        <f>VLOOKUP(E764,[1]ChatGPT!$1:$1048576,4,FALSE)</f>
        <v>PAYMENT RECEIVED THANK YOU</v>
      </c>
    </row>
    <row r="765" spans="1:9" x14ac:dyDescent="0.25">
      <c r="A765" t="s">
        <v>71</v>
      </c>
      <c r="B765" t="s">
        <v>230</v>
      </c>
      <c r="C765" t="s">
        <v>229</v>
      </c>
      <c r="D765" s="1">
        <v>45065</v>
      </c>
      <c r="E765" t="s">
        <v>108</v>
      </c>
      <c r="F765">
        <v>4.2300000000000004</v>
      </c>
      <c r="G765" t="str">
        <f>VLOOKUP(E765,[1]ChatGPT!$1:$1048576,2,FALSE)</f>
        <v>Internal Transactions</v>
      </c>
      <c r="H765" t="str">
        <f>VLOOKUP(E765,[1]ChatGPT!$1:$1048576,3,FALSE)</f>
        <v>ASB</v>
      </c>
      <c r="I765" t="str">
        <f>VLOOKUP(E765,[1]ChatGPT!$1:$1048576,4,FALSE)</f>
        <v>PAYMENT RECEIVED THANK YOU</v>
      </c>
    </row>
    <row r="766" spans="1:9" x14ac:dyDescent="0.25">
      <c r="A766" t="s">
        <v>71</v>
      </c>
      <c r="B766" t="s">
        <v>230</v>
      </c>
      <c r="C766" t="s">
        <v>229</v>
      </c>
      <c r="D766" s="1">
        <v>45066</v>
      </c>
      <c r="E766" t="s">
        <v>108</v>
      </c>
      <c r="F766">
        <v>0.52</v>
      </c>
      <c r="G766" t="str">
        <f>VLOOKUP(E766,[1]ChatGPT!$1:$1048576,2,FALSE)</f>
        <v>Internal Transactions</v>
      </c>
      <c r="H766" t="str">
        <f>VLOOKUP(E766,[1]ChatGPT!$1:$1048576,3,FALSE)</f>
        <v>ASB</v>
      </c>
      <c r="I766" t="str">
        <f>VLOOKUP(E766,[1]ChatGPT!$1:$1048576,4,FALSE)</f>
        <v>PAYMENT RECEIVED THANK YOU</v>
      </c>
    </row>
    <row r="767" spans="1:9" x14ac:dyDescent="0.25">
      <c r="A767" t="s">
        <v>71</v>
      </c>
      <c r="B767" t="s">
        <v>230</v>
      </c>
      <c r="C767" t="s">
        <v>229</v>
      </c>
      <c r="D767" s="1">
        <v>45064</v>
      </c>
      <c r="E767" t="s">
        <v>148</v>
      </c>
      <c r="F767">
        <v>-5.82</v>
      </c>
      <c r="G767" t="str">
        <f>VLOOKUP(E767,[1]ChatGPT!$1:$1048576,2,FALSE)</f>
        <v>Personal Care</v>
      </c>
      <c r="H767" t="str">
        <f>VLOOKUP(E767,[1]ChatGPT!$1:$1048576,3,FALSE)</f>
        <v>Clothing &amp; Footwear</v>
      </c>
      <c r="I767" t="str">
        <f>VLOOKUP(E767,[1]ChatGPT!$1:$1048576,4,FALSE)</f>
        <v>Shopping - Online</v>
      </c>
    </row>
    <row r="768" spans="1:9" x14ac:dyDescent="0.25">
      <c r="A768" t="s">
        <v>71</v>
      </c>
      <c r="B768" t="s">
        <v>230</v>
      </c>
      <c r="C768" t="s">
        <v>229</v>
      </c>
      <c r="D768" s="1">
        <v>45067</v>
      </c>
      <c r="E768" t="s">
        <v>108</v>
      </c>
      <c r="F768">
        <v>30.94</v>
      </c>
      <c r="G768" t="str">
        <f>VLOOKUP(E768,[1]ChatGPT!$1:$1048576,2,FALSE)</f>
        <v>Internal Transactions</v>
      </c>
      <c r="H768" t="str">
        <f>VLOOKUP(E768,[1]ChatGPT!$1:$1048576,3,FALSE)</f>
        <v>ASB</v>
      </c>
      <c r="I768" t="str">
        <f>VLOOKUP(E768,[1]ChatGPT!$1:$1048576,4,FALSE)</f>
        <v>PAYMENT RECEIVED THANK YOU</v>
      </c>
    </row>
    <row r="769" spans="1:9" x14ac:dyDescent="0.25">
      <c r="A769" t="s">
        <v>71</v>
      </c>
      <c r="B769" t="s">
        <v>230</v>
      </c>
      <c r="C769" t="s">
        <v>229</v>
      </c>
      <c r="D769" s="1">
        <v>45067</v>
      </c>
      <c r="E769" t="s">
        <v>116</v>
      </c>
      <c r="F769">
        <v>-10.37</v>
      </c>
      <c r="G769" t="str">
        <f>VLOOKUP(E769,[1]ChatGPT!$1:$1048576,2,FALSE)</f>
        <v>Transport</v>
      </c>
      <c r="H769" t="str">
        <f>VLOOKUP(E769,[1]ChatGPT!$1:$1048576,3,FALSE)</f>
        <v xml:space="preserve">Petrol </v>
      </c>
      <c r="I769" t="str">
        <f>VLOOKUP(E769,[1]ChatGPT!$1:$1048576,4,FALSE)</f>
        <v>Transport - Parking</v>
      </c>
    </row>
    <row r="770" spans="1:9" x14ac:dyDescent="0.25">
      <c r="A770" t="s">
        <v>71</v>
      </c>
      <c r="B770" t="s">
        <v>230</v>
      </c>
      <c r="C770" t="s">
        <v>229</v>
      </c>
      <c r="D770" s="1">
        <v>45067</v>
      </c>
      <c r="E770" t="s">
        <v>149</v>
      </c>
      <c r="F770">
        <v>-30.37</v>
      </c>
      <c r="G770" t="str">
        <f>VLOOKUP(E770,[1]ChatGPT!$1:$1048576,2,FALSE)</f>
        <v>Recreational &amp; Entertainment</v>
      </c>
      <c r="H770" t="str">
        <f>VLOOKUP(E770,[1]ChatGPT!$1:$1048576,3,FALSE)</f>
        <v xml:space="preserve">Dining Out </v>
      </c>
      <c r="I770" t="str">
        <f>VLOOKUP(E770,[1]ChatGPT!$1:$1048576,4,FALSE)</f>
        <v>Dinning</v>
      </c>
    </row>
    <row r="771" spans="1:9" x14ac:dyDescent="0.25">
      <c r="A771" t="s">
        <v>71</v>
      </c>
      <c r="B771" t="s">
        <v>230</v>
      </c>
      <c r="C771" t="s">
        <v>229</v>
      </c>
      <c r="D771" s="1">
        <v>45067</v>
      </c>
      <c r="E771" t="s">
        <v>139</v>
      </c>
      <c r="F771">
        <v>-88.47</v>
      </c>
      <c r="G771" t="str">
        <f>VLOOKUP(E771,[1]ChatGPT!$1:$1048576,2,FALSE)</f>
        <v>Groceries</v>
      </c>
      <c r="H771" t="str">
        <f>VLOOKUP(E771,[1]ChatGPT!$1:$1048576,3,FALSE)</f>
        <v>Grocery</v>
      </c>
      <c r="I771" t="str">
        <f>VLOOKUP(E771,[1]ChatGPT!$1:$1048576,4,FALSE)</f>
        <v>Grocery</v>
      </c>
    </row>
    <row r="772" spans="1:9" x14ac:dyDescent="0.25">
      <c r="A772" t="s">
        <v>71</v>
      </c>
      <c r="B772" t="s">
        <v>230</v>
      </c>
      <c r="C772" t="s">
        <v>229</v>
      </c>
      <c r="D772" s="1">
        <v>45067</v>
      </c>
      <c r="E772" t="s">
        <v>150</v>
      </c>
      <c r="F772">
        <v>-43.82</v>
      </c>
      <c r="G772" t="str">
        <f>VLOOKUP(E772,[1]ChatGPT!$1:$1048576,2,FALSE)</f>
        <v xml:space="preserve">8 Denning Place </v>
      </c>
      <c r="H772" t="s">
        <v>96</v>
      </c>
      <c r="I772" t="str">
        <f>VLOOKUP(E772,[1]ChatGPT!$1:$1048576,4,FALSE)</f>
        <v>Home Expense</v>
      </c>
    </row>
    <row r="773" spans="1:9" x14ac:dyDescent="0.25">
      <c r="A773" t="s">
        <v>71</v>
      </c>
      <c r="B773" t="s">
        <v>230</v>
      </c>
      <c r="C773" t="s">
        <v>229</v>
      </c>
      <c r="D773" s="1">
        <v>45067</v>
      </c>
      <c r="E773" t="s">
        <v>151</v>
      </c>
      <c r="F773">
        <v>-15.77</v>
      </c>
      <c r="G773" t="str">
        <f>VLOOKUP(E773,[1]ChatGPT!$1:$1048576,2,FALSE)</f>
        <v>Groceries</v>
      </c>
      <c r="H773" t="str">
        <f>VLOOKUP(E773,[1]ChatGPT!$1:$1048576,3,FALSE)</f>
        <v>Grocery</v>
      </c>
      <c r="I773" t="str">
        <f>VLOOKUP(E773,[1]ChatGPT!$1:$1048576,4,FALSE)</f>
        <v>Grocery</v>
      </c>
    </row>
    <row r="774" spans="1:9" x14ac:dyDescent="0.25">
      <c r="A774" t="s">
        <v>71</v>
      </c>
      <c r="B774" t="s">
        <v>230</v>
      </c>
      <c r="C774" t="s">
        <v>229</v>
      </c>
      <c r="D774" s="1">
        <v>45066</v>
      </c>
      <c r="E774" t="s">
        <v>152</v>
      </c>
      <c r="F774">
        <v>-0.85</v>
      </c>
      <c r="G774" t="str">
        <f>VLOOKUP(E774,[1]ChatGPT!$1:$1048576,2,FALSE)</f>
        <v>Recreational &amp; Entertainment</v>
      </c>
      <c r="H774" t="str">
        <f>VLOOKUP(E774,[1]ChatGPT!$1:$1048576,3,FALSE)</f>
        <v xml:space="preserve">Dining Out </v>
      </c>
      <c r="I774" t="str">
        <f>VLOOKUP(E774,[1]ChatGPT!$1:$1048576,4,FALSE)</f>
        <v>Dinning</v>
      </c>
    </row>
    <row r="775" spans="1:9" x14ac:dyDescent="0.25">
      <c r="A775" t="s">
        <v>71</v>
      </c>
      <c r="B775" t="s">
        <v>230</v>
      </c>
      <c r="C775" t="s">
        <v>229</v>
      </c>
      <c r="D775" s="1">
        <v>45068</v>
      </c>
      <c r="E775" t="s">
        <v>108</v>
      </c>
      <c r="F775">
        <v>301.56</v>
      </c>
      <c r="G775" t="str">
        <f>VLOOKUP(E775,[1]ChatGPT!$1:$1048576,2,FALSE)</f>
        <v>Internal Transactions</v>
      </c>
      <c r="H775" t="str">
        <f>VLOOKUP(E775,[1]ChatGPT!$1:$1048576,3,FALSE)</f>
        <v>ASB</v>
      </c>
      <c r="I775" t="str">
        <f>VLOOKUP(E775,[1]ChatGPT!$1:$1048576,4,FALSE)</f>
        <v>PAYMENT RECEIVED THANK YOU</v>
      </c>
    </row>
    <row r="776" spans="1:9" x14ac:dyDescent="0.25">
      <c r="A776" t="s">
        <v>71</v>
      </c>
      <c r="B776" t="s">
        <v>230</v>
      </c>
      <c r="C776" t="s">
        <v>229</v>
      </c>
      <c r="D776" s="1">
        <v>45070</v>
      </c>
      <c r="E776" t="s">
        <v>108</v>
      </c>
      <c r="F776">
        <v>182.59</v>
      </c>
      <c r="G776" t="str">
        <f>VLOOKUP(E776,[1]ChatGPT!$1:$1048576,2,FALSE)</f>
        <v>Internal Transactions</v>
      </c>
      <c r="H776" t="str">
        <f>VLOOKUP(E776,[1]ChatGPT!$1:$1048576,3,FALSE)</f>
        <v>ASB</v>
      </c>
      <c r="I776" t="str">
        <f>VLOOKUP(E776,[1]ChatGPT!$1:$1048576,4,FALSE)</f>
        <v>PAYMENT RECEIVED THANK YOU</v>
      </c>
    </row>
    <row r="777" spans="1:9" x14ac:dyDescent="0.25">
      <c r="A777" t="s">
        <v>71</v>
      </c>
      <c r="B777" t="s">
        <v>230</v>
      </c>
      <c r="C777" t="s">
        <v>229</v>
      </c>
      <c r="D777" s="1">
        <v>45069</v>
      </c>
      <c r="E777" t="s">
        <v>153</v>
      </c>
      <c r="F777">
        <v>-1.99</v>
      </c>
      <c r="G777" t="str">
        <f>VLOOKUP(E777,[1]ChatGPT!$1:$1048576,2,FALSE)</f>
        <v>Recreational &amp; Entertainment</v>
      </c>
      <c r="H777" t="str">
        <f>VLOOKUP(E777,[1]ChatGPT!$1:$1048576,3,FALSE)</f>
        <v>Entertainment</v>
      </c>
      <c r="I777" t="str">
        <f>VLOOKUP(E777,[1]ChatGPT!$1:$1048576,4,FALSE)</f>
        <v>Vape</v>
      </c>
    </row>
    <row r="778" spans="1:9" x14ac:dyDescent="0.25">
      <c r="A778" t="s">
        <v>71</v>
      </c>
      <c r="B778" t="s">
        <v>230</v>
      </c>
      <c r="C778" t="s">
        <v>229</v>
      </c>
      <c r="D778" s="1">
        <v>45072</v>
      </c>
      <c r="E778" t="s">
        <v>108</v>
      </c>
      <c r="F778">
        <v>38.270000000000003</v>
      </c>
      <c r="G778" t="str">
        <f>VLOOKUP(E778,[1]ChatGPT!$1:$1048576,2,FALSE)</f>
        <v>Internal Transactions</v>
      </c>
      <c r="H778" t="str">
        <f>VLOOKUP(E778,[1]ChatGPT!$1:$1048576,3,FALSE)</f>
        <v>ASB</v>
      </c>
      <c r="I778" t="str">
        <f>VLOOKUP(E778,[1]ChatGPT!$1:$1048576,4,FALSE)</f>
        <v>PAYMENT RECEIVED THANK YOU</v>
      </c>
    </row>
    <row r="779" spans="1:9" x14ac:dyDescent="0.25">
      <c r="A779" t="s">
        <v>71</v>
      </c>
      <c r="B779" t="s">
        <v>230</v>
      </c>
      <c r="C779" t="s">
        <v>229</v>
      </c>
      <c r="D779" s="1">
        <v>45071</v>
      </c>
      <c r="E779" t="s">
        <v>154</v>
      </c>
      <c r="F779">
        <v>-7.57</v>
      </c>
      <c r="G779" t="s">
        <v>68</v>
      </c>
      <c r="H779" t="s">
        <v>69</v>
      </c>
      <c r="I779" t="s">
        <v>69</v>
      </c>
    </row>
    <row r="780" spans="1:9" x14ac:dyDescent="0.25">
      <c r="A780" t="s">
        <v>71</v>
      </c>
      <c r="B780" t="s">
        <v>230</v>
      </c>
      <c r="C780" t="s">
        <v>229</v>
      </c>
      <c r="D780" s="1">
        <v>45074</v>
      </c>
      <c r="E780" t="s">
        <v>116</v>
      </c>
      <c r="F780">
        <v>-4.5</v>
      </c>
      <c r="G780" t="str">
        <f>VLOOKUP(E780,[1]ChatGPT!$1:$1048576,2,FALSE)</f>
        <v>Transport</v>
      </c>
      <c r="H780" t="str">
        <f>VLOOKUP(E780,[1]ChatGPT!$1:$1048576,3,FALSE)</f>
        <v xml:space="preserve">Petrol </v>
      </c>
      <c r="I780" t="str">
        <f>VLOOKUP(E780,[1]ChatGPT!$1:$1048576,4,FALSE)</f>
        <v>Transport - Parking</v>
      </c>
    </row>
    <row r="781" spans="1:9" x14ac:dyDescent="0.25">
      <c r="A781" t="s">
        <v>71</v>
      </c>
      <c r="B781" t="s">
        <v>230</v>
      </c>
      <c r="C781" t="s">
        <v>229</v>
      </c>
      <c r="D781" s="1">
        <v>45078</v>
      </c>
      <c r="E781" t="s">
        <v>108</v>
      </c>
      <c r="F781">
        <v>25.58</v>
      </c>
      <c r="G781" t="str">
        <f>VLOOKUP(E781,[1]ChatGPT!$1:$1048576,2,FALSE)</f>
        <v>Internal Transactions</v>
      </c>
      <c r="H781" t="str">
        <f>VLOOKUP(E781,[1]ChatGPT!$1:$1048576,3,FALSE)</f>
        <v>ASB</v>
      </c>
      <c r="I781" t="str">
        <f>VLOOKUP(E781,[1]ChatGPT!$1:$1048576,4,FALSE)</f>
        <v>PAYMENT RECEIVED THANK YOU</v>
      </c>
    </row>
    <row r="782" spans="1:9" x14ac:dyDescent="0.25">
      <c r="A782" t="s">
        <v>71</v>
      </c>
      <c r="B782" t="s">
        <v>230</v>
      </c>
      <c r="C782" t="s">
        <v>229</v>
      </c>
      <c r="D782" s="1">
        <v>45078</v>
      </c>
      <c r="E782" t="s">
        <v>102</v>
      </c>
      <c r="F782">
        <v>-59.21</v>
      </c>
      <c r="G782" t="str">
        <f>VLOOKUP(E782,[1]ChatGPT!$1:$1048576,2,FALSE)</f>
        <v>Transport</v>
      </c>
      <c r="H782" t="str">
        <f>VLOOKUP(E782,[1]ChatGPT!$1:$1048576,3,FALSE)</f>
        <v xml:space="preserve">Petrol </v>
      </c>
      <c r="I782" t="str">
        <f>VLOOKUP(E782,[1]ChatGPT!$1:$1048576,4,FALSE)</f>
        <v>Transport - Fuel</v>
      </c>
    </row>
    <row r="783" spans="1:9" x14ac:dyDescent="0.25">
      <c r="A783" t="s">
        <v>71</v>
      </c>
      <c r="B783" t="s">
        <v>230</v>
      </c>
      <c r="C783" t="s">
        <v>229</v>
      </c>
      <c r="D783" s="1">
        <v>45082</v>
      </c>
      <c r="E783" t="s">
        <v>108</v>
      </c>
      <c r="F783">
        <v>23.17</v>
      </c>
      <c r="G783" t="str">
        <f>VLOOKUP(E783,[1]ChatGPT!$1:$1048576,2,FALSE)</f>
        <v>Internal Transactions</v>
      </c>
      <c r="H783" t="str">
        <f>VLOOKUP(E783,[1]ChatGPT!$1:$1048576,3,FALSE)</f>
        <v>ASB</v>
      </c>
      <c r="I783" t="str">
        <f>VLOOKUP(E783,[1]ChatGPT!$1:$1048576,4,FALSE)</f>
        <v>PAYMENT RECEIVED THANK YOU</v>
      </c>
    </row>
    <row r="784" spans="1:9" x14ac:dyDescent="0.25">
      <c r="A784" t="s">
        <v>71</v>
      </c>
      <c r="B784" t="s">
        <v>230</v>
      </c>
      <c r="C784" t="s">
        <v>229</v>
      </c>
      <c r="D784" s="1">
        <v>45081</v>
      </c>
      <c r="E784" t="s">
        <v>155</v>
      </c>
      <c r="F784">
        <v>-11.18</v>
      </c>
      <c r="G784" t="s">
        <v>76</v>
      </c>
      <c r="H784" t="s">
        <v>87</v>
      </c>
      <c r="I784" t="s">
        <v>88</v>
      </c>
    </row>
    <row r="785" spans="1:9" x14ac:dyDescent="0.25">
      <c r="A785" t="s">
        <v>71</v>
      </c>
      <c r="B785" t="s">
        <v>230</v>
      </c>
      <c r="C785" t="s">
        <v>229</v>
      </c>
      <c r="D785" s="1">
        <v>45081</v>
      </c>
      <c r="E785" t="s">
        <v>86</v>
      </c>
      <c r="F785">
        <v>-0.65</v>
      </c>
      <c r="G785" t="str">
        <f>VLOOKUP(E785,[1]ChatGPT!$1:$1048576,2,FALSE)</f>
        <v>Other</v>
      </c>
      <c r="H785" t="str">
        <f>VLOOKUP(E785,[1]ChatGPT!$1:$1048576,3,FALSE)</f>
        <v xml:space="preserve">Other Expenses </v>
      </c>
      <c r="I785" t="str">
        <f>VLOOKUP(E785,[1]ChatGPT!$1:$1048576,4,FALSE)</f>
        <v>OFFSHORE SERVICE MARGINS</v>
      </c>
    </row>
    <row r="786" spans="1:9" x14ac:dyDescent="0.25">
      <c r="A786" t="s">
        <v>71</v>
      </c>
      <c r="B786" t="s">
        <v>230</v>
      </c>
      <c r="C786" t="s">
        <v>229</v>
      </c>
      <c r="D786" s="1">
        <v>45085</v>
      </c>
      <c r="E786" t="s">
        <v>108</v>
      </c>
      <c r="F786">
        <v>2.84</v>
      </c>
      <c r="G786" t="str">
        <f>VLOOKUP(E786,[1]ChatGPT!$1:$1048576,2,FALSE)</f>
        <v>Internal Transactions</v>
      </c>
      <c r="H786" t="str">
        <f>VLOOKUP(E786,[1]ChatGPT!$1:$1048576,3,FALSE)</f>
        <v>ASB</v>
      </c>
      <c r="I786" t="str">
        <f>VLOOKUP(E786,[1]ChatGPT!$1:$1048576,4,FALSE)</f>
        <v>PAYMENT RECEIVED THANK YOU</v>
      </c>
    </row>
    <row r="787" spans="1:9" x14ac:dyDescent="0.25">
      <c r="A787" t="s">
        <v>71</v>
      </c>
      <c r="B787" t="s">
        <v>230</v>
      </c>
      <c r="C787" t="s">
        <v>229</v>
      </c>
      <c r="D787" s="1">
        <v>45084</v>
      </c>
      <c r="E787" t="s">
        <v>156</v>
      </c>
      <c r="F787">
        <v>-5.44</v>
      </c>
      <c r="G787" t="s">
        <v>76</v>
      </c>
      <c r="H787" t="s">
        <v>87</v>
      </c>
      <c r="I787" t="s">
        <v>88</v>
      </c>
    </row>
    <row r="788" spans="1:9" x14ac:dyDescent="0.25">
      <c r="A788" t="s">
        <v>71</v>
      </c>
      <c r="B788" t="s">
        <v>230</v>
      </c>
      <c r="C788" t="s">
        <v>229</v>
      </c>
      <c r="D788" s="1">
        <v>45084</v>
      </c>
      <c r="E788" t="s">
        <v>86</v>
      </c>
      <c r="F788">
        <v>-0.21</v>
      </c>
      <c r="G788" t="str">
        <f>VLOOKUP(E788,[1]ChatGPT!$1:$1048576,2,FALSE)</f>
        <v>Other</v>
      </c>
      <c r="H788" t="str">
        <f>VLOOKUP(E788,[1]ChatGPT!$1:$1048576,3,FALSE)</f>
        <v xml:space="preserve">Other Expenses </v>
      </c>
      <c r="I788" t="str">
        <f>VLOOKUP(E788,[1]ChatGPT!$1:$1048576,4,FALSE)</f>
        <v>OFFSHORE SERVICE MARGINS</v>
      </c>
    </row>
    <row r="789" spans="1:9" x14ac:dyDescent="0.25">
      <c r="A789" t="s">
        <v>71</v>
      </c>
      <c r="B789" t="s">
        <v>230</v>
      </c>
      <c r="C789" t="s">
        <v>229</v>
      </c>
      <c r="D789" s="1">
        <v>45087</v>
      </c>
      <c r="E789" t="s">
        <v>115</v>
      </c>
      <c r="F789">
        <v>-67.5</v>
      </c>
      <c r="G789" t="str">
        <f>VLOOKUP(E789,[1]ChatGPT!$1:$1048576,2,FALSE)</f>
        <v xml:space="preserve">8 Denning Place </v>
      </c>
      <c r="H789" t="str">
        <f>VLOOKUP(E789,[1]ChatGPT!$1:$1048576,3,FALSE)</f>
        <v xml:space="preserve">MyRentCharge </v>
      </c>
      <c r="I789" t="str">
        <f>VLOOKUP(E789,[1]ChatGPT!$1:$1048576,4,FALSE)</f>
        <v>MyRentCharge</v>
      </c>
    </row>
    <row r="790" spans="1:9" x14ac:dyDescent="0.25">
      <c r="A790" t="s">
        <v>71</v>
      </c>
      <c r="B790" t="s">
        <v>230</v>
      </c>
      <c r="C790" t="s">
        <v>229</v>
      </c>
      <c r="D790" s="1">
        <v>45090</v>
      </c>
      <c r="E790" t="s">
        <v>108</v>
      </c>
      <c r="F790">
        <v>43.7</v>
      </c>
      <c r="G790" t="str">
        <f>VLOOKUP(E790,[1]ChatGPT!$1:$1048576,2,FALSE)</f>
        <v>Internal Transactions</v>
      </c>
      <c r="H790" t="str">
        <f>VLOOKUP(E790,[1]ChatGPT!$1:$1048576,3,FALSE)</f>
        <v>ASB</v>
      </c>
      <c r="I790" t="str">
        <f>VLOOKUP(E790,[1]ChatGPT!$1:$1048576,4,FALSE)</f>
        <v>PAYMENT RECEIVED THANK YOU</v>
      </c>
    </row>
    <row r="791" spans="1:9" x14ac:dyDescent="0.25">
      <c r="A791" t="s">
        <v>71</v>
      </c>
      <c r="B791" t="s">
        <v>230</v>
      </c>
      <c r="C791" t="s">
        <v>229</v>
      </c>
      <c r="D791" s="1">
        <v>45098</v>
      </c>
      <c r="E791" t="s">
        <v>108</v>
      </c>
      <c r="F791">
        <v>1665.18</v>
      </c>
      <c r="G791" t="str">
        <f>VLOOKUP(E791,[1]ChatGPT!$1:$1048576,2,FALSE)</f>
        <v>Internal Transactions</v>
      </c>
      <c r="H791" t="str">
        <f>VLOOKUP(E791,[1]ChatGPT!$1:$1048576,3,FALSE)</f>
        <v>ASB</v>
      </c>
      <c r="I791" t="str">
        <f>VLOOKUP(E791,[1]ChatGPT!$1:$1048576,4,FALSE)</f>
        <v>PAYMENT RECEIVED THANK YOU</v>
      </c>
    </row>
    <row r="792" spans="1:9" x14ac:dyDescent="0.25">
      <c r="A792" t="s">
        <v>71</v>
      </c>
      <c r="B792" t="s">
        <v>230</v>
      </c>
      <c r="C792" t="s">
        <v>229</v>
      </c>
      <c r="D792" s="1">
        <v>45102</v>
      </c>
      <c r="E792" t="s">
        <v>108</v>
      </c>
      <c r="F792">
        <v>9.33</v>
      </c>
      <c r="G792" t="str">
        <f>VLOOKUP(E792,[1]ChatGPT!$1:$1048576,2,FALSE)</f>
        <v>Internal Transactions</v>
      </c>
      <c r="H792" t="str">
        <f>VLOOKUP(E792,[1]ChatGPT!$1:$1048576,3,FALSE)</f>
        <v>ASB</v>
      </c>
      <c r="I792" t="str">
        <f>VLOOKUP(E792,[1]ChatGPT!$1:$1048576,4,FALSE)</f>
        <v>PAYMENT RECEIVED THANK YOU</v>
      </c>
    </row>
    <row r="793" spans="1:9" x14ac:dyDescent="0.25">
      <c r="A793" t="s">
        <v>71</v>
      </c>
      <c r="B793" t="s">
        <v>230</v>
      </c>
      <c r="C793" t="s">
        <v>229</v>
      </c>
      <c r="D793" s="1">
        <v>45103</v>
      </c>
      <c r="E793" t="s">
        <v>108</v>
      </c>
      <c r="F793">
        <v>18.14</v>
      </c>
      <c r="G793" t="str">
        <f>VLOOKUP(E793,[1]ChatGPT!$1:$1048576,2,FALSE)</f>
        <v>Internal Transactions</v>
      </c>
      <c r="H793" t="str">
        <f>VLOOKUP(E793,[1]ChatGPT!$1:$1048576,3,FALSE)</f>
        <v>ASB</v>
      </c>
      <c r="I793" t="str">
        <f>VLOOKUP(E793,[1]ChatGPT!$1:$1048576,4,FALSE)</f>
        <v>PAYMENT RECEIVED THANK YOU</v>
      </c>
    </row>
    <row r="794" spans="1:9" x14ac:dyDescent="0.25">
      <c r="A794" t="s">
        <v>71</v>
      </c>
      <c r="B794" t="s">
        <v>230</v>
      </c>
      <c r="C794" t="s">
        <v>229</v>
      </c>
      <c r="D794" s="1">
        <v>45101</v>
      </c>
      <c r="E794" t="s">
        <v>157</v>
      </c>
      <c r="F794">
        <v>-11.59</v>
      </c>
      <c r="G794" t="s">
        <v>76</v>
      </c>
      <c r="H794" t="s">
        <v>87</v>
      </c>
      <c r="I794" t="s">
        <v>88</v>
      </c>
    </row>
    <row r="795" spans="1:9" x14ac:dyDescent="0.25">
      <c r="A795" t="s">
        <v>71</v>
      </c>
      <c r="B795" t="s">
        <v>230</v>
      </c>
      <c r="C795" t="s">
        <v>229</v>
      </c>
      <c r="D795" s="1">
        <v>45101</v>
      </c>
      <c r="E795" t="s">
        <v>86</v>
      </c>
      <c r="F795">
        <v>-0.21</v>
      </c>
      <c r="G795" t="str">
        <f>VLOOKUP(E795,[1]ChatGPT!$1:$1048576,2,FALSE)</f>
        <v>Other</v>
      </c>
      <c r="H795" t="str">
        <f>VLOOKUP(E795,[1]ChatGPT!$1:$1048576,3,FALSE)</f>
        <v xml:space="preserve">Other Expenses </v>
      </c>
      <c r="I795" t="str">
        <f>VLOOKUP(E795,[1]ChatGPT!$1:$1048576,4,FALSE)</f>
        <v>OFFSHORE SERVICE MARGINS</v>
      </c>
    </row>
    <row r="796" spans="1:9" x14ac:dyDescent="0.25">
      <c r="A796" t="s">
        <v>71</v>
      </c>
      <c r="B796" t="s">
        <v>230</v>
      </c>
      <c r="C796" t="s">
        <v>229</v>
      </c>
      <c r="D796" s="1">
        <v>45104</v>
      </c>
      <c r="E796" t="s">
        <v>108</v>
      </c>
      <c r="F796">
        <v>46.35</v>
      </c>
      <c r="G796" t="str">
        <f>VLOOKUP(E796,[1]ChatGPT!$1:$1048576,2,FALSE)</f>
        <v>Internal Transactions</v>
      </c>
      <c r="H796" t="str">
        <f>VLOOKUP(E796,[1]ChatGPT!$1:$1048576,3,FALSE)</f>
        <v>ASB</v>
      </c>
      <c r="I796" t="str">
        <f>VLOOKUP(E796,[1]ChatGPT!$1:$1048576,4,FALSE)</f>
        <v>PAYMENT RECEIVED THANK YOU</v>
      </c>
    </row>
    <row r="797" spans="1:9" x14ac:dyDescent="0.25">
      <c r="A797" t="s">
        <v>71</v>
      </c>
      <c r="B797" t="s">
        <v>230</v>
      </c>
      <c r="C797" t="s">
        <v>229</v>
      </c>
      <c r="D797" s="1">
        <v>45101</v>
      </c>
      <c r="E797" t="s">
        <v>158</v>
      </c>
      <c r="F797">
        <v>-45.41</v>
      </c>
      <c r="G797" t="s">
        <v>76</v>
      </c>
      <c r="H797" t="s">
        <v>87</v>
      </c>
      <c r="I797" t="s">
        <v>88</v>
      </c>
    </row>
    <row r="798" spans="1:9" x14ac:dyDescent="0.25">
      <c r="A798" t="s">
        <v>71</v>
      </c>
      <c r="B798" t="s">
        <v>230</v>
      </c>
      <c r="C798" t="s">
        <v>229</v>
      </c>
      <c r="D798" s="1">
        <v>45101</v>
      </c>
      <c r="E798" t="s">
        <v>86</v>
      </c>
      <c r="F798">
        <v>-7.0000000000000007E-2</v>
      </c>
      <c r="G798" t="str">
        <f>VLOOKUP(E798,[1]ChatGPT!$1:$1048576,2,FALSE)</f>
        <v>Other</v>
      </c>
      <c r="H798" t="str">
        <f>VLOOKUP(E798,[1]ChatGPT!$1:$1048576,3,FALSE)</f>
        <v xml:space="preserve">Other Expenses </v>
      </c>
      <c r="I798" t="str">
        <f>VLOOKUP(E798,[1]ChatGPT!$1:$1048576,4,FALSE)</f>
        <v>OFFSHORE SERVICE MARGINS</v>
      </c>
    </row>
    <row r="799" spans="1:9" x14ac:dyDescent="0.25">
      <c r="A799" t="s">
        <v>71</v>
      </c>
      <c r="B799" t="s">
        <v>230</v>
      </c>
      <c r="C799" t="s">
        <v>229</v>
      </c>
      <c r="D799" s="1">
        <v>45102</v>
      </c>
      <c r="E799" t="s">
        <v>159</v>
      </c>
      <c r="F799">
        <v>-1.92</v>
      </c>
      <c r="G799" t="s">
        <v>76</v>
      </c>
      <c r="H799" t="s">
        <v>87</v>
      </c>
      <c r="I799" t="s">
        <v>88</v>
      </c>
    </row>
    <row r="800" spans="1:9" x14ac:dyDescent="0.25">
      <c r="A800" t="s">
        <v>71</v>
      </c>
      <c r="B800" t="s">
        <v>230</v>
      </c>
      <c r="C800" t="s">
        <v>229</v>
      </c>
      <c r="D800" s="1">
        <v>45102</v>
      </c>
      <c r="E800" t="s">
        <v>86</v>
      </c>
      <c r="F800">
        <v>-0.01</v>
      </c>
      <c r="G800" t="str">
        <f>VLOOKUP(E800,[1]ChatGPT!$1:$1048576,2,FALSE)</f>
        <v>Other</v>
      </c>
      <c r="H800" t="str">
        <f>VLOOKUP(E800,[1]ChatGPT!$1:$1048576,3,FALSE)</f>
        <v xml:space="preserve">Other Expenses </v>
      </c>
      <c r="I800" t="str">
        <f>VLOOKUP(E800,[1]ChatGPT!$1:$1048576,4,FALSE)</f>
        <v>OFFSHORE SERVICE MARGINS</v>
      </c>
    </row>
    <row r="801" spans="1:9" x14ac:dyDescent="0.25">
      <c r="A801" t="s">
        <v>71</v>
      </c>
      <c r="B801" t="s">
        <v>230</v>
      </c>
      <c r="C801" t="s">
        <v>229</v>
      </c>
      <c r="D801" s="1">
        <v>45105</v>
      </c>
      <c r="E801" t="s">
        <v>108</v>
      </c>
      <c r="F801">
        <v>0.36</v>
      </c>
      <c r="G801" t="str">
        <f>VLOOKUP(E801,[1]ChatGPT!$1:$1048576,2,FALSE)</f>
        <v>Internal Transactions</v>
      </c>
      <c r="H801" t="str">
        <f>VLOOKUP(E801,[1]ChatGPT!$1:$1048576,3,FALSE)</f>
        <v>ASB</v>
      </c>
      <c r="I801" t="str">
        <f>VLOOKUP(E801,[1]ChatGPT!$1:$1048576,4,FALSE)</f>
        <v>PAYMENT RECEIVED THANK YOU</v>
      </c>
    </row>
    <row r="802" spans="1:9" x14ac:dyDescent="0.25">
      <c r="A802" t="s">
        <v>71</v>
      </c>
      <c r="B802" t="s">
        <v>230</v>
      </c>
      <c r="C802" t="s">
        <v>229</v>
      </c>
      <c r="D802" s="1">
        <v>45109</v>
      </c>
      <c r="E802" t="s">
        <v>160</v>
      </c>
      <c r="F802">
        <v>-116.27</v>
      </c>
      <c r="G802" t="str">
        <f>VLOOKUP(E802,[1]ChatGPT!$1:$1048576,2,FALSE)</f>
        <v>Recreational &amp; Entertainment</v>
      </c>
      <c r="H802" t="str">
        <f>VLOOKUP(E802,[1]ChatGPT!$1:$1048576,3,FALSE)</f>
        <v>Entertainment</v>
      </c>
      <c r="I802" t="str">
        <f>VLOOKUP(E802,[1]ChatGPT!$1:$1048576,4,FALSE)</f>
        <v>Vape</v>
      </c>
    </row>
    <row r="803" spans="1:9" x14ac:dyDescent="0.25">
      <c r="A803" t="s">
        <v>71</v>
      </c>
      <c r="B803" t="s">
        <v>230</v>
      </c>
      <c r="C803" t="s">
        <v>229</v>
      </c>
      <c r="D803" s="1">
        <v>45111</v>
      </c>
      <c r="E803" t="s">
        <v>108</v>
      </c>
      <c r="F803">
        <v>13.52</v>
      </c>
      <c r="G803" t="str">
        <f>VLOOKUP(E803,[1]ChatGPT!$1:$1048576,2,FALSE)</f>
        <v>Internal Transactions</v>
      </c>
      <c r="H803" t="str">
        <f>VLOOKUP(E803,[1]ChatGPT!$1:$1048576,3,FALSE)</f>
        <v>ASB</v>
      </c>
      <c r="I803" t="str">
        <f>VLOOKUP(E803,[1]ChatGPT!$1:$1048576,4,FALSE)</f>
        <v>PAYMENT RECEIVED THANK YOU</v>
      </c>
    </row>
    <row r="804" spans="1:9" x14ac:dyDescent="0.25">
      <c r="A804" t="s">
        <v>71</v>
      </c>
      <c r="B804" t="s">
        <v>230</v>
      </c>
      <c r="C804" t="s">
        <v>229</v>
      </c>
      <c r="D804" s="1">
        <v>45111</v>
      </c>
      <c r="E804" t="s">
        <v>108</v>
      </c>
      <c r="F804">
        <v>12.38</v>
      </c>
      <c r="G804" t="str">
        <f>VLOOKUP(E804,[1]ChatGPT!$1:$1048576,2,FALSE)</f>
        <v>Internal Transactions</v>
      </c>
      <c r="H804" t="str">
        <f>VLOOKUP(E804,[1]ChatGPT!$1:$1048576,3,FALSE)</f>
        <v>ASB</v>
      </c>
      <c r="I804" t="str">
        <f>VLOOKUP(E804,[1]ChatGPT!$1:$1048576,4,FALSE)</f>
        <v>PAYMENT RECEIVED THANK YOU</v>
      </c>
    </row>
    <row r="805" spans="1:9" x14ac:dyDescent="0.25">
      <c r="A805" t="s">
        <v>71</v>
      </c>
      <c r="B805" t="s">
        <v>230</v>
      </c>
      <c r="C805" t="s">
        <v>229</v>
      </c>
      <c r="D805" s="1">
        <v>45112</v>
      </c>
      <c r="E805" t="s">
        <v>108</v>
      </c>
      <c r="F805">
        <v>30.02</v>
      </c>
      <c r="G805" t="str">
        <f>VLOOKUP(E805,[1]ChatGPT!$1:$1048576,2,FALSE)</f>
        <v>Internal Transactions</v>
      </c>
      <c r="H805" t="str">
        <f>VLOOKUP(E805,[1]ChatGPT!$1:$1048576,3,FALSE)</f>
        <v>ASB</v>
      </c>
      <c r="I805" t="str">
        <f>VLOOKUP(E805,[1]ChatGPT!$1:$1048576,4,FALSE)</f>
        <v>PAYMENT RECEIVED THANK YOU</v>
      </c>
    </row>
    <row r="806" spans="1:9" x14ac:dyDescent="0.25">
      <c r="A806" t="s">
        <v>71</v>
      </c>
      <c r="B806" t="s">
        <v>230</v>
      </c>
      <c r="C806" t="s">
        <v>229</v>
      </c>
      <c r="D806" s="1">
        <v>45114</v>
      </c>
      <c r="E806" t="s">
        <v>108</v>
      </c>
      <c r="F806">
        <v>53.01</v>
      </c>
      <c r="G806" t="str">
        <f>VLOOKUP(E806,[1]ChatGPT!$1:$1048576,2,FALSE)</f>
        <v>Internal Transactions</v>
      </c>
      <c r="H806" t="str">
        <f>VLOOKUP(E806,[1]ChatGPT!$1:$1048576,3,FALSE)</f>
        <v>ASB</v>
      </c>
      <c r="I806" t="str">
        <f>VLOOKUP(E806,[1]ChatGPT!$1:$1048576,4,FALSE)</f>
        <v>PAYMENT RECEIVED THANK YOU</v>
      </c>
    </row>
    <row r="807" spans="1:9" x14ac:dyDescent="0.25">
      <c r="A807" t="s">
        <v>71</v>
      </c>
      <c r="B807" t="s">
        <v>230</v>
      </c>
      <c r="C807" t="s">
        <v>229</v>
      </c>
      <c r="D807" s="1">
        <v>45114</v>
      </c>
      <c r="E807" t="s">
        <v>108</v>
      </c>
      <c r="F807">
        <v>10.56</v>
      </c>
      <c r="G807" t="str">
        <f>VLOOKUP(E807,[1]ChatGPT!$1:$1048576,2,FALSE)</f>
        <v>Internal Transactions</v>
      </c>
      <c r="H807" t="str">
        <f>VLOOKUP(E807,[1]ChatGPT!$1:$1048576,3,FALSE)</f>
        <v>ASB</v>
      </c>
      <c r="I807" t="str">
        <f>VLOOKUP(E807,[1]ChatGPT!$1:$1048576,4,FALSE)</f>
        <v>PAYMENT RECEIVED THANK YOU</v>
      </c>
    </row>
    <row r="808" spans="1:9" x14ac:dyDescent="0.25">
      <c r="A808" t="s">
        <v>71</v>
      </c>
      <c r="B808" t="s">
        <v>230</v>
      </c>
      <c r="C808" t="s">
        <v>229</v>
      </c>
      <c r="D808" s="1">
        <v>45114</v>
      </c>
      <c r="E808" t="s">
        <v>108</v>
      </c>
      <c r="F808">
        <v>3.74</v>
      </c>
      <c r="G808" t="str">
        <f>VLOOKUP(E808,[1]ChatGPT!$1:$1048576,2,FALSE)</f>
        <v>Internal Transactions</v>
      </c>
      <c r="H808" t="str">
        <f>VLOOKUP(E808,[1]ChatGPT!$1:$1048576,3,FALSE)</f>
        <v>ASB</v>
      </c>
      <c r="I808" t="str">
        <f>VLOOKUP(E808,[1]ChatGPT!$1:$1048576,4,FALSE)</f>
        <v>PAYMENT RECEIVED THANK YOU</v>
      </c>
    </row>
    <row r="809" spans="1:9" x14ac:dyDescent="0.25">
      <c r="A809" t="s">
        <v>71</v>
      </c>
      <c r="B809" t="s">
        <v>230</v>
      </c>
      <c r="C809" t="s">
        <v>229</v>
      </c>
      <c r="D809" s="1">
        <v>45114</v>
      </c>
      <c r="E809" t="s">
        <v>161</v>
      </c>
      <c r="F809">
        <v>-2.62</v>
      </c>
      <c r="G809" t="str">
        <f>VLOOKUP(E809,[1]ChatGPT!$1:$1048576,2,FALSE)</f>
        <v>Recreational &amp; Entertainment</v>
      </c>
      <c r="H809" t="str">
        <f>VLOOKUP(E809,[1]ChatGPT!$1:$1048576,3,FALSE)</f>
        <v xml:space="preserve">Dining Out </v>
      </c>
      <c r="I809" t="str">
        <f>VLOOKUP(E809,[1]ChatGPT!$1:$1048576,4,FALSE)</f>
        <v>Dinning</v>
      </c>
    </row>
    <row r="810" spans="1:9" x14ac:dyDescent="0.25">
      <c r="A810" t="s">
        <v>71</v>
      </c>
      <c r="B810" t="s">
        <v>230</v>
      </c>
      <c r="C810" t="s">
        <v>229</v>
      </c>
      <c r="D810" s="1">
        <v>45114</v>
      </c>
      <c r="E810" t="s">
        <v>162</v>
      </c>
      <c r="F810">
        <v>-35.19</v>
      </c>
      <c r="G810" t="str">
        <f>VLOOKUP(E810,[1]ChatGPT!$1:$1048576,2,FALSE)</f>
        <v>Recreational &amp; Entertainment</v>
      </c>
      <c r="H810" t="str">
        <f>VLOOKUP(E810,[1]ChatGPT!$1:$1048576,3,FALSE)</f>
        <v xml:space="preserve">Dining Out </v>
      </c>
      <c r="I810" t="str">
        <f>VLOOKUP(E810,[1]ChatGPT!$1:$1048576,4,FALSE)</f>
        <v>Dinning</v>
      </c>
    </row>
    <row r="811" spans="1:9" x14ac:dyDescent="0.25">
      <c r="A811" t="s">
        <v>71</v>
      </c>
      <c r="B811" t="s">
        <v>230</v>
      </c>
      <c r="C811" t="s">
        <v>229</v>
      </c>
      <c r="D811" s="1">
        <v>45114</v>
      </c>
      <c r="E811" t="s">
        <v>163</v>
      </c>
      <c r="F811">
        <v>-82.21</v>
      </c>
      <c r="G811" t="str">
        <f>VLOOKUP(E811,[1]ChatGPT!$1:$1048576,2,FALSE)</f>
        <v>Recreational &amp; Entertainment</v>
      </c>
      <c r="H811" t="str">
        <f>VLOOKUP(E811,[1]ChatGPT!$1:$1048576,3,FALSE)</f>
        <v xml:space="preserve">Gym </v>
      </c>
      <c r="I811" t="str">
        <f>VLOOKUP(E811,[1]ChatGPT!$1:$1048576,4,FALSE)</f>
        <v>GYM</v>
      </c>
    </row>
    <row r="812" spans="1:9" x14ac:dyDescent="0.25">
      <c r="A812" t="s">
        <v>71</v>
      </c>
      <c r="B812" t="s">
        <v>230</v>
      </c>
      <c r="C812" t="s">
        <v>229</v>
      </c>
      <c r="D812" s="1">
        <v>45116</v>
      </c>
      <c r="E812" t="s">
        <v>108</v>
      </c>
      <c r="F812">
        <v>35.92</v>
      </c>
      <c r="G812" t="str">
        <f>VLOOKUP(E812,[1]ChatGPT!$1:$1048576,2,FALSE)</f>
        <v>Internal Transactions</v>
      </c>
      <c r="H812" t="str">
        <f>VLOOKUP(E812,[1]ChatGPT!$1:$1048576,3,FALSE)</f>
        <v>ASB</v>
      </c>
      <c r="I812" t="str">
        <f>VLOOKUP(E812,[1]ChatGPT!$1:$1048576,4,FALSE)</f>
        <v>PAYMENT RECEIVED THANK YOU</v>
      </c>
    </row>
    <row r="813" spans="1:9" x14ac:dyDescent="0.25">
      <c r="A813" t="s">
        <v>71</v>
      </c>
      <c r="B813" t="s">
        <v>230</v>
      </c>
      <c r="C813" t="s">
        <v>229</v>
      </c>
      <c r="D813" s="1">
        <v>45116</v>
      </c>
      <c r="E813" t="s">
        <v>108</v>
      </c>
      <c r="F813">
        <v>42.53</v>
      </c>
      <c r="G813" t="str">
        <f>VLOOKUP(E813,[1]ChatGPT!$1:$1048576,2,FALSE)</f>
        <v>Internal Transactions</v>
      </c>
      <c r="H813" t="str">
        <f>VLOOKUP(E813,[1]ChatGPT!$1:$1048576,3,FALSE)</f>
        <v>ASB</v>
      </c>
      <c r="I813" t="str">
        <f>VLOOKUP(E813,[1]ChatGPT!$1:$1048576,4,FALSE)</f>
        <v>PAYMENT RECEIVED THANK YOU</v>
      </c>
    </row>
    <row r="814" spans="1:9" x14ac:dyDescent="0.25">
      <c r="A814" t="s">
        <v>71</v>
      </c>
      <c r="B814" t="s">
        <v>230</v>
      </c>
      <c r="C814" t="s">
        <v>229</v>
      </c>
      <c r="D814" s="1">
        <v>45116</v>
      </c>
      <c r="E814" t="s">
        <v>164</v>
      </c>
      <c r="F814">
        <v>-266.41000000000003</v>
      </c>
      <c r="G814" t="str">
        <f>VLOOKUP(E814,[1]ChatGPT!$1:$1048576,2,FALSE)</f>
        <v xml:space="preserve">8 Denning Place </v>
      </c>
      <c r="H814" t="str">
        <f>VLOOKUP(E814,[1]ChatGPT!$1:$1048576,3,FALSE)</f>
        <v>Water</v>
      </c>
      <c r="I814" t="str">
        <f>VLOOKUP(E814,[1]ChatGPT!$1:$1048576,4,FALSE)</f>
        <v>Water</v>
      </c>
    </row>
    <row r="815" spans="1:9" x14ac:dyDescent="0.25">
      <c r="A815" t="s">
        <v>71</v>
      </c>
      <c r="B815" t="s">
        <v>230</v>
      </c>
      <c r="C815" t="s">
        <v>229</v>
      </c>
      <c r="D815" s="1">
        <v>45117</v>
      </c>
      <c r="E815" t="s">
        <v>108</v>
      </c>
      <c r="F815">
        <v>0.14000000000000001</v>
      </c>
      <c r="G815" t="str">
        <f>VLOOKUP(E815,[1]ChatGPT!$1:$1048576,2,FALSE)</f>
        <v>Internal Transactions</v>
      </c>
      <c r="H815" t="str">
        <f>VLOOKUP(E815,[1]ChatGPT!$1:$1048576,3,FALSE)</f>
        <v>ASB</v>
      </c>
      <c r="I815" t="str">
        <f>VLOOKUP(E815,[1]ChatGPT!$1:$1048576,4,FALSE)</f>
        <v>PAYMENT RECEIVED THANK YOU</v>
      </c>
    </row>
    <row r="816" spans="1:9" x14ac:dyDescent="0.25">
      <c r="A816" t="s">
        <v>71</v>
      </c>
      <c r="B816" t="s">
        <v>230</v>
      </c>
      <c r="C816" t="s">
        <v>229</v>
      </c>
      <c r="D816" s="1">
        <v>45117</v>
      </c>
      <c r="E816" t="s">
        <v>108</v>
      </c>
      <c r="F816">
        <v>0.15</v>
      </c>
      <c r="G816" t="str">
        <f>VLOOKUP(E816,[1]ChatGPT!$1:$1048576,2,FALSE)</f>
        <v>Internal Transactions</v>
      </c>
      <c r="H816" t="str">
        <f>VLOOKUP(E816,[1]ChatGPT!$1:$1048576,3,FALSE)</f>
        <v>ASB</v>
      </c>
      <c r="I816" t="str">
        <f>VLOOKUP(E816,[1]ChatGPT!$1:$1048576,4,FALSE)</f>
        <v>PAYMENT RECEIVED THANK YOU</v>
      </c>
    </row>
    <row r="817" spans="1:9" x14ac:dyDescent="0.25">
      <c r="A817" t="s">
        <v>71</v>
      </c>
      <c r="B817" t="s">
        <v>230</v>
      </c>
      <c r="C817" t="s">
        <v>229</v>
      </c>
      <c r="D817" s="1">
        <v>45117</v>
      </c>
      <c r="E817" t="s">
        <v>115</v>
      </c>
      <c r="F817">
        <v>-68.14</v>
      </c>
      <c r="G817" t="str">
        <f>VLOOKUP(E817,[1]ChatGPT!$1:$1048576,2,FALSE)</f>
        <v xml:space="preserve">8 Denning Place </v>
      </c>
      <c r="H817" t="str">
        <f>VLOOKUP(E817,[1]ChatGPT!$1:$1048576,3,FALSE)</f>
        <v xml:space="preserve">MyRentCharge </v>
      </c>
      <c r="I817" t="str">
        <f>VLOOKUP(E817,[1]ChatGPT!$1:$1048576,4,FALSE)</f>
        <v>MyRentCharge</v>
      </c>
    </row>
    <row r="818" spans="1:9" x14ac:dyDescent="0.25">
      <c r="A818" t="s">
        <v>71</v>
      </c>
      <c r="B818" t="s">
        <v>230</v>
      </c>
      <c r="C818" t="s">
        <v>229</v>
      </c>
      <c r="D818" s="1">
        <v>45116</v>
      </c>
      <c r="E818" t="s">
        <v>148</v>
      </c>
      <c r="F818">
        <v>-27.71</v>
      </c>
      <c r="G818" t="str">
        <f>VLOOKUP(E818,[1]ChatGPT!$1:$1048576,2,FALSE)</f>
        <v>Personal Care</v>
      </c>
      <c r="H818" t="str">
        <f>VLOOKUP(E818,[1]ChatGPT!$1:$1048576,3,FALSE)</f>
        <v>Clothing &amp; Footwear</v>
      </c>
      <c r="I818" t="str">
        <f>VLOOKUP(E818,[1]ChatGPT!$1:$1048576,4,FALSE)</f>
        <v>Shopping - Online</v>
      </c>
    </row>
    <row r="819" spans="1:9" x14ac:dyDescent="0.25">
      <c r="A819" t="s">
        <v>71</v>
      </c>
      <c r="B819" t="s">
        <v>230</v>
      </c>
      <c r="C819" t="s">
        <v>229</v>
      </c>
      <c r="D819" s="1">
        <v>45119</v>
      </c>
      <c r="E819" t="s">
        <v>108</v>
      </c>
      <c r="F819">
        <v>66.38</v>
      </c>
      <c r="G819" t="str">
        <f>VLOOKUP(E819,[1]ChatGPT!$1:$1048576,2,FALSE)</f>
        <v>Internal Transactions</v>
      </c>
      <c r="H819" t="str">
        <f>VLOOKUP(E819,[1]ChatGPT!$1:$1048576,3,FALSE)</f>
        <v>ASB</v>
      </c>
      <c r="I819" t="str">
        <f>VLOOKUP(E819,[1]ChatGPT!$1:$1048576,4,FALSE)</f>
        <v>PAYMENT RECEIVED THANK YOU</v>
      </c>
    </row>
    <row r="820" spans="1:9" x14ac:dyDescent="0.25">
      <c r="A820" t="s">
        <v>71</v>
      </c>
      <c r="B820" t="s">
        <v>230</v>
      </c>
      <c r="C820" t="s">
        <v>229</v>
      </c>
      <c r="D820" s="1">
        <v>45118</v>
      </c>
      <c r="E820" t="s">
        <v>165</v>
      </c>
      <c r="F820">
        <v>-50.61</v>
      </c>
      <c r="G820" t="str">
        <f>VLOOKUP(E820,[1]ChatGPT!$1:$1048576,2,FALSE)</f>
        <v>Recreational &amp; Entertainment</v>
      </c>
      <c r="H820" t="str">
        <f>VLOOKUP(E820,[1]ChatGPT!$1:$1048576,3,FALSE)</f>
        <v xml:space="preserve">Gym </v>
      </c>
      <c r="I820" t="str">
        <f>VLOOKUP(E820,[1]ChatGPT!$1:$1048576,4,FALSE)</f>
        <v>GYM</v>
      </c>
    </row>
    <row r="821" spans="1:9" x14ac:dyDescent="0.25">
      <c r="A821" t="s">
        <v>71</v>
      </c>
      <c r="B821" t="s">
        <v>230</v>
      </c>
      <c r="C821" t="s">
        <v>229</v>
      </c>
      <c r="D821" s="1">
        <v>45124</v>
      </c>
      <c r="E821" t="s">
        <v>108</v>
      </c>
      <c r="F821">
        <v>41.27</v>
      </c>
      <c r="G821" t="str">
        <f>VLOOKUP(E821,[1]ChatGPT!$1:$1048576,2,FALSE)</f>
        <v>Internal Transactions</v>
      </c>
      <c r="H821" t="str">
        <f>VLOOKUP(E821,[1]ChatGPT!$1:$1048576,3,FALSE)</f>
        <v>ASB</v>
      </c>
      <c r="I821" t="str">
        <f>VLOOKUP(E821,[1]ChatGPT!$1:$1048576,4,FALSE)</f>
        <v>PAYMENT RECEIVED THANK YOU</v>
      </c>
    </row>
    <row r="822" spans="1:9" x14ac:dyDescent="0.25">
      <c r="A822" t="s">
        <v>71</v>
      </c>
      <c r="B822" t="s">
        <v>230</v>
      </c>
      <c r="C822" t="s">
        <v>229</v>
      </c>
      <c r="D822" s="1">
        <v>45133</v>
      </c>
      <c r="E822" t="s">
        <v>108</v>
      </c>
      <c r="F822">
        <v>36.82</v>
      </c>
      <c r="G822" t="str">
        <f>VLOOKUP(E822,[1]ChatGPT!$1:$1048576,2,FALSE)</f>
        <v>Internal Transactions</v>
      </c>
      <c r="H822" t="str">
        <f>VLOOKUP(E822,[1]ChatGPT!$1:$1048576,3,FALSE)</f>
        <v>ASB</v>
      </c>
      <c r="I822" t="str">
        <f>VLOOKUP(E822,[1]ChatGPT!$1:$1048576,4,FALSE)</f>
        <v>PAYMENT RECEIVED THANK YOU</v>
      </c>
    </row>
    <row r="823" spans="1:9" x14ac:dyDescent="0.25">
      <c r="A823" t="s">
        <v>71</v>
      </c>
      <c r="B823" t="s">
        <v>230</v>
      </c>
      <c r="C823" t="s">
        <v>229</v>
      </c>
      <c r="D823" s="1">
        <v>45137</v>
      </c>
      <c r="E823" t="s">
        <v>108</v>
      </c>
      <c r="F823">
        <v>8.8800000000000008</v>
      </c>
      <c r="G823" t="str">
        <f>VLOOKUP(E823,[1]ChatGPT!$1:$1048576,2,FALSE)</f>
        <v>Internal Transactions</v>
      </c>
      <c r="H823" t="str">
        <f>VLOOKUP(E823,[1]ChatGPT!$1:$1048576,3,FALSE)</f>
        <v>ASB</v>
      </c>
      <c r="I823" t="str">
        <f>VLOOKUP(E823,[1]ChatGPT!$1:$1048576,4,FALSE)</f>
        <v>PAYMENT RECEIVED THANK YOU</v>
      </c>
    </row>
    <row r="824" spans="1:9" x14ac:dyDescent="0.25">
      <c r="A824" t="s">
        <v>71</v>
      </c>
      <c r="B824" t="s">
        <v>230</v>
      </c>
      <c r="C824" t="s">
        <v>229</v>
      </c>
      <c r="D824" s="1">
        <v>45136</v>
      </c>
      <c r="E824" t="s">
        <v>166</v>
      </c>
      <c r="F824">
        <v>-6.8</v>
      </c>
      <c r="G824" t="str">
        <f>VLOOKUP(E824,[1]ChatGPT!$1:$1048576,2,FALSE)</f>
        <v>Personal Care</v>
      </c>
      <c r="H824" t="str">
        <f>VLOOKUP(E824,[1]ChatGPT!$1:$1048576,3,FALSE)</f>
        <v>Clothing &amp; Footwear</v>
      </c>
      <c r="I824" t="str">
        <f>VLOOKUP(E824,[1]ChatGPT!$1:$1048576,4,FALSE)</f>
        <v>Shopping - Online</v>
      </c>
    </row>
    <row r="825" spans="1:9" x14ac:dyDescent="0.25">
      <c r="A825" t="s">
        <v>71</v>
      </c>
      <c r="B825" t="s">
        <v>230</v>
      </c>
      <c r="C825" t="s">
        <v>229</v>
      </c>
      <c r="D825" s="1">
        <v>45136</v>
      </c>
      <c r="E825" t="s">
        <v>166</v>
      </c>
      <c r="F825">
        <v>-1.89</v>
      </c>
      <c r="G825" t="str">
        <f>VLOOKUP(E825,[1]ChatGPT!$1:$1048576,2,FALSE)</f>
        <v>Personal Care</v>
      </c>
      <c r="H825" t="str">
        <f>VLOOKUP(E825,[1]ChatGPT!$1:$1048576,3,FALSE)</f>
        <v>Clothing &amp; Footwear</v>
      </c>
      <c r="I825" t="str">
        <f>VLOOKUP(E825,[1]ChatGPT!$1:$1048576,4,FALSE)</f>
        <v>Shopping - Online</v>
      </c>
    </row>
    <row r="826" spans="1:9" x14ac:dyDescent="0.25">
      <c r="A826" t="s">
        <v>71</v>
      </c>
      <c r="B826" t="s">
        <v>230</v>
      </c>
      <c r="C826" t="s">
        <v>229</v>
      </c>
      <c r="D826" s="1">
        <v>45140</v>
      </c>
      <c r="E826" t="s">
        <v>108</v>
      </c>
      <c r="F826">
        <v>18.64</v>
      </c>
      <c r="G826" t="str">
        <f>VLOOKUP(E826,[1]ChatGPT!$1:$1048576,2,FALSE)</f>
        <v>Internal Transactions</v>
      </c>
      <c r="H826" t="str">
        <f>VLOOKUP(E826,[1]ChatGPT!$1:$1048576,3,FALSE)</f>
        <v>ASB</v>
      </c>
      <c r="I826" t="str">
        <f>VLOOKUP(E826,[1]ChatGPT!$1:$1048576,4,FALSE)</f>
        <v>PAYMENT RECEIVED THANK YOU</v>
      </c>
    </row>
    <row r="827" spans="1:9" x14ac:dyDescent="0.25">
      <c r="A827" t="s">
        <v>71</v>
      </c>
      <c r="B827" t="s">
        <v>230</v>
      </c>
      <c r="C827" t="s">
        <v>229</v>
      </c>
      <c r="D827" s="1">
        <v>45142</v>
      </c>
      <c r="E827" t="s">
        <v>108</v>
      </c>
      <c r="F827">
        <v>0.27</v>
      </c>
      <c r="G827" t="str">
        <f>VLOOKUP(E827,[1]ChatGPT!$1:$1048576,2,FALSE)</f>
        <v>Internal Transactions</v>
      </c>
      <c r="H827" t="str">
        <f>VLOOKUP(E827,[1]ChatGPT!$1:$1048576,3,FALSE)</f>
        <v>ASB</v>
      </c>
      <c r="I827" t="str">
        <f>VLOOKUP(E827,[1]ChatGPT!$1:$1048576,4,FALSE)</f>
        <v>PAYMENT RECEIVED THANK YOU</v>
      </c>
    </row>
    <row r="828" spans="1:9" x14ac:dyDescent="0.25">
      <c r="A828" t="s">
        <v>71</v>
      </c>
      <c r="B828" t="s">
        <v>230</v>
      </c>
      <c r="C828" t="s">
        <v>229</v>
      </c>
      <c r="D828" s="1">
        <v>45142</v>
      </c>
      <c r="E828" t="s">
        <v>105</v>
      </c>
      <c r="F828">
        <v>-6.33</v>
      </c>
      <c r="G828" t="str">
        <f>VLOOKUP(E828,[1]ChatGPT!$1:$1048576,2,FALSE)</f>
        <v>Recreational &amp; Entertainment</v>
      </c>
      <c r="H828" t="str">
        <f>VLOOKUP(E828,[1]ChatGPT!$1:$1048576,3,FALSE)</f>
        <v xml:space="preserve">Dining Out </v>
      </c>
      <c r="I828" t="str">
        <f>VLOOKUP(E828,[1]ChatGPT!$1:$1048576,4,FALSE)</f>
        <v>Dinning</v>
      </c>
    </row>
    <row r="829" spans="1:9" x14ac:dyDescent="0.25">
      <c r="A829" t="s">
        <v>71</v>
      </c>
      <c r="B829" t="s">
        <v>230</v>
      </c>
      <c r="C829" t="s">
        <v>229</v>
      </c>
      <c r="D829" s="1">
        <v>45144</v>
      </c>
      <c r="E829" t="s">
        <v>108</v>
      </c>
      <c r="F829">
        <v>64.010000000000005</v>
      </c>
      <c r="G829" t="str">
        <f>VLOOKUP(E829,[1]ChatGPT!$1:$1048576,2,FALSE)</f>
        <v>Internal Transactions</v>
      </c>
      <c r="H829" t="str">
        <f>VLOOKUP(E829,[1]ChatGPT!$1:$1048576,3,FALSE)</f>
        <v>ASB</v>
      </c>
      <c r="I829" t="str">
        <f>VLOOKUP(E829,[1]ChatGPT!$1:$1048576,4,FALSE)</f>
        <v>PAYMENT RECEIVED THANK YOU</v>
      </c>
    </row>
    <row r="830" spans="1:9" x14ac:dyDescent="0.25">
      <c r="A830" t="s">
        <v>71</v>
      </c>
      <c r="B830" t="s">
        <v>230</v>
      </c>
      <c r="C830" t="s">
        <v>229</v>
      </c>
      <c r="D830" s="1">
        <v>45148</v>
      </c>
      <c r="E830" t="s">
        <v>115</v>
      </c>
      <c r="F830">
        <v>-57.28</v>
      </c>
      <c r="G830" t="str">
        <f>VLOOKUP(E830,[1]ChatGPT!$1:$1048576,2,FALSE)</f>
        <v xml:space="preserve">8 Denning Place </v>
      </c>
      <c r="H830" t="str">
        <f>VLOOKUP(E830,[1]ChatGPT!$1:$1048576,3,FALSE)</f>
        <v xml:space="preserve">MyRentCharge </v>
      </c>
      <c r="I830" t="str">
        <f>VLOOKUP(E830,[1]ChatGPT!$1:$1048576,4,FALSE)</f>
        <v>MyRentCharge</v>
      </c>
    </row>
    <row r="831" spans="1:9" x14ac:dyDescent="0.25">
      <c r="A831" t="s">
        <v>71</v>
      </c>
      <c r="B831" t="s">
        <v>230</v>
      </c>
      <c r="C831" t="s">
        <v>229</v>
      </c>
      <c r="D831" s="1">
        <v>45149</v>
      </c>
      <c r="E831" t="s">
        <v>108</v>
      </c>
      <c r="F831">
        <v>4.8899999999999997</v>
      </c>
      <c r="G831" t="str">
        <f>VLOOKUP(E831,[1]ChatGPT!$1:$1048576,2,FALSE)</f>
        <v>Internal Transactions</v>
      </c>
      <c r="H831" t="str">
        <f>VLOOKUP(E831,[1]ChatGPT!$1:$1048576,3,FALSE)</f>
        <v>ASB</v>
      </c>
      <c r="I831" t="str">
        <f>VLOOKUP(E831,[1]ChatGPT!$1:$1048576,4,FALSE)</f>
        <v>PAYMENT RECEIVED THANK YOU</v>
      </c>
    </row>
    <row r="832" spans="1:9" x14ac:dyDescent="0.25">
      <c r="A832" t="s">
        <v>71</v>
      </c>
      <c r="B832" t="s">
        <v>230</v>
      </c>
      <c r="C832" t="s">
        <v>229</v>
      </c>
      <c r="D832" s="1">
        <v>45151</v>
      </c>
      <c r="E832" t="s">
        <v>108</v>
      </c>
      <c r="F832">
        <v>76.22</v>
      </c>
      <c r="G832" t="str">
        <f>VLOOKUP(E832,[1]ChatGPT!$1:$1048576,2,FALSE)</f>
        <v>Internal Transactions</v>
      </c>
      <c r="H832" t="str">
        <f>VLOOKUP(E832,[1]ChatGPT!$1:$1048576,3,FALSE)</f>
        <v>ASB</v>
      </c>
      <c r="I832" t="str">
        <f>VLOOKUP(E832,[1]ChatGPT!$1:$1048576,4,FALSE)</f>
        <v>PAYMENT RECEIVED THANK YOU</v>
      </c>
    </row>
    <row r="833" spans="1:9" x14ac:dyDescent="0.25">
      <c r="A833" t="s">
        <v>71</v>
      </c>
      <c r="B833" t="s">
        <v>230</v>
      </c>
      <c r="C833" t="s">
        <v>229</v>
      </c>
      <c r="D833" s="1">
        <v>45152</v>
      </c>
      <c r="E833" t="s">
        <v>108</v>
      </c>
      <c r="F833">
        <v>1.01</v>
      </c>
      <c r="G833" t="str">
        <f>VLOOKUP(E833,[1]ChatGPT!$1:$1048576,2,FALSE)</f>
        <v>Internal Transactions</v>
      </c>
      <c r="H833" t="str">
        <f>VLOOKUP(E833,[1]ChatGPT!$1:$1048576,3,FALSE)</f>
        <v>ASB</v>
      </c>
      <c r="I833" t="str">
        <f>VLOOKUP(E833,[1]ChatGPT!$1:$1048576,4,FALSE)</f>
        <v>PAYMENT RECEIVED THANK YOU</v>
      </c>
    </row>
    <row r="834" spans="1:9" x14ac:dyDescent="0.25">
      <c r="A834" t="s">
        <v>71</v>
      </c>
      <c r="B834" t="s">
        <v>230</v>
      </c>
      <c r="C834" t="s">
        <v>229</v>
      </c>
      <c r="D834" s="1">
        <v>45152</v>
      </c>
      <c r="E834" t="s">
        <v>167</v>
      </c>
      <c r="F834">
        <v>-156.58000000000001</v>
      </c>
      <c r="G834" t="str">
        <f>VLOOKUP(E834,[1]ChatGPT!$1:$1048576,2,FALSE)</f>
        <v>Recreational &amp; Entertainment</v>
      </c>
      <c r="H834" t="str">
        <f>VLOOKUP(E834,[1]ChatGPT!$1:$1048576,3,FALSE)</f>
        <v>Entertainment</v>
      </c>
      <c r="I834" t="str">
        <f>VLOOKUP(E834,[1]ChatGPT!$1:$1048576,4,FALSE)</f>
        <v>Event</v>
      </c>
    </row>
    <row r="835" spans="1:9" x14ac:dyDescent="0.25">
      <c r="A835" t="s">
        <v>71</v>
      </c>
      <c r="B835" t="s">
        <v>230</v>
      </c>
      <c r="C835" t="s">
        <v>229</v>
      </c>
      <c r="D835" s="1">
        <v>45153</v>
      </c>
      <c r="E835" t="s">
        <v>102</v>
      </c>
      <c r="F835">
        <v>-63.77</v>
      </c>
      <c r="G835" t="str">
        <f>VLOOKUP(E835,[1]ChatGPT!$1:$1048576,2,FALSE)</f>
        <v>Transport</v>
      </c>
      <c r="H835" t="str">
        <f>VLOOKUP(E835,[1]ChatGPT!$1:$1048576,3,FALSE)</f>
        <v xml:space="preserve">Petrol </v>
      </c>
      <c r="I835" t="str">
        <f>VLOOKUP(E835,[1]ChatGPT!$1:$1048576,4,FALSE)</f>
        <v>Transport - Fuel</v>
      </c>
    </row>
    <row r="836" spans="1:9" x14ac:dyDescent="0.25">
      <c r="A836" t="s">
        <v>71</v>
      </c>
      <c r="B836" t="s">
        <v>230</v>
      </c>
      <c r="C836" t="s">
        <v>229</v>
      </c>
      <c r="D836" s="1">
        <v>45154</v>
      </c>
      <c r="E836" t="s">
        <v>108</v>
      </c>
      <c r="F836">
        <v>302.25</v>
      </c>
      <c r="G836" t="str">
        <f>VLOOKUP(E836,[1]ChatGPT!$1:$1048576,2,FALSE)</f>
        <v>Internal Transactions</v>
      </c>
      <c r="H836" t="str">
        <f>VLOOKUP(E836,[1]ChatGPT!$1:$1048576,3,FALSE)</f>
        <v>ASB</v>
      </c>
      <c r="I836" t="str">
        <f>VLOOKUP(E836,[1]ChatGPT!$1:$1048576,4,FALSE)</f>
        <v>PAYMENT RECEIVED THANK YOU</v>
      </c>
    </row>
    <row r="837" spans="1:9" x14ac:dyDescent="0.25">
      <c r="A837" t="s">
        <v>71</v>
      </c>
      <c r="B837" t="s">
        <v>230</v>
      </c>
      <c r="C837" t="s">
        <v>229</v>
      </c>
      <c r="D837" s="1">
        <v>45161</v>
      </c>
      <c r="E837" t="s">
        <v>108</v>
      </c>
      <c r="F837">
        <v>0.56000000000000005</v>
      </c>
      <c r="G837" t="str">
        <f>VLOOKUP(E837,[1]ChatGPT!$1:$1048576,2,FALSE)</f>
        <v>Internal Transactions</v>
      </c>
      <c r="H837" t="str">
        <f>VLOOKUP(E837,[1]ChatGPT!$1:$1048576,3,FALSE)</f>
        <v>ASB</v>
      </c>
      <c r="I837" t="str">
        <f>VLOOKUP(E837,[1]ChatGPT!$1:$1048576,4,FALSE)</f>
        <v>PAYMENT RECEIVED THANK YOU</v>
      </c>
    </row>
    <row r="838" spans="1:9" x14ac:dyDescent="0.25">
      <c r="A838" t="s">
        <v>71</v>
      </c>
      <c r="B838" t="s">
        <v>230</v>
      </c>
      <c r="C838" t="s">
        <v>229</v>
      </c>
      <c r="D838" s="1">
        <v>45162</v>
      </c>
      <c r="E838" t="s">
        <v>108</v>
      </c>
      <c r="F838">
        <v>6.19</v>
      </c>
      <c r="G838" t="str">
        <f>VLOOKUP(E838,[1]ChatGPT!$1:$1048576,2,FALSE)</f>
        <v>Internal Transactions</v>
      </c>
      <c r="H838" t="str">
        <f>VLOOKUP(E838,[1]ChatGPT!$1:$1048576,3,FALSE)</f>
        <v>ASB</v>
      </c>
      <c r="I838" t="str">
        <f>VLOOKUP(E838,[1]ChatGPT!$1:$1048576,4,FALSE)</f>
        <v>PAYMENT RECEIVED THANK YOU</v>
      </c>
    </row>
    <row r="839" spans="1:9" x14ac:dyDescent="0.25">
      <c r="A839" t="s">
        <v>71</v>
      </c>
      <c r="B839" t="s">
        <v>230</v>
      </c>
      <c r="C839" t="s">
        <v>229</v>
      </c>
      <c r="D839" s="1">
        <v>45163</v>
      </c>
      <c r="E839" t="s">
        <v>108</v>
      </c>
      <c r="F839">
        <v>10.09</v>
      </c>
      <c r="G839" t="str">
        <f>VLOOKUP(E839,[1]ChatGPT!$1:$1048576,2,FALSE)</f>
        <v>Internal Transactions</v>
      </c>
      <c r="H839" t="str">
        <f>VLOOKUP(E839,[1]ChatGPT!$1:$1048576,3,FALSE)</f>
        <v>ASB</v>
      </c>
      <c r="I839" t="str">
        <f>VLOOKUP(E839,[1]ChatGPT!$1:$1048576,4,FALSE)</f>
        <v>PAYMENT RECEIVED THANK YOU</v>
      </c>
    </row>
    <row r="840" spans="1:9" x14ac:dyDescent="0.25">
      <c r="A840" t="s">
        <v>71</v>
      </c>
      <c r="B840" t="s">
        <v>230</v>
      </c>
      <c r="C840" t="s">
        <v>229</v>
      </c>
      <c r="D840" s="1">
        <v>45163</v>
      </c>
      <c r="E840" t="s">
        <v>108</v>
      </c>
      <c r="F840">
        <v>19.7</v>
      </c>
      <c r="G840" t="str">
        <f>VLOOKUP(E840,[1]ChatGPT!$1:$1048576,2,FALSE)</f>
        <v>Internal Transactions</v>
      </c>
      <c r="H840" t="str">
        <f>VLOOKUP(E840,[1]ChatGPT!$1:$1048576,3,FALSE)</f>
        <v>ASB</v>
      </c>
      <c r="I840" t="str">
        <f>VLOOKUP(E840,[1]ChatGPT!$1:$1048576,4,FALSE)</f>
        <v>PAYMENT RECEIVED THANK YOU</v>
      </c>
    </row>
    <row r="841" spans="1:9" x14ac:dyDescent="0.25">
      <c r="A841" t="s">
        <v>71</v>
      </c>
      <c r="B841" t="s">
        <v>230</v>
      </c>
      <c r="C841" t="s">
        <v>229</v>
      </c>
      <c r="D841" s="1">
        <v>45162</v>
      </c>
      <c r="E841" t="s">
        <v>116</v>
      </c>
      <c r="F841">
        <v>-3.8</v>
      </c>
      <c r="G841" t="str">
        <f>VLOOKUP(E841,[1]ChatGPT!$1:$1048576,2,FALSE)</f>
        <v>Transport</v>
      </c>
      <c r="H841" t="str">
        <f>VLOOKUP(E841,[1]ChatGPT!$1:$1048576,3,FALSE)</f>
        <v xml:space="preserve">Petrol </v>
      </c>
      <c r="I841" t="str">
        <f>VLOOKUP(E841,[1]ChatGPT!$1:$1048576,4,FALSE)</f>
        <v>Transport - Parking</v>
      </c>
    </row>
    <row r="842" spans="1:9" x14ac:dyDescent="0.25">
      <c r="A842" t="s">
        <v>71</v>
      </c>
      <c r="B842" t="s">
        <v>230</v>
      </c>
      <c r="C842" t="s">
        <v>229</v>
      </c>
      <c r="D842" s="1">
        <v>45164</v>
      </c>
      <c r="E842" t="s">
        <v>108</v>
      </c>
      <c r="F842">
        <v>116.68</v>
      </c>
      <c r="G842" t="str">
        <f>VLOOKUP(E842,[1]ChatGPT!$1:$1048576,2,FALSE)</f>
        <v>Internal Transactions</v>
      </c>
      <c r="H842" t="str">
        <f>VLOOKUP(E842,[1]ChatGPT!$1:$1048576,3,FALSE)</f>
        <v>ASB</v>
      </c>
      <c r="I842" t="str">
        <f>VLOOKUP(E842,[1]ChatGPT!$1:$1048576,4,FALSE)</f>
        <v>PAYMENT RECEIVED THANK YOU</v>
      </c>
    </row>
    <row r="843" spans="1:9" x14ac:dyDescent="0.25">
      <c r="A843" t="s">
        <v>71</v>
      </c>
      <c r="B843" t="s">
        <v>230</v>
      </c>
      <c r="C843" t="s">
        <v>229</v>
      </c>
      <c r="D843" s="1">
        <v>45164</v>
      </c>
      <c r="E843" t="s">
        <v>108</v>
      </c>
      <c r="F843">
        <v>0.67</v>
      </c>
      <c r="G843" t="str">
        <f>VLOOKUP(E843,[1]ChatGPT!$1:$1048576,2,FALSE)</f>
        <v>Internal Transactions</v>
      </c>
      <c r="H843" t="str">
        <f>VLOOKUP(E843,[1]ChatGPT!$1:$1048576,3,FALSE)</f>
        <v>ASB</v>
      </c>
      <c r="I843" t="str">
        <f>VLOOKUP(E843,[1]ChatGPT!$1:$1048576,4,FALSE)</f>
        <v>PAYMENT RECEIVED THANK YOU</v>
      </c>
    </row>
    <row r="844" spans="1:9" x14ac:dyDescent="0.25">
      <c r="A844" t="s">
        <v>71</v>
      </c>
      <c r="B844" t="s">
        <v>230</v>
      </c>
      <c r="C844" t="s">
        <v>229</v>
      </c>
      <c r="D844" s="1">
        <v>45163</v>
      </c>
      <c r="E844" t="s">
        <v>168</v>
      </c>
      <c r="F844">
        <v>-4.9400000000000004</v>
      </c>
      <c r="G844" t="str">
        <f>VLOOKUP(E844,[1]ChatGPT!$1:$1048576,2,FALSE)</f>
        <v>Recreational &amp; Entertainment</v>
      </c>
      <c r="H844" t="str">
        <f>VLOOKUP(E844,[1]ChatGPT!$1:$1048576,3,FALSE)</f>
        <v xml:space="preserve">Dining Out </v>
      </c>
      <c r="I844" t="str">
        <f>VLOOKUP(E844,[1]ChatGPT!$1:$1048576,4,FALSE)</f>
        <v>Dinning</v>
      </c>
    </row>
    <row r="845" spans="1:9" x14ac:dyDescent="0.25">
      <c r="A845" t="s">
        <v>71</v>
      </c>
      <c r="B845" t="s">
        <v>230</v>
      </c>
      <c r="C845" t="s">
        <v>229</v>
      </c>
      <c r="D845" s="1">
        <v>45163</v>
      </c>
      <c r="E845" t="s">
        <v>107</v>
      </c>
      <c r="F845">
        <v>-2.88</v>
      </c>
      <c r="G845" t="str">
        <f>VLOOKUP(E845,[1]ChatGPT!$1:$1048576,2,FALSE)</f>
        <v>Recreational &amp; Entertainment</v>
      </c>
      <c r="H845" t="str">
        <f>VLOOKUP(E845,[1]ChatGPT!$1:$1048576,3,FALSE)</f>
        <v xml:space="preserve">Dining Out </v>
      </c>
      <c r="I845" t="str">
        <f>VLOOKUP(E845,[1]ChatGPT!$1:$1048576,4,FALSE)</f>
        <v>Dinning</v>
      </c>
    </row>
    <row r="846" spans="1:9" x14ac:dyDescent="0.25">
      <c r="A846" t="s">
        <v>71</v>
      </c>
      <c r="B846" t="s">
        <v>230</v>
      </c>
      <c r="C846" t="s">
        <v>229</v>
      </c>
      <c r="D846" s="1">
        <v>45165</v>
      </c>
      <c r="E846" t="s">
        <v>108</v>
      </c>
      <c r="F846">
        <v>19.079999999999998</v>
      </c>
      <c r="G846" t="str">
        <f>VLOOKUP(E846,[1]ChatGPT!$1:$1048576,2,FALSE)</f>
        <v>Internal Transactions</v>
      </c>
      <c r="H846" t="str">
        <f>VLOOKUP(E846,[1]ChatGPT!$1:$1048576,3,FALSE)</f>
        <v>ASB</v>
      </c>
      <c r="I846" t="str">
        <f>VLOOKUP(E846,[1]ChatGPT!$1:$1048576,4,FALSE)</f>
        <v>PAYMENT RECEIVED THANK YOU</v>
      </c>
    </row>
    <row r="847" spans="1:9" x14ac:dyDescent="0.25">
      <c r="A847" t="s">
        <v>71</v>
      </c>
      <c r="B847" t="s">
        <v>230</v>
      </c>
      <c r="C847" t="s">
        <v>229</v>
      </c>
      <c r="D847" s="1">
        <v>45164</v>
      </c>
      <c r="E847" t="s">
        <v>122</v>
      </c>
      <c r="F847">
        <v>-5.58</v>
      </c>
      <c r="G847" t="str">
        <f>VLOOKUP(E847,[1]ChatGPT!$1:$1048576,2,FALSE)</f>
        <v>Groceries</v>
      </c>
      <c r="H847" t="str">
        <f>VLOOKUP(E847,[1]ChatGPT!$1:$1048576,3,FALSE)</f>
        <v>Grocery</v>
      </c>
      <c r="I847" t="str">
        <f>VLOOKUP(E847,[1]ChatGPT!$1:$1048576,4,FALSE)</f>
        <v>Grocery</v>
      </c>
    </row>
    <row r="848" spans="1:9" x14ac:dyDescent="0.25">
      <c r="A848" t="s">
        <v>71</v>
      </c>
      <c r="B848" t="s">
        <v>230</v>
      </c>
      <c r="C848" t="s">
        <v>229</v>
      </c>
      <c r="D848" s="1">
        <v>45164</v>
      </c>
      <c r="E848" t="s">
        <v>169</v>
      </c>
      <c r="F848">
        <v>-29.88</v>
      </c>
      <c r="G848" t="str">
        <f>VLOOKUP(E848,[1]ChatGPT!$1:$1048576,2,FALSE)</f>
        <v>Recreational &amp; Entertainment</v>
      </c>
      <c r="H848" t="str">
        <f>VLOOKUP(E848,[1]ChatGPT!$1:$1048576,3,FALSE)</f>
        <v xml:space="preserve">Dining Out </v>
      </c>
      <c r="I848" t="str">
        <f>VLOOKUP(E848,[1]ChatGPT!$1:$1048576,4,FALSE)</f>
        <v>Dinning</v>
      </c>
    </row>
    <row r="849" spans="1:9" x14ac:dyDescent="0.25">
      <c r="A849" t="s">
        <v>71</v>
      </c>
      <c r="B849" t="s">
        <v>230</v>
      </c>
      <c r="C849" t="s">
        <v>229</v>
      </c>
      <c r="D849" s="1">
        <v>45164</v>
      </c>
      <c r="E849" t="s">
        <v>170</v>
      </c>
      <c r="F849">
        <v>-2.02</v>
      </c>
      <c r="G849" t="str">
        <f>VLOOKUP(E849,[1]ChatGPT!$1:$1048576,2,FALSE)</f>
        <v>Recreational &amp; Entertainment</v>
      </c>
      <c r="H849" t="str">
        <f>VLOOKUP(E849,[1]ChatGPT!$1:$1048576,3,FALSE)</f>
        <v>Entertainment</v>
      </c>
      <c r="I849" t="str">
        <f>VLOOKUP(E849,[1]ChatGPT!$1:$1048576,4,FALSE)</f>
        <v>Cinema</v>
      </c>
    </row>
    <row r="850" spans="1:9" x14ac:dyDescent="0.25">
      <c r="A850" t="s">
        <v>71</v>
      </c>
      <c r="B850" t="s">
        <v>230</v>
      </c>
      <c r="C850" t="s">
        <v>229</v>
      </c>
      <c r="D850" s="1">
        <v>45164</v>
      </c>
      <c r="E850" t="s">
        <v>119</v>
      </c>
      <c r="F850">
        <v>-5.52</v>
      </c>
      <c r="G850" t="s">
        <v>68</v>
      </c>
      <c r="H850" t="s">
        <v>69</v>
      </c>
      <c r="I850" t="s">
        <v>69</v>
      </c>
    </row>
    <row r="851" spans="1:9" x14ac:dyDescent="0.25">
      <c r="A851" t="s">
        <v>71</v>
      </c>
      <c r="B851" t="s">
        <v>230</v>
      </c>
      <c r="C851" t="s">
        <v>229</v>
      </c>
      <c r="D851" s="1">
        <v>45164</v>
      </c>
      <c r="E851" t="s">
        <v>171</v>
      </c>
      <c r="F851">
        <v>-11.55</v>
      </c>
      <c r="G851" t="s">
        <v>68</v>
      </c>
      <c r="H851" t="s">
        <v>69</v>
      </c>
      <c r="I851" t="s">
        <v>69</v>
      </c>
    </row>
    <row r="852" spans="1:9" x14ac:dyDescent="0.25">
      <c r="A852" t="s">
        <v>71</v>
      </c>
      <c r="B852" t="s">
        <v>230</v>
      </c>
      <c r="C852" t="s">
        <v>229</v>
      </c>
      <c r="D852" s="1">
        <v>45164</v>
      </c>
      <c r="E852" t="s">
        <v>172</v>
      </c>
      <c r="F852">
        <v>-53.56</v>
      </c>
      <c r="G852" t="str">
        <f>VLOOKUP(E852,[1]ChatGPT!$1:$1048576,2,FALSE)</f>
        <v>Transport</v>
      </c>
      <c r="H852" t="str">
        <f>VLOOKUP(E852,[1]ChatGPT!$1:$1048576,3,FALSE)</f>
        <v xml:space="preserve">Petrol </v>
      </c>
      <c r="I852" t="s">
        <v>98</v>
      </c>
    </row>
    <row r="853" spans="1:9" x14ac:dyDescent="0.25">
      <c r="A853" t="s">
        <v>71</v>
      </c>
      <c r="B853" t="s">
        <v>230</v>
      </c>
      <c r="C853" t="s">
        <v>229</v>
      </c>
      <c r="D853" s="1">
        <v>45165</v>
      </c>
      <c r="E853" t="s">
        <v>139</v>
      </c>
      <c r="F853">
        <v>-16.489999999999998</v>
      </c>
      <c r="G853" t="str">
        <f>VLOOKUP(E853,[1]ChatGPT!$1:$1048576,2,FALSE)</f>
        <v>Groceries</v>
      </c>
      <c r="H853" t="str">
        <f>VLOOKUP(E853,[1]ChatGPT!$1:$1048576,3,FALSE)</f>
        <v>Grocery</v>
      </c>
      <c r="I853" t="str">
        <f>VLOOKUP(E853,[1]ChatGPT!$1:$1048576,4,FALSE)</f>
        <v>Grocery</v>
      </c>
    </row>
    <row r="854" spans="1:9" x14ac:dyDescent="0.25">
      <c r="A854" t="s">
        <v>71</v>
      </c>
      <c r="B854" t="s">
        <v>230</v>
      </c>
      <c r="C854" t="s">
        <v>229</v>
      </c>
      <c r="D854" s="1">
        <v>45164</v>
      </c>
      <c r="E854" t="s">
        <v>173</v>
      </c>
      <c r="F854">
        <v>-44.04</v>
      </c>
      <c r="G854" t="str">
        <f>VLOOKUP(E854,[1]ChatGPT!$1:$1048576,2,FALSE)</f>
        <v>Recreational &amp; Entertainment</v>
      </c>
      <c r="H854" t="str">
        <f>VLOOKUP(E854,[1]ChatGPT!$1:$1048576,3,FALSE)</f>
        <v xml:space="preserve">Dining Out </v>
      </c>
      <c r="I854" t="str">
        <f>VLOOKUP(E854,[1]ChatGPT!$1:$1048576,4,FALSE)</f>
        <v>Dinning</v>
      </c>
    </row>
    <row r="855" spans="1:9" x14ac:dyDescent="0.25">
      <c r="A855" t="s">
        <v>71</v>
      </c>
      <c r="B855" t="s">
        <v>230</v>
      </c>
      <c r="C855" t="s">
        <v>229</v>
      </c>
      <c r="D855" s="1">
        <v>45165</v>
      </c>
      <c r="E855" t="s">
        <v>174</v>
      </c>
      <c r="F855">
        <v>-20.69</v>
      </c>
      <c r="G855" t="str">
        <f>VLOOKUP(E855,[1]ChatGPT!$1:$1048576,2,FALSE)</f>
        <v>Recreational &amp; Entertainment</v>
      </c>
      <c r="H855" t="str">
        <f>VLOOKUP(E855,[1]ChatGPT!$1:$1048576,3,FALSE)</f>
        <v xml:space="preserve">Gym </v>
      </c>
      <c r="I855" t="str">
        <f>VLOOKUP(E855,[1]ChatGPT!$1:$1048576,4,FALSE)</f>
        <v>GYM</v>
      </c>
    </row>
    <row r="856" spans="1:9" x14ac:dyDescent="0.25">
      <c r="A856" t="s">
        <v>71</v>
      </c>
      <c r="B856" t="s">
        <v>230</v>
      </c>
      <c r="C856" t="s">
        <v>229</v>
      </c>
      <c r="D856" s="1">
        <v>45165</v>
      </c>
      <c r="E856" t="s">
        <v>175</v>
      </c>
      <c r="F856">
        <v>-0.44</v>
      </c>
      <c r="G856" t="str">
        <f>VLOOKUP(E856,[1]ChatGPT!$1:$1048576,2,FALSE)</f>
        <v>Transport</v>
      </c>
      <c r="H856" t="str">
        <f>VLOOKUP(E856,[1]ChatGPT!$1:$1048576,3,FALSE)</f>
        <v xml:space="preserve">Petrol </v>
      </c>
      <c r="I856" t="s">
        <v>98</v>
      </c>
    </row>
    <row r="857" spans="1:9" x14ac:dyDescent="0.25">
      <c r="A857" t="s">
        <v>71</v>
      </c>
      <c r="B857" t="s">
        <v>230</v>
      </c>
      <c r="C857" t="s">
        <v>229</v>
      </c>
      <c r="D857" s="1">
        <v>45168</v>
      </c>
      <c r="E857" t="s">
        <v>108</v>
      </c>
      <c r="F857">
        <v>199.83</v>
      </c>
      <c r="G857" t="str">
        <f>VLOOKUP(E857,[1]ChatGPT!$1:$1048576,2,FALSE)</f>
        <v>Internal Transactions</v>
      </c>
      <c r="H857" t="str">
        <f>VLOOKUP(E857,[1]ChatGPT!$1:$1048576,3,FALSE)</f>
        <v>ASB</v>
      </c>
      <c r="I857" t="str">
        <f>VLOOKUP(E857,[1]ChatGPT!$1:$1048576,4,FALSE)</f>
        <v>PAYMENT RECEIVED THANK YOU</v>
      </c>
    </row>
    <row r="858" spans="1:9" x14ac:dyDescent="0.25">
      <c r="A858" t="s">
        <v>71</v>
      </c>
      <c r="B858" t="s">
        <v>230</v>
      </c>
      <c r="C858" t="s">
        <v>229</v>
      </c>
      <c r="D858" s="1">
        <v>45167</v>
      </c>
      <c r="E858" t="s">
        <v>116</v>
      </c>
      <c r="F858">
        <v>-1.36</v>
      </c>
      <c r="G858" t="str">
        <f>VLOOKUP(E858,[1]ChatGPT!$1:$1048576,2,FALSE)</f>
        <v>Transport</v>
      </c>
      <c r="H858" t="str">
        <f>VLOOKUP(E858,[1]ChatGPT!$1:$1048576,3,FALSE)</f>
        <v xml:space="preserve">Petrol </v>
      </c>
      <c r="I858" t="str">
        <f>VLOOKUP(E858,[1]ChatGPT!$1:$1048576,4,FALSE)</f>
        <v>Transport - Parking</v>
      </c>
    </row>
    <row r="859" spans="1:9" x14ac:dyDescent="0.25">
      <c r="A859" t="s">
        <v>71</v>
      </c>
      <c r="B859" t="s">
        <v>230</v>
      </c>
      <c r="C859" t="s">
        <v>229</v>
      </c>
      <c r="D859" s="1">
        <v>45167</v>
      </c>
      <c r="E859" t="s">
        <v>139</v>
      </c>
      <c r="F859">
        <v>-27.64</v>
      </c>
      <c r="G859" t="str">
        <f>VLOOKUP(E859,[1]ChatGPT!$1:$1048576,2,FALSE)</f>
        <v>Groceries</v>
      </c>
      <c r="H859" t="str">
        <f>VLOOKUP(E859,[1]ChatGPT!$1:$1048576,3,FALSE)</f>
        <v>Grocery</v>
      </c>
      <c r="I859" t="str">
        <f>VLOOKUP(E859,[1]ChatGPT!$1:$1048576,4,FALSE)</f>
        <v>Grocery</v>
      </c>
    </row>
    <row r="860" spans="1:9" x14ac:dyDescent="0.25">
      <c r="A860" t="s">
        <v>71</v>
      </c>
      <c r="B860" t="s">
        <v>230</v>
      </c>
      <c r="C860" t="s">
        <v>229</v>
      </c>
      <c r="D860" s="1">
        <v>45170</v>
      </c>
      <c r="E860" t="s">
        <v>108</v>
      </c>
      <c r="F860">
        <v>3.31</v>
      </c>
      <c r="G860" t="str">
        <f>VLOOKUP(E860,[1]ChatGPT!$1:$1048576,2,FALSE)</f>
        <v>Internal Transactions</v>
      </c>
      <c r="H860" t="str">
        <f>VLOOKUP(E860,[1]ChatGPT!$1:$1048576,3,FALSE)</f>
        <v>ASB</v>
      </c>
      <c r="I860" t="str">
        <f>VLOOKUP(E860,[1]ChatGPT!$1:$1048576,4,FALSE)</f>
        <v>PAYMENT RECEIVED THANK YOU</v>
      </c>
    </row>
    <row r="861" spans="1:9" x14ac:dyDescent="0.25">
      <c r="A861" t="s">
        <v>71</v>
      </c>
      <c r="B861" t="s">
        <v>230</v>
      </c>
      <c r="C861" t="s">
        <v>229</v>
      </c>
      <c r="D861" s="1">
        <v>45169</v>
      </c>
      <c r="E861" t="s">
        <v>111</v>
      </c>
      <c r="F861">
        <v>-1.96</v>
      </c>
      <c r="G861" t="str">
        <f>VLOOKUP(E861,[1]ChatGPT!$1:$1048576,2,FALSE)</f>
        <v>Recreational &amp; Entertainment</v>
      </c>
      <c r="H861" t="str">
        <f>VLOOKUP(E861,[1]ChatGPT!$1:$1048576,3,FALSE)</f>
        <v xml:space="preserve">Gym </v>
      </c>
      <c r="I861" t="str">
        <f>VLOOKUP(E861,[1]ChatGPT!$1:$1048576,4,FALSE)</f>
        <v>GYM</v>
      </c>
    </row>
    <row r="862" spans="1:9" x14ac:dyDescent="0.25">
      <c r="A862" t="s">
        <v>71</v>
      </c>
      <c r="B862" t="s">
        <v>230</v>
      </c>
      <c r="C862" t="s">
        <v>229</v>
      </c>
      <c r="D862" s="1">
        <v>45171</v>
      </c>
      <c r="E862" t="s">
        <v>108</v>
      </c>
      <c r="F862">
        <v>28.88</v>
      </c>
      <c r="G862" t="str">
        <f>VLOOKUP(E862,[1]ChatGPT!$1:$1048576,2,FALSE)</f>
        <v>Internal Transactions</v>
      </c>
      <c r="H862" t="str">
        <f>VLOOKUP(E862,[1]ChatGPT!$1:$1048576,3,FALSE)</f>
        <v>ASB</v>
      </c>
      <c r="I862" t="str">
        <f>VLOOKUP(E862,[1]ChatGPT!$1:$1048576,4,FALSE)</f>
        <v>PAYMENT RECEIVED THANK YOU</v>
      </c>
    </row>
    <row r="863" spans="1:9" x14ac:dyDescent="0.25">
      <c r="A863" t="s">
        <v>71</v>
      </c>
      <c r="B863" t="s">
        <v>230</v>
      </c>
      <c r="C863" t="s">
        <v>229</v>
      </c>
      <c r="D863" s="1">
        <v>45171</v>
      </c>
      <c r="E863" t="s">
        <v>176</v>
      </c>
      <c r="F863">
        <v>-1.46</v>
      </c>
      <c r="G863" t="s">
        <v>68</v>
      </c>
      <c r="H863" t="s">
        <v>69</v>
      </c>
      <c r="I863" t="s">
        <v>69</v>
      </c>
    </row>
    <row r="864" spans="1:9" x14ac:dyDescent="0.25">
      <c r="A864" t="s">
        <v>71</v>
      </c>
      <c r="B864" t="s">
        <v>230</v>
      </c>
      <c r="C864" t="s">
        <v>229</v>
      </c>
      <c r="D864" s="1">
        <v>45172</v>
      </c>
      <c r="E864" t="s">
        <v>108</v>
      </c>
      <c r="F864">
        <v>26.95</v>
      </c>
      <c r="G864" t="str">
        <f>VLOOKUP(E864,[1]ChatGPT!$1:$1048576,2,FALSE)</f>
        <v>Internal Transactions</v>
      </c>
      <c r="H864" t="str">
        <f>VLOOKUP(E864,[1]ChatGPT!$1:$1048576,3,FALSE)</f>
        <v>ASB</v>
      </c>
      <c r="I864" t="str">
        <f>VLOOKUP(E864,[1]ChatGPT!$1:$1048576,4,FALSE)</f>
        <v>PAYMENT RECEIVED THANK YOU</v>
      </c>
    </row>
    <row r="865" spans="1:9" x14ac:dyDescent="0.25">
      <c r="A865" t="s">
        <v>71</v>
      </c>
      <c r="B865" t="s">
        <v>230</v>
      </c>
      <c r="C865" t="s">
        <v>229</v>
      </c>
      <c r="D865" s="1">
        <v>45172</v>
      </c>
      <c r="E865" t="s">
        <v>177</v>
      </c>
      <c r="F865">
        <v>-52.8</v>
      </c>
      <c r="G865" t="str">
        <f>VLOOKUP(E865,[1]ChatGPT!$1:$1048576,2,FALSE)</f>
        <v>Groceries</v>
      </c>
      <c r="H865" t="str">
        <f>VLOOKUP(E865,[1]ChatGPT!$1:$1048576,3,FALSE)</f>
        <v>Grocery</v>
      </c>
      <c r="I865" t="str">
        <f>VLOOKUP(E865,[1]ChatGPT!$1:$1048576,4,FALSE)</f>
        <v>Grocery</v>
      </c>
    </row>
    <row r="866" spans="1:9" x14ac:dyDescent="0.25">
      <c r="A866" t="s">
        <v>71</v>
      </c>
      <c r="B866" t="s">
        <v>230</v>
      </c>
      <c r="C866" t="s">
        <v>229</v>
      </c>
      <c r="D866" s="1">
        <v>45172</v>
      </c>
      <c r="E866" t="s">
        <v>102</v>
      </c>
      <c r="F866">
        <v>-32.08</v>
      </c>
      <c r="G866" t="str">
        <f>VLOOKUP(E866,[1]ChatGPT!$1:$1048576,2,FALSE)</f>
        <v>Transport</v>
      </c>
      <c r="H866" t="str">
        <f>VLOOKUP(E866,[1]ChatGPT!$1:$1048576,3,FALSE)</f>
        <v xml:space="preserve">Petrol </v>
      </c>
      <c r="I866" t="str">
        <f>VLOOKUP(E866,[1]ChatGPT!$1:$1048576,4,FALSE)</f>
        <v>Transport - Fuel</v>
      </c>
    </row>
    <row r="867" spans="1:9" x14ac:dyDescent="0.25">
      <c r="A867" t="s">
        <v>71</v>
      </c>
      <c r="B867" t="s">
        <v>230</v>
      </c>
      <c r="C867" t="s">
        <v>229</v>
      </c>
      <c r="D867" s="1">
        <v>45175</v>
      </c>
      <c r="E867" t="s">
        <v>108</v>
      </c>
      <c r="F867">
        <v>2.72</v>
      </c>
      <c r="G867" t="str">
        <f>VLOOKUP(E867,[1]ChatGPT!$1:$1048576,2,FALSE)</f>
        <v>Internal Transactions</v>
      </c>
      <c r="H867" t="str">
        <f>VLOOKUP(E867,[1]ChatGPT!$1:$1048576,3,FALSE)</f>
        <v>ASB</v>
      </c>
      <c r="I867" t="str">
        <f>VLOOKUP(E867,[1]ChatGPT!$1:$1048576,4,FALSE)</f>
        <v>PAYMENT RECEIVED THANK YOU</v>
      </c>
    </row>
    <row r="868" spans="1:9" x14ac:dyDescent="0.25">
      <c r="A868" t="s">
        <v>71</v>
      </c>
      <c r="B868" t="s">
        <v>230</v>
      </c>
      <c r="C868" t="s">
        <v>229</v>
      </c>
      <c r="D868" s="1">
        <v>45175</v>
      </c>
      <c r="E868" t="s">
        <v>108</v>
      </c>
      <c r="F868">
        <v>12.25</v>
      </c>
      <c r="G868" t="str">
        <f>VLOOKUP(E868,[1]ChatGPT!$1:$1048576,2,FALSE)</f>
        <v>Internal Transactions</v>
      </c>
      <c r="H868" t="str">
        <f>VLOOKUP(E868,[1]ChatGPT!$1:$1048576,3,FALSE)</f>
        <v>ASB</v>
      </c>
      <c r="I868" t="str">
        <f>VLOOKUP(E868,[1]ChatGPT!$1:$1048576,4,FALSE)</f>
        <v>PAYMENT RECEIVED THANK YOU</v>
      </c>
    </row>
    <row r="869" spans="1:9" x14ac:dyDescent="0.25">
      <c r="A869" t="s">
        <v>71</v>
      </c>
      <c r="B869" t="s">
        <v>230</v>
      </c>
      <c r="C869" t="s">
        <v>229</v>
      </c>
      <c r="D869" s="1">
        <v>45174</v>
      </c>
      <c r="E869" t="s">
        <v>178</v>
      </c>
      <c r="F869">
        <v>5.89</v>
      </c>
      <c r="G869" t="s">
        <v>76</v>
      </c>
      <c r="H869" t="s">
        <v>87</v>
      </c>
      <c r="I869" t="s">
        <v>88</v>
      </c>
    </row>
    <row r="870" spans="1:9" x14ac:dyDescent="0.25">
      <c r="A870" t="s">
        <v>71</v>
      </c>
      <c r="B870" t="s">
        <v>230</v>
      </c>
      <c r="C870" t="s">
        <v>229</v>
      </c>
      <c r="D870" s="1">
        <v>45174</v>
      </c>
      <c r="E870" t="s">
        <v>179</v>
      </c>
      <c r="F870">
        <v>-28.25</v>
      </c>
      <c r="G870" t="s">
        <v>76</v>
      </c>
      <c r="H870" t="s">
        <v>87</v>
      </c>
      <c r="I870" t="s">
        <v>88</v>
      </c>
    </row>
    <row r="871" spans="1:9" x14ac:dyDescent="0.25">
      <c r="A871" t="s">
        <v>71</v>
      </c>
      <c r="B871" t="s">
        <v>230</v>
      </c>
      <c r="C871" t="s">
        <v>229</v>
      </c>
      <c r="D871" s="1">
        <v>45174</v>
      </c>
      <c r="E871" t="s">
        <v>179</v>
      </c>
      <c r="F871">
        <v>-11.48</v>
      </c>
      <c r="G871" t="s">
        <v>76</v>
      </c>
      <c r="H871" t="s">
        <v>87</v>
      </c>
      <c r="I871" t="s">
        <v>88</v>
      </c>
    </row>
    <row r="872" spans="1:9" x14ac:dyDescent="0.25">
      <c r="A872" t="s">
        <v>71</v>
      </c>
      <c r="B872" t="s">
        <v>230</v>
      </c>
      <c r="C872" t="s">
        <v>229</v>
      </c>
      <c r="D872" s="1">
        <v>45174</v>
      </c>
      <c r="E872" t="s">
        <v>178</v>
      </c>
      <c r="F872">
        <v>-74.91</v>
      </c>
      <c r="G872" t="s">
        <v>76</v>
      </c>
      <c r="H872" t="s">
        <v>87</v>
      </c>
      <c r="I872" t="s">
        <v>88</v>
      </c>
    </row>
    <row r="873" spans="1:9" x14ac:dyDescent="0.25">
      <c r="A873" t="s">
        <v>71</v>
      </c>
      <c r="B873" t="s">
        <v>230</v>
      </c>
      <c r="C873" t="s">
        <v>229</v>
      </c>
      <c r="D873" s="1">
        <v>45175</v>
      </c>
      <c r="E873" t="s">
        <v>180</v>
      </c>
      <c r="F873">
        <v>-52.86</v>
      </c>
      <c r="G873" t="str">
        <f>VLOOKUP(E873,[1]ChatGPT!$1:$1048576,2,FALSE)</f>
        <v>Groceries</v>
      </c>
      <c r="H873" t="str">
        <f>VLOOKUP(E873,[1]ChatGPT!$1:$1048576,3,FALSE)</f>
        <v>Grocery</v>
      </c>
      <c r="I873" t="str">
        <f>VLOOKUP(E873,[1]ChatGPT!$1:$1048576,4,FALSE)</f>
        <v>Grocery</v>
      </c>
    </row>
    <row r="874" spans="1:9" x14ac:dyDescent="0.25">
      <c r="A874" t="s">
        <v>71</v>
      </c>
      <c r="B874" t="s">
        <v>230</v>
      </c>
      <c r="C874" t="s">
        <v>229</v>
      </c>
      <c r="D874" s="1">
        <v>45175</v>
      </c>
      <c r="E874" t="s">
        <v>181</v>
      </c>
      <c r="F874">
        <v>-92.63</v>
      </c>
      <c r="G874" t="s">
        <v>76</v>
      </c>
      <c r="H874" t="s">
        <v>87</v>
      </c>
      <c r="I874" t="s">
        <v>88</v>
      </c>
    </row>
    <row r="875" spans="1:9" x14ac:dyDescent="0.25">
      <c r="A875" t="s">
        <v>71</v>
      </c>
      <c r="B875" t="s">
        <v>230</v>
      </c>
      <c r="C875" t="s">
        <v>229</v>
      </c>
      <c r="D875" s="1">
        <v>45176</v>
      </c>
      <c r="E875" t="s">
        <v>108</v>
      </c>
      <c r="F875">
        <v>11.57</v>
      </c>
      <c r="G875" t="str">
        <f>VLOOKUP(E875,[1]ChatGPT!$1:$1048576,2,FALSE)</f>
        <v>Internal Transactions</v>
      </c>
      <c r="H875" t="str">
        <f>VLOOKUP(E875,[1]ChatGPT!$1:$1048576,3,FALSE)</f>
        <v>ASB</v>
      </c>
      <c r="I875" t="str">
        <f>VLOOKUP(E875,[1]ChatGPT!$1:$1048576,4,FALSE)</f>
        <v>PAYMENT RECEIVED THANK YOU</v>
      </c>
    </row>
    <row r="876" spans="1:9" x14ac:dyDescent="0.25">
      <c r="A876" t="s">
        <v>71</v>
      </c>
      <c r="B876" t="s">
        <v>230</v>
      </c>
      <c r="C876" t="s">
        <v>229</v>
      </c>
      <c r="D876" s="1">
        <v>45176</v>
      </c>
      <c r="E876" t="s">
        <v>108</v>
      </c>
      <c r="F876">
        <v>128.25</v>
      </c>
      <c r="G876" t="str">
        <f>VLOOKUP(E876,[1]ChatGPT!$1:$1048576,2,FALSE)</f>
        <v>Internal Transactions</v>
      </c>
      <c r="H876" t="str">
        <f>VLOOKUP(E876,[1]ChatGPT!$1:$1048576,3,FALSE)</f>
        <v>ASB</v>
      </c>
      <c r="I876" t="str">
        <f>VLOOKUP(E876,[1]ChatGPT!$1:$1048576,4,FALSE)</f>
        <v>PAYMENT RECEIVED THANK YOU</v>
      </c>
    </row>
    <row r="877" spans="1:9" x14ac:dyDescent="0.25">
      <c r="A877" t="s">
        <v>71</v>
      </c>
      <c r="B877" t="s">
        <v>230</v>
      </c>
      <c r="C877" t="s">
        <v>229</v>
      </c>
      <c r="D877" s="1">
        <v>45177</v>
      </c>
      <c r="E877" t="s">
        <v>108</v>
      </c>
      <c r="F877">
        <v>76.849999999999994</v>
      </c>
      <c r="G877" t="str">
        <f>VLOOKUP(E877,[1]ChatGPT!$1:$1048576,2,FALSE)</f>
        <v>Internal Transactions</v>
      </c>
      <c r="H877" t="str">
        <f>VLOOKUP(E877,[1]ChatGPT!$1:$1048576,3,FALSE)</f>
        <v>ASB</v>
      </c>
      <c r="I877" t="str">
        <f>VLOOKUP(E877,[1]ChatGPT!$1:$1048576,4,FALSE)</f>
        <v>PAYMENT RECEIVED THANK YOU</v>
      </c>
    </row>
    <row r="878" spans="1:9" x14ac:dyDescent="0.25">
      <c r="A878" t="s">
        <v>71</v>
      </c>
      <c r="B878" t="s">
        <v>230</v>
      </c>
      <c r="C878" t="s">
        <v>229</v>
      </c>
      <c r="D878" s="1">
        <v>45177</v>
      </c>
      <c r="E878" t="s">
        <v>108</v>
      </c>
      <c r="F878">
        <v>0.09</v>
      </c>
      <c r="G878" t="str">
        <f>VLOOKUP(E878,[1]ChatGPT!$1:$1048576,2,FALSE)</f>
        <v>Internal Transactions</v>
      </c>
      <c r="H878" t="str">
        <f>VLOOKUP(E878,[1]ChatGPT!$1:$1048576,3,FALSE)</f>
        <v>ASB</v>
      </c>
      <c r="I878" t="str">
        <f>VLOOKUP(E878,[1]ChatGPT!$1:$1048576,4,FALSE)</f>
        <v>PAYMENT RECEIVED THANK YOU</v>
      </c>
    </row>
    <row r="879" spans="1:9" x14ac:dyDescent="0.25">
      <c r="A879" t="s">
        <v>71</v>
      </c>
      <c r="B879" t="s">
        <v>230</v>
      </c>
      <c r="C879" t="s">
        <v>229</v>
      </c>
      <c r="D879" s="1">
        <v>45176</v>
      </c>
      <c r="E879" t="s">
        <v>111</v>
      </c>
      <c r="F879">
        <v>-14.9</v>
      </c>
      <c r="G879" t="str">
        <f>VLOOKUP(E879,[1]ChatGPT!$1:$1048576,2,FALSE)</f>
        <v>Recreational &amp; Entertainment</v>
      </c>
      <c r="H879" t="str">
        <f>VLOOKUP(E879,[1]ChatGPT!$1:$1048576,3,FALSE)</f>
        <v xml:space="preserve">Gym </v>
      </c>
      <c r="I879" t="str">
        <f>VLOOKUP(E879,[1]ChatGPT!$1:$1048576,4,FALSE)</f>
        <v>GYM</v>
      </c>
    </row>
    <row r="880" spans="1:9" x14ac:dyDescent="0.25">
      <c r="A880" t="s">
        <v>71</v>
      </c>
      <c r="B880" t="s">
        <v>230</v>
      </c>
      <c r="C880" t="s">
        <v>229</v>
      </c>
      <c r="D880" s="1">
        <v>45177</v>
      </c>
      <c r="E880" t="s">
        <v>182</v>
      </c>
      <c r="F880">
        <v>-11.17</v>
      </c>
      <c r="G880" t="str">
        <f>VLOOKUP(E880,[1]ChatGPT!$1:$1048576,2,FALSE)</f>
        <v>Recreational &amp; Entertainment</v>
      </c>
      <c r="H880" t="str">
        <f>VLOOKUP(E880,[1]ChatGPT!$1:$1048576,3,FALSE)</f>
        <v xml:space="preserve">Travel </v>
      </c>
      <c r="I880" t="str">
        <f>VLOOKUP(E880,[1]ChatGPT!$1:$1048576,4,FALSE)</f>
        <v>Travel</v>
      </c>
    </row>
    <row r="881" spans="1:9" x14ac:dyDescent="0.25">
      <c r="A881" t="s">
        <v>71</v>
      </c>
      <c r="B881" t="s">
        <v>230</v>
      </c>
      <c r="C881" t="s">
        <v>229</v>
      </c>
      <c r="D881" s="1">
        <v>45177</v>
      </c>
      <c r="E881" t="s">
        <v>183</v>
      </c>
      <c r="F881">
        <v>-68.09</v>
      </c>
      <c r="G881" t="str">
        <f>VLOOKUP(E881,[1]ChatGPT!$1:$1048576,2,FALSE)</f>
        <v>Transport</v>
      </c>
      <c r="H881" t="str">
        <f>VLOOKUP(E881,[1]ChatGPT!$1:$1048576,3,FALSE)</f>
        <v xml:space="preserve">Petrol </v>
      </c>
      <c r="I881" t="s">
        <v>98</v>
      </c>
    </row>
    <row r="882" spans="1:9" x14ac:dyDescent="0.25">
      <c r="A882" t="s">
        <v>71</v>
      </c>
      <c r="B882" t="s">
        <v>230</v>
      </c>
      <c r="C882" t="s">
        <v>229</v>
      </c>
      <c r="D882" s="1">
        <v>45180</v>
      </c>
      <c r="E882" t="s">
        <v>108</v>
      </c>
      <c r="F882">
        <v>1.41</v>
      </c>
      <c r="G882" t="str">
        <f>VLOOKUP(E882,[1]ChatGPT!$1:$1048576,2,FALSE)</f>
        <v>Internal Transactions</v>
      </c>
      <c r="H882" t="str">
        <f>VLOOKUP(E882,[1]ChatGPT!$1:$1048576,3,FALSE)</f>
        <v>ASB</v>
      </c>
      <c r="I882" t="str">
        <f>VLOOKUP(E882,[1]ChatGPT!$1:$1048576,4,FALSE)</f>
        <v>PAYMENT RECEIVED THANK YOU</v>
      </c>
    </row>
    <row r="883" spans="1:9" x14ac:dyDescent="0.25">
      <c r="A883" t="s">
        <v>71</v>
      </c>
      <c r="B883" t="s">
        <v>230</v>
      </c>
      <c r="C883" t="s">
        <v>229</v>
      </c>
      <c r="D883" s="1">
        <v>45181</v>
      </c>
      <c r="E883" t="s">
        <v>116</v>
      </c>
      <c r="F883">
        <v>-27.71</v>
      </c>
      <c r="G883" t="str">
        <f>VLOOKUP(E883,[1]ChatGPT!$1:$1048576,2,FALSE)</f>
        <v>Transport</v>
      </c>
      <c r="H883" t="str">
        <f>VLOOKUP(E883,[1]ChatGPT!$1:$1048576,3,FALSE)</f>
        <v xml:space="preserve">Petrol </v>
      </c>
      <c r="I883" t="str">
        <f>VLOOKUP(E883,[1]ChatGPT!$1:$1048576,4,FALSE)</f>
        <v>Transport - Parking</v>
      </c>
    </row>
    <row r="884" spans="1:9" x14ac:dyDescent="0.25">
      <c r="A884" t="s">
        <v>71</v>
      </c>
      <c r="B884" t="s">
        <v>230</v>
      </c>
      <c r="C884" t="s">
        <v>229</v>
      </c>
      <c r="D884" s="1">
        <v>45181</v>
      </c>
      <c r="E884" t="s">
        <v>108</v>
      </c>
      <c r="F884">
        <v>13.8</v>
      </c>
      <c r="G884" t="str">
        <f>VLOOKUP(E884,[1]ChatGPT!$1:$1048576,2,FALSE)</f>
        <v>Internal Transactions</v>
      </c>
      <c r="H884" t="str">
        <f>VLOOKUP(E884,[1]ChatGPT!$1:$1048576,3,FALSE)</f>
        <v>ASB</v>
      </c>
      <c r="I884" t="str">
        <f>VLOOKUP(E884,[1]ChatGPT!$1:$1048576,4,FALSE)</f>
        <v>PAYMENT RECEIVED THANK YOU</v>
      </c>
    </row>
    <row r="885" spans="1:9" x14ac:dyDescent="0.25">
      <c r="A885" t="s">
        <v>71</v>
      </c>
      <c r="B885" t="s">
        <v>230</v>
      </c>
      <c r="C885" t="s">
        <v>229</v>
      </c>
      <c r="D885" s="1">
        <v>45183</v>
      </c>
      <c r="E885" t="s">
        <v>108</v>
      </c>
      <c r="F885">
        <v>8.06</v>
      </c>
      <c r="G885" t="str">
        <f>VLOOKUP(E885,[1]ChatGPT!$1:$1048576,2,FALSE)</f>
        <v>Internal Transactions</v>
      </c>
      <c r="H885" t="str">
        <f>VLOOKUP(E885,[1]ChatGPT!$1:$1048576,3,FALSE)</f>
        <v>ASB</v>
      </c>
      <c r="I885" t="str">
        <f>VLOOKUP(E885,[1]ChatGPT!$1:$1048576,4,FALSE)</f>
        <v>PAYMENT RECEIVED THANK YOU</v>
      </c>
    </row>
    <row r="886" spans="1:9" x14ac:dyDescent="0.25">
      <c r="A886" t="s">
        <v>71</v>
      </c>
      <c r="B886" t="s">
        <v>230</v>
      </c>
      <c r="C886" t="s">
        <v>229</v>
      </c>
      <c r="D886" s="1">
        <v>45183</v>
      </c>
      <c r="E886" t="s">
        <v>111</v>
      </c>
      <c r="F886">
        <v>-4.9400000000000004</v>
      </c>
      <c r="G886" t="str">
        <f>VLOOKUP(E886,[1]ChatGPT!$1:$1048576,2,FALSE)</f>
        <v>Recreational &amp; Entertainment</v>
      </c>
      <c r="H886" t="str">
        <f>VLOOKUP(E886,[1]ChatGPT!$1:$1048576,3,FALSE)</f>
        <v xml:space="preserve">Gym </v>
      </c>
      <c r="I886" t="str">
        <f>VLOOKUP(E886,[1]ChatGPT!$1:$1048576,4,FALSE)</f>
        <v>GYM</v>
      </c>
    </row>
    <row r="887" spans="1:9" x14ac:dyDescent="0.25">
      <c r="A887" t="s">
        <v>71</v>
      </c>
      <c r="B887" t="s">
        <v>230</v>
      </c>
      <c r="C887" t="s">
        <v>229</v>
      </c>
      <c r="D887" s="1">
        <v>45184</v>
      </c>
      <c r="E887" t="s">
        <v>108</v>
      </c>
      <c r="F887">
        <v>2.17</v>
      </c>
      <c r="G887" t="str">
        <f>VLOOKUP(E887,[1]ChatGPT!$1:$1048576,2,FALSE)</f>
        <v>Internal Transactions</v>
      </c>
      <c r="H887" t="str">
        <f>VLOOKUP(E887,[1]ChatGPT!$1:$1048576,3,FALSE)</f>
        <v>ASB</v>
      </c>
      <c r="I887" t="str">
        <f>VLOOKUP(E887,[1]ChatGPT!$1:$1048576,4,FALSE)</f>
        <v>PAYMENT RECEIVED THANK YOU</v>
      </c>
    </row>
    <row r="888" spans="1:9" x14ac:dyDescent="0.25">
      <c r="A888" t="s">
        <v>71</v>
      </c>
      <c r="B888" t="s">
        <v>230</v>
      </c>
      <c r="C888" t="s">
        <v>229</v>
      </c>
      <c r="D888" s="1">
        <v>45184</v>
      </c>
      <c r="E888" t="s">
        <v>184</v>
      </c>
      <c r="F888">
        <v>-5.7</v>
      </c>
      <c r="G888" t="str">
        <f>VLOOKUP(E888,[1]ChatGPT!$1:$1048576,2,FALSE)</f>
        <v>Recreational &amp; Entertainment</v>
      </c>
      <c r="H888" t="str">
        <f>VLOOKUP(E888,[1]ChatGPT!$1:$1048576,3,FALSE)</f>
        <v xml:space="preserve">Dining Out </v>
      </c>
      <c r="I888" t="str">
        <f>VLOOKUP(E888,[1]ChatGPT!$1:$1048576,4,FALSE)</f>
        <v>Dinning</v>
      </c>
    </row>
    <row r="889" spans="1:9" x14ac:dyDescent="0.25">
      <c r="A889" t="s">
        <v>71</v>
      </c>
      <c r="B889" t="s">
        <v>230</v>
      </c>
      <c r="C889" t="s">
        <v>229</v>
      </c>
      <c r="D889" s="1">
        <v>45186</v>
      </c>
      <c r="E889" t="s">
        <v>116</v>
      </c>
      <c r="F889">
        <v>-28.44</v>
      </c>
      <c r="G889" t="str">
        <f>VLOOKUP(E889,[1]ChatGPT!$1:$1048576,2,FALSE)</f>
        <v>Transport</v>
      </c>
      <c r="H889" t="str">
        <f>VLOOKUP(E889,[1]ChatGPT!$1:$1048576,3,FALSE)</f>
        <v xml:space="preserve">Petrol </v>
      </c>
      <c r="I889" t="str">
        <f>VLOOKUP(E889,[1]ChatGPT!$1:$1048576,4,FALSE)</f>
        <v>Transport - Parking</v>
      </c>
    </row>
    <row r="890" spans="1:9" x14ac:dyDescent="0.25">
      <c r="A890" t="s">
        <v>71</v>
      </c>
      <c r="B890" t="s">
        <v>230</v>
      </c>
      <c r="C890" t="s">
        <v>229</v>
      </c>
      <c r="D890" s="1">
        <v>45187</v>
      </c>
      <c r="E890" t="s">
        <v>108</v>
      </c>
      <c r="F890">
        <v>24.41</v>
      </c>
      <c r="G890" t="str">
        <f>VLOOKUP(E890,[1]ChatGPT!$1:$1048576,2,FALSE)</f>
        <v>Internal Transactions</v>
      </c>
      <c r="H890" t="str">
        <f>VLOOKUP(E890,[1]ChatGPT!$1:$1048576,3,FALSE)</f>
        <v>ASB</v>
      </c>
      <c r="I890" t="str">
        <f>VLOOKUP(E890,[1]ChatGPT!$1:$1048576,4,FALSE)</f>
        <v>PAYMENT RECEIVED THANK YOU</v>
      </c>
    </row>
    <row r="891" spans="1:9" x14ac:dyDescent="0.25">
      <c r="A891" t="s">
        <v>71</v>
      </c>
      <c r="B891" t="s">
        <v>230</v>
      </c>
      <c r="C891" t="s">
        <v>229</v>
      </c>
      <c r="D891" s="1">
        <v>45188</v>
      </c>
      <c r="E891" t="s">
        <v>108</v>
      </c>
      <c r="F891">
        <v>1.25</v>
      </c>
      <c r="G891" t="str">
        <f>VLOOKUP(E891,[1]ChatGPT!$1:$1048576,2,FALSE)</f>
        <v>Internal Transactions</v>
      </c>
      <c r="H891" t="str">
        <f>VLOOKUP(E891,[1]ChatGPT!$1:$1048576,3,FALSE)</f>
        <v>ASB</v>
      </c>
      <c r="I891" t="str">
        <f>VLOOKUP(E891,[1]ChatGPT!$1:$1048576,4,FALSE)</f>
        <v>PAYMENT RECEIVED THANK YOU</v>
      </c>
    </row>
    <row r="892" spans="1:9" x14ac:dyDescent="0.25">
      <c r="A892" t="s">
        <v>71</v>
      </c>
      <c r="B892" t="s">
        <v>230</v>
      </c>
      <c r="C892" t="s">
        <v>229</v>
      </c>
      <c r="D892" s="1">
        <v>45188</v>
      </c>
      <c r="E892" t="s">
        <v>108</v>
      </c>
      <c r="F892">
        <v>41.29</v>
      </c>
      <c r="G892" t="str">
        <f>VLOOKUP(E892,[1]ChatGPT!$1:$1048576,2,FALSE)</f>
        <v>Internal Transactions</v>
      </c>
      <c r="H892" t="str">
        <f>VLOOKUP(E892,[1]ChatGPT!$1:$1048576,3,FALSE)</f>
        <v>ASB</v>
      </c>
      <c r="I892" t="str">
        <f>VLOOKUP(E892,[1]ChatGPT!$1:$1048576,4,FALSE)</f>
        <v>PAYMENT RECEIVED THANK YOU</v>
      </c>
    </row>
    <row r="893" spans="1:9" x14ac:dyDescent="0.25">
      <c r="A893" t="s">
        <v>71</v>
      </c>
      <c r="B893" t="s">
        <v>230</v>
      </c>
      <c r="C893" t="s">
        <v>229</v>
      </c>
      <c r="D893" s="1">
        <v>45188</v>
      </c>
      <c r="E893" t="s">
        <v>185</v>
      </c>
      <c r="F893">
        <v>-102.9</v>
      </c>
      <c r="G893" t="str">
        <f>VLOOKUP(E893,[1]ChatGPT!$1:$1048576,2,FALSE)</f>
        <v>Recreational &amp; Entertainment</v>
      </c>
      <c r="H893" t="str">
        <f>VLOOKUP(E893,[1]ChatGPT!$1:$1048576,3,FALSE)</f>
        <v xml:space="preserve">Dining Out </v>
      </c>
      <c r="I893" t="str">
        <f>VLOOKUP(E893,[1]ChatGPT!$1:$1048576,4,FALSE)</f>
        <v>Dinning</v>
      </c>
    </row>
    <row r="894" spans="1:9" x14ac:dyDescent="0.25">
      <c r="A894" t="s">
        <v>71</v>
      </c>
      <c r="B894" t="s">
        <v>230</v>
      </c>
      <c r="C894" t="s">
        <v>229</v>
      </c>
      <c r="D894" s="1">
        <v>45188</v>
      </c>
      <c r="E894" t="s">
        <v>151</v>
      </c>
      <c r="F894">
        <v>-1.35</v>
      </c>
      <c r="G894" t="str">
        <f>VLOOKUP(E894,[1]ChatGPT!$1:$1048576,2,FALSE)</f>
        <v>Groceries</v>
      </c>
      <c r="H894" t="str">
        <f>VLOOKUP(E894,[1]ChatGPT!$1:$1048576,3,FALSE)</f>
        <v>Grocery</v>
      </c>
      <c r="I894" t="str">
        <f>VLOOKUP(E894,[1]ChatGPT!$1:$1048576,4,FALSE)</f>
        <v>Grocery</v>
      </c>
    </row>
    <row r="895" spans="1:9" x14ac:dyDescent="0.25">
      <c r="A895" t="s">
        <v>71</v>
      </c>
      <c r="B895" t="s">
        <v>230</v>
      </c>
      <c r="C895" t="s">
        <v>229</v>
      </c>
      <c r="D895" s="1">
        <v>45190</v>
      </c>
      <c r="E895" t="s">
        <v>108</v>
      </c>
      <c r="F895">
        <v>123.89</v>
      </c>
      <c r="G895" t="str">
        <f>VLOOKUP(E895,[1]ChatGPT!$1:$1048576,2,FALSE)</f>
        <v>Internal Transactions</v>
      </c>
      <c r="H895" t="str">
        <f>VLOOKUP(E895,[1]ChatGPT!$1:$1048576,3,FALSE)</f>
        <v>ASB</v>
      </c>
      <c r="I895" t="str">
        <f>VLOOKUP(E895,[1]ChatGPT!$1:$1048576,4,FALSE)</f>
        <v>PAYMENT RECEIVED THANK YOU</v>
      </c>
    </row>
    <row r="896" spans="1:9" x14ac:dyDescent="0.25">
      <c r="A896" t="s">
        <v>71</v>
      </c>
      <c r="B896" t="s">
        <v>230</v>
      </c>
      <c r="C896" t="s">
        <v>229</v>
      </c>
      <c r="D896" s="1">
        <v>45190</v>
      </c>
      <c r="E896" t="s">
        <v>108</v>
      </c>
      <c r="F896">
        <v>7.02</v>
      </c>
      <c r="G896" t="str">
        <f>VLOOKUP(E896,[1]ChatGPT!$1:$1048576,2,FALSE)</f>
        <v>Internal Transactions</v>
      </c>
      <c r="H896" t="str">
        <f>VLOOKUP(E896,[1]ChatGPT!$1:$1048576,3,FALSE)</f>
        <v>ASB</v>
      </c>
      <c r="I896" t="str">
        <f>VLOOKUP(E896,[1]ChatGPT!$1:$1048576,4,FALSE)</f>
        <v>PAYMENT RECEIVED THANK YOU</v>
      </c>
    </row>
    <row r="897" spans="1:9" x14ac:dyDescent="0.25">
      <c r="A897" t="s">
        <v>71</v>
      </c>
      <c r="B897" t="s">
        <v>230</v>
      </c>
      <c r="C897" t="s">
        <v>229</v>
      </c>
      <c r="D897" s="1">
        <v>45189</v>
      </c>
      <c r="E897" t="s">
        <v>186</v>
      </c>
      <c r="F897">
        <v>-154.72</v>
      </c>
      <c r="G897" t="str">
        <f>VLOOKUP(E897,[1]ChatGPT!$1:$1048576,2,FALSE)</f>
        <v>Personal Care</v>
      </c>
      <c r="H897" t="str">
        <f>VLOOKUP(E897,[1]ChatGPT!$1:$1048576,3,FALSE)</f>
        <v>Clothing &amp; Footwear</v>
      </c>
      <c r="I897" t="str">
        <f>VLOOKUP(E897,[1]ChatGPT!$1:$1048576,4,FALSE)</f>
        <v>Shopping</v>
      </c>
    </row>
    <row r="898" spans="1:9" x14ac:dyDescent="0.25">
      <c r="A898" t="s">
        <v>71</v>
      </c>
      <c r="B898" t="s">
        <v>230</v>
      </c>
      <c r="C898" t="s">
        <v>229</v>
      </c>
      <c r="D898" s="1">
        <v>45189</v>
      </c>
      <c r="E898" t="s">
        <v>187</v>
      </c>
      <c r="F898">
        <v>-17.77</v>
      </c>
      <c r="G898" t="str">
        <f>VLOOKUP(E898,[1]ChatGPT!$1:$1048576,2,FALSE)</f>
        <v>Recreational &amp; Entertainment</v>
      </c>
      <c r="H898" t="str">
        <f>VLOOKUP(E898,[1]ChatGPT!$1:$1048576,3,FALSE)</f>
        <v xml:space="preserve">Dining Out </v>
      </c>
      <c r="I898" t="str">
        <f>VLOOKUP(E898,[1]ChatGPT!$1:$1048576,4,FALSE)</f>
        <v>Dinning</v>
      </c>
    </row>
    <row r="899" spans="1:9" x14ac:dyDescent="0.25">
      <c r="A899" t="s">
        <v>71</v>
      </c>
      <c r="B899" t="s">
        <v>230</v>
      </c>
      <c r="C899" t="s">
        <v>229</v>
      </c>
      <c r="D899" s="1">
        <v>45189</v>
      </c>
      <c r="E899" t="s">
        <v>188</v>
      </c>
      <c r="F899">
        <v>-1.44</v>
      </c>
      <c r="G899" t="str">
        <f>VLOOKUP(E899,[1]ChatGPT!$1:$1048576,2,FALSE)</f>
        <v>Other</v>
      </c>
      <c r="H899" t="str">
        <f>VLOOKUP(E899,[1]ChatGPT!$1:$1048576,3,FALSE)</f>
        <v xml:space="preserve">Other Expenses </v>
      </c>
      <c r="I899" t="str">
        <f>VLOOKUP(E899,[1]ChatGPT!$1:$1048576,4,FALSE)</f>
        <v>NZAA</v>
      </c>
    </row>
    <row r="900" spans="1:9" x14ac:dyDescent="0.25">
      <c r="A900" t="s">
        <v>71</v>
      </c>
      <c r="B900" t="s">
        <v>230</v>
      </c>
      <c r="C900" t="s">
        <v>229</v>
      </c>
      <c r="D900" s="1">
        <v>45190</v>
      </c>
      <c r="E900" t="s">
        <v>108</v>
      </c>
      <c r="F900">
        <v>83.29</v>
      </c>
      <c r="G900" t="str">
        <f>VLOOKUP(E900,[1]ChatGPT!$1:$1048576,2,FALSE)</f>
        <v>Internal Transactions</v>
      </c>
      <c r="H900" t="str">
        <f>VLOOKUP(E900,[1]ChatGPT!$1:$1048576,3,FALSE)</f>
        <v>ASB</v>
      </c>
      <c r="I900" t="str">
        <f>VLOOKUP(E900,[1]ChatGPT!$1:$1048576,4,FALSE)</f>
        <v>PAYMENT RECEIVED THANK YOU</v>
      </c>
    </row>
    <row r="901" spans="1:9" x14ac:dyDescent="0.25">
      <c r="A901" t="s">
        <v>71</v>
      </c>
      <c r="B901" t="s">
        <v>230</v>
      </c>
      <c r="C901" t="s">
        <v>229</v>
      </c>
      <c r="D901" s="1">
        <v>45190</v>
      </c>
      <c r="E901" t="s">
        <v>108</v>
      </c>
      <c r="F901">
        <v>14.44</v>
      </c>
      <c r="G901" t="str">
        <f>VLOOKUP(E901,[1]ChatGPT!$1:$1048576,2,FALSE)</f>
        <v>Internal Transactions</v>
      </c>
      <c r="H901" t="str">
        <f>VLOOKUP(E901,[1]ChatGPT!$1:$1048576,3,FALSE)</f>
        <v>ASB</v>
      </c>
      <c r="I901" t="str">
        <f>VLOOKUP(E901,[1]ChatGPT!$1:$1048576,4,FALSE)</f>
        <v>PAYMENT RECEIVED THANK YOU</v>
      </c>
    </row>
    <row r="902" spans="1:9" x14ac:dyDescent="0.25">
      <c r="A902" t="s">
        <v>71</v>
      </c>
      <c r="B902" t="s">
        <v>230</v>
      </c>
      <c r="C902" t="s">
        <v>229</v>
      </c>
      <c r="D902" s="1">
        <v>45190</v>
      </c>
      <c r="E902" t="s">
        <v>111</v>
      </c>
      <c r="F902">
        <v>-10.23</v>
      </c>
      <c r="G902" t="str">
        <f>VLOOKUP(E902,[1]ChatGPT!$1:$1048576,2,FALSE)</f>
        <v>Recreational &amp; Entertainment</v>
      </c>
      <c r="H902" t="str">
        <f>VLOOKUP(E902,[1]ChatGPT!$1:$1048576,3,FALSE)</f>
        <v xml:space="preserve">Gym </v>
      </c>
      <c r="I902" t="str">
        <f>VLOOKUP(E902,[1]ChatGPT!$1:$1048576,4,FALSE)</f>
        <v>GYM</v>
      </c>
    </row>
    <row r="903" spans="1:9" x14ac:dyDescent="0.25">
      <c r="A903" t="s">
        <v>71</v>
      </c>
      <c r="B903" t="s">
        <v>230</v>
      </c>
      <c r="C903" t="s">
        <v>229</v>
      </c>
      <c r="D903" s="1">
        <v>45191</v>
      </c>
      <c r="E903" t="s">
        <v>108</v>
      </c>
      <c r="F903">
        <v>15.44</v>
      </c>
      <c r="G903" t="str">
        <f>VLOOKUP(E903,[1]ChatGPT!$1:$1048576,2,FALSE)</f>
        <v>Internal Transactions</v>
      </c>
      <c r="H903" t="str">
        <f>VLOOKUP(E903,[1]ChatGPT!$1:$1048576,3,FALSE)</f>
        <v>ASB</v>
      </c>
      <c r="I903" t="str">
        <f>VLOOKUP(E903,[1]ChatGPT!$1:$1048576,4,FALSE)</f>
        <v>PAYMENT RECEIVED THANK YOU</v>
      </c>
    </row>
    <row r="904" spans="1:9" x14ac:dyDescent="0.25">
      <c r="A904" t="s">
        <v>71</v>
      </c>
      <c r="B904" t="s">
        <v>230</v>
      </c>
      <c r="C904" t="s">
        <v>229</v>
      </c>
      <c r="D904" s="1">
        <v>45191</v>
      </c>
      <c r="E904" t="s">
        <v>189</v>
      </c>
      <c r="F904">
        <v>-0.17</v>
      </c>
      <c r="G904" t="str">
        <f>VLOOKUP(E904,[1]ChatGPT!$1:$1048576,2,FALSE)</f>
        <v>Groceries</v>
      </c>
      <c r="H904" t="str">
        <f>VLOOKUP(E904,[1]ChatGPT!$1:$1048576,3,FALSE)</f>
        <v>Grocery</v>
      </c>
      <c r="I904" t="str">
        <f>VLOOKUP(E904,[1]ChatGPT!$1:$1048576,4,FALSE)</f>
        <v>Grocery</v>
      </c>
    </row>
    <row r="905" spans="1:9" x14ac:dyDescent="0.25">
      <c r="A905" t="s">
        <v>71</v>
      </c>
      <c r="B905" t="s">
        <v>230</v>
      </c>
      <c r="C905" t="s">
        <v>229</v>
      </c>
      <c r="D905" s="1">
        <v>45191</v>
      </c>
      <c r="E905" t="s">
        <v>105</v>
      </c>
      <c r="F905">
        <v>-3.14</v>
      </c>
      <c r="G905" t="str">
        <f>VLOOKUP(E905,[1]ChatGPT!$1:$1048576,2,FALSE)</f>
        <v>Recreational &amp; Entertainment</v>
      </c>
      <c r="H905" t="str">
        <f>VLOOKUP(E905,[1]ChatGPT!$1:$1048576,3,FALSE)</f>
        <v xml:space="preserve">Dining Out </v>
      </c>
      <c r="I905" t="str">
        <f>VLOOKUP(E905,[1]ChatGPT!$1:$1048576,4,FALSE)</f>
        <v>Dinning</v>
      </c>
    </row>
    <row r="906" spans="1:9" x14ac:dyDescent="0.25">
      <c r="A906" t="s">
        <v>71</v>
      </c>
      <c r="B906" t="s">
        <v>230</v>
      </c>
      <c r="C906" t="s">
        <v>229</v>
      </c>
      <c r="D906" s="1">
        <v>45193</v>
      </c>
      <c r="E906" t="s">
        <v>116</v>
      </c>
      <c r="F906">
        <v>-12.86</v>
      </c>
      <c r="G906" t="str">
        <f>VLOOKUP(E906,[1]ChatGPT!$1:$1048576,2,FALSE)</f>
        <v>Transport</v>
      </c>
      <c r="H906" t="str">
        <f>VLOOKUP(E906,[1]ChatGPT!$1:$1048576,3,FALSE)</f>
        <v xml:space="preserve">Petrol </v>
      </c>
      <c r="I906" t="str">
        <f>VLOOKUP(E906,[1]ChatGPT!$1:$1048576,4,FALSE)</f>
        <v>Transport - Parking</v>
      </c>
    </row>
    <row r="907" spans="1:9" x14ac:dyDescent="0.25">
      <c r="A907" t="s">
        <v>71</v>
      </c>
      <c r="B907" t="s">
        <v>230</v>
      </c>
      <c r="C907" t="s">
        <v>229</v>
      </c>
      <c r="D907" s="1">
        <v>45193</v>
      </c>
      <c r="E907" t="s">
        <v>108</v>
      </c>
      <c r="F907">
        <v>61.99</v>
      </c>
      <c r="G907" t="str">
        <f>VLOOKUP(E907,[1]ChatGPT!$1:$1048576,2,FALSE)</f>
        <v>Internal Transactions</v>
      </c>
      <c r="H907" t="str">
        <f>VLOOKUP(E907,[1]ChatGPT!$1:$1048576,3,FALSE)</f>
        <v>ASB</v>
      </c>
      <c r="I907" t="str">
        <f>VLOOKUP(E907,[1]ChatGPT!$1:$1048576,4,FALSE)</f>
        <v>PAYMENT RECEIVED THANK YOU</v>
      </c>
    </row>
    <row r="908" spans="1:9" x14ac:dyDescent="0.25">
      <c r="A908" t="s">
        <v>71</v>
      </c>
      <c r="B908" t="s">
        <v>230</v>
      </c>
      <c r="C908" t="s">
        <v>229</v>
      </c>
      <c r="D908" s="1">
        <v>45194</v>
      </c>
      <c r="E908" t="s">
        <v>108</v>
      </c>
      <c r="F908">
        <v>11.5</v>
      </c>
      <c r="G908" t="str">
        <f>VLOOKUP(E908,[1]ChatGPT!$1:$1048576,2,FALSE)</f>
        <v>Internal Transactions</v>
      </c>
      <c r="H908" t="str">
        <f>VLOOKUP(E908,[1]ChatGPT!$1:$1048576,3,FALSE)</f>
        <v>ASB</v>
      </c>
      <c r="I908" t="str">
        <f>VLOOKUP(E908,[1]ChatGPT!$1:$1048576,4,FALSE)</f>
        <v>PAYMENT RECEIVED THANK YOU</v>
      </c>
    </row>
    <row r="909" spans="1:9" x14ac:dyDescent="0.25">
      <c r="A909" t="s">
        <v>71</v>
      </c>
      <c r="B909" t="s">
        <v>230</v>
      </c>
      <c r="C909" t="s">
        <v>229</v>
      </c>
      <c r="D909" s="1">
        <v>45195</v>
      </c>
      <c r="E909" t="s">
        <v>108</v>
      </c>
      <c r="F909">
        <v>19.68</v>
      </c>
      <c r="G909" t="str">
        <f>VLOOKUP(E909,[1]ChatGPT!$1:$1048576,2,FALSE)</f>
        <v>Internal Transactions</v>
      </c>
      <c r="H909" t="str">
        <f>VLOOKUP(E909,[1]ChatGPT!$1:$1048576,3,FALSE)</f>
        <v>ASB</v>
      </c>
      <c r="I909" t="str">
        <f>VLOOKUP(E909,[1]ChatGPT!$1:$1048576,4,FALSE)</f>
        <v>PAYMENT RECEIVED THANK YOU</v>
      </c>
    </row>
    <row r="910" spans="1:9" x14ac:dyDescent="0.25">
      <c r="A910" t="s">
        <v>71</v>
      </c>
      <c r="B910" t="s">
        <v>230</v>
      </c>
      <c r="C910" t="s">
        <v>229</v>
      </c>
      <c r="D910" s="1">
        <v>45195</v>
      </c>
      <c r="E910" t="s">
        <v>102</v>
      </c>
      <c r="F910">
        <v>-102.27</v>
      </c>
      <c r="G910" t="str">
        <f>VLOOKUP(E910,[1]ChatGPT!$1:$1048576,2,FALSE)</f>
        <v>Transport</v>
      </c>
      <c r="H910" t="str">
        <f>VLOOKUP(E910,[1]ChatGPT!$1:$1048576,3,FALSE)</f>
        <v xml:space="preserve">Petrol </v>
      </c>
      <c r="I910" t="str">
        <f>VLOOKUP(E910,[1]ChatGPT!$1:$1048576,4,FALSE)</f>
        <v>Transport - Fuel</v>
      </c>
    </row>
    <row r="911" spans="1:9" x14ac:dyDescent="0.25">
      <c r="A911" t="s">
        <v>71</v>
      </c>
      <c r="B911" t="s">
        <v>230</v>
      </c>
      <c r="C911" t="s">
        <v>229</v>
      </c>
      <c r="D911" s="1">
        <v>45197</v>
      </c>
      <c r="E911" t="s">
        <v>108</v>
      </c>
      <c r="F911">
        <v>6.61</v>
      </c>
      <c r="G911" t="str">
        <f>VLOOKUP(E911,[1]ChatGPT!$1:$1048576,2,FALSE)</f>
        <v>Internal Transactions</v>
      </c>
      <c r="H911" t="str">
        <f>VLOOKUP(E911,[1]ChatGPT!$1:$1048576,3,FALSE)</f>
        <v>ASB</v>
      </c>
      <c r="I911" t="str">
        <f>VLOOKUP(E911,[1]ChatGPT!$1:$1048576,4,FALSE)</f>
        <v>PAYMENT RECEIVED THANK YOU</v>
      </c>
    </row>
    <row r="912" spans="1:9" x14ac:dyDescent="0.25">
      <c r="A912" t="s">
        <v>71</v>
      </c>
      <c r="B912" t="s">
        <v>230</v>
      </c>
      <c r="C912" t="s">
        <v>229</v>
      </c>
      <c r="D912" s="1">
        <v>45196</v>
      </c>
      <c r="E912" t="s">
        <v>111</v>
      </c>
      <c r="F912">
        <v>-7.2</v>
      </c>
      <c r="G912" t="str">
        <f>VLOOKUP(E912,[1]ChatGPT!$1:$1048576,2,FALSE)</f>
        <v>Recreational &amp; Entertainment</v>
      </c>
      <c r="H912" t="str">
        <f>VLOOKUP(E912,[1]ChatGPT!$1:$1048576,3,FALSE)</f>
        <v xml:space="preserve">Gym </v>
      </c>
      <c r="I912" t="str">
        <f>VLOOKUP(E912,[1]ChatGPT!$1:$1048576,4,FALSE)</f>
        <v>GYM</v>
      </c>
    </row>
    <row r="913" spans="1:9" x14ac:dyDescent="0.25">
      <c r="A913" t="s">
        <v>71</v>
      </c>
      <c r="B913" t="s">
        <v>230</v>
      </c>
      <c r="C913" t="s">
        <v>229</v>
      </c>
      <c r="D913" s="1">
        <v>45198</v>
      </c>
      <c r="E913" t="s">
        <v>108</v>
      </c>
      <c r="F913">
        <v>145.66999999999999</v>
      </c>
      <c r="G913" t="str">
        <f>VLOOKUP(E913,[1]ChatGPT!$1:$1048576,2,FALSE)</f>
        <v>Internal Transactions</v>
      </c>
      <c r="H913" t="str">
        <f>VLOOKUP(E913,[1]ChatGPT!$1:$1048576,3,FALSE)</f>
        <v>ASB</v>
      </c>
      <c r="I913" t="str">
        <f>VLOOKUP(E913,[1]ChatGPT!$1:$1048576,4,FALSE)</f>
        <v>PAYMENT RECEIVED THANK YOU</v>
      </c>
    </row>
    <row r="914" spans="1:9" x14ac:dyDescent="0.25">
      <c r="A914" t="s">
        <v>71</v>
      </c>
      <c r="B914" t="s">
        <v>230</v>
      </c>
      <c r="C914" t="s">
        <v>229</v>
      </c>
      <c r="D914" s="1">
        <v>45198</v>
      </c>
      <c r="E914" t="s">
        <v>190</v>
      </c>
      <c r="F914">
        <v>-154.08000000000001</v>
      </c>
      <c r="G914" t="str">
        <f>VLOOKUP(E914,[1]ChatGPT!$1:$1048576,2,FALSE)</f>
        <v>Transport</v>
      </c>
      <c r="H914" t="str">
        <f>VLOOKUP(E914,[1]ChatGPT!$1:$1048576,3,FALSE)</f>
        <v xml:space="preserve">Petrol </v>
      </c>
      <c r="I914" t="str">
        <f>VLOOKUP(E914,[1]ChatGPT!$1:$1048576,4,FALSE)</f>
        <v>Transport - Car</v>
      </c>
    </row>
    <row r="915" spans="1:9" x14ac:dyDescent="0.25">
      <c r="A915" t="s">
        <v>71</v>
      </c>
      <c r="B915" t="s">
        <v>230</v>
      </c>
      <c r="C915" t="s">
        <v>229</v>
      </c>
      <c r="D915" s="1">
        <v>45202</v>
      </c>
      <c r="E915" t="s">
        <v>108</v>
      </c>
      <c r="F915">
        <v>8.23</v>
      </c>
      <c r="G915" t="str">
        <f>VLOOKUP(E915,[1]ChatGPT!$1:$1048576,2,FALSE)</f>
        <v>Internal Transactions</v>
      </c>
      <c r="H915" t="str">
        <f>VLOOKUP(E915,[1]ChatGPT!$1:$1048576,3,FALSE)</f>
        <v>ASB</v>
      </c>
      <c r="I915" t="str">
        <f>VLOOKUP(E915,[1]ChatGPT!$1:$1048576,4,FALSE)</f>
        <v>PAYMENT RECEIVED THANK YOU</v>
      </c>
    </row>
    <row r="916" spans="1:9" x14ac:dyDescent="0.25">
      <c r="A916" t="s">
        <v>71</v>
      </c>
      <c r="B916" t="s">
        <v>230</v>
      </c>
      <c r="C916" t="s">
        <v>229</v>
      </c>
      <c r="D916" s="1">
        <v>45202</v>
      </c>
      <c r="E916" t="s">
        <v>116</v>
      </c>
      <c r="F916">
        <v>-10.08</v>
      </c>
      <c r="G916" t="str">
        <f>VLOOKUP(E916,[1]ChatGPT!$1:$1048576,2,FALSE)</f>
        <v>Transport</v>
      </c>
      <c r="H916" t="str">
        <f>VLOOKUP(E916,[1]ChatGPT!$1:$1048576,3,FALSE)</f>
        <v xml:space="preserve">Petrol </v>
      </c>
      <c r="I916" t="str">
        <f>VLOOKUP(E916,[1]ChatGPT!$1:$1048576,4,FALSE)</f>
        <v>Transport - Parking</v>
      </c>
    </row>
    <row r="917" spans="1:9" x14ac:dyDescent="0.25">
      <c r="A917" t="s">
        <v>71</v>
      </c>
      <c r="B917" t="s">
        <v>230</v>
      </c>
      <c r="C917" t="s">
        <v>229</v>
      </c>
      <c r="D917" s="1">
        <v>45203</v>
      </c>
      <c r="E917" t="s">
        <v>108</v>
      </c>
      <c r="F917">
        <v>368.35</v>
      </c>
      <c r="G917" t="str">
        <f>VLOOKUP(E917,[1]ChatGPT!$1:$1048576,2,FALSE)</f>
        <v>Internal Transactions</v>
      </c>
      <c r="H917" t="str">
        <f>VLOOKUP(E917,[1]ChatGPT!$1:$1048576,3,FALSE)</f>
        <v>ASB</v>
      </c>
      <c r="I917" t="str">
        <f>VLOOKUP(E917,[1]ChatGPT!$1:$1048576,4,FALSE)</f>
        <v>PAYMENT RECEIVED THANK YOU</v>
      </c>
    </row>
    <row r="918" spans="1:9" x14ac:dyDescent="0.25">
      <c r="A918" t="s">
        <v>71</v>
      </c>
      <c r="B918" t="s">
        <v>230</v>
      </c>
      <c r="C918" t="s">
        <v>229</v>
      </c>
      <c r="D918" s="1">
        <v>45203</v>
      </c>
      <c r="E918" t="s">
        <v>108</v>
      </c>
      <c r="F918">
        <v>52.35</v>
      </c>
      <c r="G918" t="str">
        <f>VLOOKUP(E918,[1]ChatGPT!$1:$1048576,2,FALSE)</f>
        <v>Internal Transactions</v>
      </c>
      <c r="H918" t="str">
        <f>VLOOKUP(E918,[1]ChatGPT!$1:$1048576,3,FALSE)</f>
        <v>ASB</v>
      </c>
      <c r="I918" t="str">
        <f>VLOOKUP(E918,[1]ChatGPT!$1:$1048576,4,FALSE)</f>
        <v>PAYMENT RECEIVED THANK YOU</v>
      </c>
    </row>
    <row r="919" spans="1:9" x14ac:dyDescent="0.25">
      <c r="A919" t="s">
        <v>71</v>
      </c>
      <c r="B919" t="s">
        <v>230</v>
      </c>
      <c r="C919" t="s">
        <v>229</v>
      </c>
      <c r="D919" s="1">
        <v>45204</v>
      </c>
      <c r="E919" t="s">
        <v>191</v>
      </c>
      <c r="F919">
        <v>-0.43</v>
      </c>
      <c r="G919" t="str">
        <f>VLOOKUP(E919,[1]ChatGPT!$1:$1048576,2,FALSE)</f>
        <v xml:space="preserve">8 Denning Place </v>
      </c>
      <c r="H919" t="str">
        <f>VLOOKUP(E919,[1]ChatGPT!$1:$1048576,3,FALSE)</f>
        <v>Water</v>
      </c>
      <c r="I919" t="str">
        <f>VLOOKUP(E919,[1]ChatGPT!$1:$1048576,4,FALSE)</f>
        <v>Water</v>
      </c>
    </row>
    <row r="920" spans="1:9" x14ac:dyDescent="0.25">
      <c r="A920" t="s">
        <v>71</v>
      </c>
      <c r="B920" t="s">
        <v>230</v>
      </c>
      <c r="C920" t="s">
        <v>229</v>
      </c>
      <c r="D920" s="1">
        <v>45204</v>
      </c>
      <c r="E920" t="s">
        <v>164</v>
      </c>
      <c r="F920">
        <v>-34.74</v>
      </c>
      <c r="G920" t="str">
        <f>VLOOKUP(E920,[1]ChatGPT!$1:$1048576,2,FALSE)</f>
        <v xml:space="preserve">8 Denning Place </v>
      </c>
      <c r="H920" t="str">
        <f>VLOOKUP(E920,[1]ChatGPT!$1:$1048576,3,FALSE)</f>
        <v>Water</v>
      </c>
      <c r="I920" t="str">
        <f>VLOOKUP(E920,[1]ChatGPT!$1:$1048576,4,FALSE)</f>
        <v>Water</v>
      </c>
    </row>
    <row r="921" spans="1:9" x14ac:dyDescent="0.25">
      <c r="A921" t="s">
        <v>71</v>
      </c>
      <c r="B921" t="s">
        <v>230</v>
      </c>
      <c r="C921" t="s">
        <v>229</v>
      </c>
      <c r="D921" s="1">
        <v>45203</v>
      </c>
      <c r="E921" t="s">
        <v>153</v>
      </c>
      <c r="F921">
        <v>-3.85</v>
      </c>
      <c r="G921" t="str">
        <f>VLOOKUP(E921,[1]ChatGPT!$1:$1048576,2,FALSE)</f>
        <v>Recreational &amp; Entertainment</v>
      </c>
      <c r="H921" t="str">
        <f>VLOOKUP(E921,[1]ChatGPT!$1:$1048576,3,FALSE)</f>
        <v>Entertainment</v>
      </c>
      <c r="I921" t="str">
        <f>VLOOKUP(E921,[1]ChatGPT!$1:$1048576,4,FALSE)</f>
        <v>Vape</v>
      </c>
    </row>
    <row r="922" spans="1:9" x14ac:dyDescent="0.25">
      <c r="A922" t="s">
        <v>71</v>
      </c>
      <c r="B922" t="s">
        <v>230</v>
      </c>
      <c r="C922" t="s">
        <v>229</v>
      </c>
      <c r="D922" s="1">
        <v>45204</v>
      </c>
      <c r="E922" t="s">
        <v>108</v>
      </c>
      <c r="F922">
        <v>3.86</v>
      </c>
      <c r="G922" t="str">
        <f>VLOOKUP(E922,[1]ChatGPT!$1:$1048576,2,FALSE)</f>
        <v>Internal Transactions</v>
      </c>
      <c r="H922" t="str">
        <f>VLOOKUP(E922,[1]ChatGPT!$1:$1048576,3,FALSE)</f>
        <v>ASB</v>
      </c>
      <c r="I922" t="str">
        <f>VLOOKUP(E922,[1]ChatGPT!$1:$1048576,4,FALSE)</f>
        <v>PAYMENT RECEIVED THANK YOU</v>
      </c>
    </row>
    <row r="923" spans="1:9" x14ac:dyDescent="0.25">
      <c r="A923" t="s">
        <v>71</v>
      </c>
      <c r="B923" t="s">
        <v>230</v>
      </c>
      <c r="C923" t="s">
        <v>229</v>
      </c>
      <c r="D923" s="1">
        <v>45204</v>
      </c>
      <c r="E923" t="s">
        <v>108</v>
      </c>
      <c r="F923">
        <v>23.44</v>
      </c>
      <c r="G923" t="str">
        <f>VLOOKUP(E923,[1]ChatGPT!$1:$1048576,2,FALSE)</f>
        <v>Internal Transactions</v>
      </c>
      <c r="H923" t="str">
        <f>VLOOKUP(E923,[1]ChatGPT!$1:$1048576,3,FALSE)</f>
        <v>ASB</v>
      </c>
      <c r="I923" t="str">
        <f>VLOOKUP(E923,[1]ChatGPT!$1:$1048576,4,FALSE)</f>
        <v>PAYMENT RECEIVED THANK YOU</v>
      </c>
    </row>
    <row r="924" spans="1:9" x14ac:dyDescent="0.25">
      <c r="A924" t="s">
        <v>71</v>
      </c>
      <c r="B924" t="s">
        <v>230</v>
      </c>
      <c r="C924" t="s">
        <v>229</v>
      </c>
      <c r="D924" s="1">
        <v>45204</v>
      </c>
      <c r="E924" t="s">
        <v>108</v>
      </c>
      <c r="F924">
        <v>30.29</v>
      </c>
      <c r="G924" t="str">
        <f>VLOOKUP(E924,[1]ChatGPT!$1:$1048576,2,FALSE)</f>
        <v>Internal Transactions</v>
      </c>
      <c r="H924" t="str">
        <f>VLOOKUP(E924,[1]ChatGPT!$1:$1048576,3,FALSE)</f>
        <v>ASB</v>
      </c>
      <c r="I924" t="str">
        <f>VLOOKUP(E924,[1]ChatGPT!$1:$1048576,4,FALSE)</f>
        <v>PAYMENT RECEIVED THANK YOU</v>
      </c>
    </row>
    <row r="925" spans="1:9" x14ac:dyDescent="0.25">
      <c r="A925" t="s">
        <v>71</v>
      </c>
      <c r="B925" t="s">
        <v>230</v>
      </c>
      <c r="C925" t="s">
        <v>229</v>
      </c>
      <c r="D925" s="1">
        <v>45204</v>
      </c>
      <c r="E925" t="s">
        <v>108</v>
      </c>
      <c r="F925">
        <v>40.950000000000003</v>
      </c>
      <c r="G925" t="str">
        <f>VLOOKUP(E925,[1]ChatGPT!$1:$1048576,2,FALSE)</f>
        <v>Internal Transactions</v>
      </c>
      <c r="H925" t="str">
        <f>VLOOKUP(E925,[1]ChatGPT!$1:$1048576,3,FALSE)</f>
        <v>ASB</v>
      </c>
      <c r="I925" t="str">
        <f>VLOOKUP(E925,[1]ChatGPT!$1:$1048576,4,FALSE)</f>
        <v>PAYMENT RECEIVED THANK YOU</v>
      </c>
    </row>
    <row r="926" spans="1:9" x14ac:dyDescent="0.25">
      <c r="A926" t="s">
        <v>71</v>
      </c>
      <c r="B926" t="s">
        <v>230</v>
      </c>
      <c r="C926" t="s">
        <v>229</v>
      </c>
      <c r="D926" s="1">
        <v>45204</v>
      </c>
      <c r="E926" t="s">
        <v>119</v>
      </c>
      <c r="F926">
        <v>-15.82</v>
      </c>
      <c r="G926" t="s">
        <v>68</v>
      </c>
      <c r="H926" t="s">
        <v>69</v>
      </c>
      <c r="I926" t="s">
        <v>69</v>
      </c>
    </row>
    <row r="927" spans="1:9" x14ac:dyDescent="0.25">
      <c r="A927" t="s">
        <v>71</v>
      </c>
      <c r="B927" t="s">
        <v>230</v>
      </c>
      <c r="C927" t="s">
        <v>229</v>
      </c>
      <c r="D927" s="1">
        <v>45203</v>
      </c>
      <c r="E927" t="s">
        <v>111</v>
      </c>
      <c r="F927">
        <v>-9.4</v>
      </c>
      <c r="G927" t="str">
        <f>VLOOKUP(E927,[1]ChatGPT!$1:$1048576,2,FALSE)</f>
        <v>Recreational &amp; Entertainment</v>
      </c>
      <c r="H927" t="str">
        <f>VLOOKUP(E927,[1]ChatGPT!$1:$1048576,3,FALSE)</f>
        <v xml:space="preserve">Gym </v>
      </c>
      <c r="I927" t="str">
        <f>VLOOKUP(E927,[1]ChatGPT!$1:$1048576,4,FALSE)</f>
        <v>GYM</v>
      </c>
    </row>
    <row r="928" spans="1:9" x14ac:dyDescent="0.25">
      <c r="A928" t="s">
        <v>71</v>
      </c>
      <c r="B928" t="s">
        <v>230</v>
      </c>
      <c r="C928" t="s">
        <v>229</v>
      </c>
      <c r="D928" s="1">
        <v>45207</v>
      </c>
      <c r="E928" t="s">
        <v>116</v>
      </c>
      <c r="F928">
        <v>-25.84</v>
      </c>
      <c r="G928" t="str">
        <f>VLOOKUP(E928,[1]ChatGPT!$1:$1048576,2,FALSE)</f>
        <v>Transport</v>
      </c>
      <c r="H928" t="str">
        <f>VLOOKUP(E928,[1]ChatGPT!$1:$1048576,3,FALSE)</f>
        <v xml:space="preserve">Petrol </v>
      </c>
      <c r="I928" t="str">
        <f>VLOOKUP(E928,[1]ChatGPT!$1:$1048576,4,FALSE)</f>
        <v>Transport - Parking</v>
      </c>
    </row>
    <row r="929" spans="1:9" x14ac:dyDescent="0.25">
      <c r="A929" t="s">
        <v>71</v>
      </c>
      <c r="B929" t="s">
        <v>230</v>
      </c>
      <c r="C929" t="s">
        <v>229</v>
      </c>
      <c r="D929" s="1">
        <v>45207</v>
      </c>
      <c r="E929" t="s">
        <v>108</v>
      </c>
      <c r="F929">
        <v>17.88</v>
      </c>
      <c r="G929" t="str">
        <f>VLOOKUP(E929,[1]ChatGPT!$1:$1048576,2,FALSE)</f>
        <v>Internal Transactions</v>
      </c>
      <c r="H929" t="str">
        <f>VLOOKUP(E929,[1]ChatGPT!$1:$1048576,3,FALSE)</f>
        <v>ASB</v>
      </c>
      <c r="I929" t="str">
        <f>VLOOKUP(E929,[1]ChatGPT!$1:$1048576,4,FALSE)</f>
        <v>PAYMENT RECEIVED THANK YOU</v>
      </c>
    </row>
    <row r="930" spans="1:9" x14ac:dyDescent="0.25">
      <c r="A930" t="s">
        <v>71</v>
      </c>
      <c r="B930" t="s">
        <v>230</v>
      </c>
      <c r="C930" t="s">
        <v>229</v>
      </c>
      <c r="D930" s="1">
        <v>45209</v>
      </c>
      <c r="E930" t="s">
        <v>192</v>
      </c>
      <c r="F930">
        <v>-165.82</v>
      </c>
      <c r="G930" t="str">
        <f>VLOOKUP(E930,[1]ChatGPT!$1:$1048576,2,FALSE)</f>
        <v>Recreational &amp; Entertainment</v>
      </c>
      <c r="H930" t="str">
        <f>VLOOKUP(E930,[1]ChatGPT!$1:$1048576,3,FALSE)</f>
        <v xml:space="preserve">Dining Out </v>
      </c>
      <c r="I930" t="str">
        <f>VLOOKUP(E930,[1]ChatGPT!$1:$1048576,4,FALSE)</f>
        <v>Dinning</v>
      </c>
    </row>
    <row r="931" spans="1:9" x14ac:dyDescent="0.25">
      <c r="A931" t="s">
        <v>71</v>
      </c>
      <c r="B931" t="s">
        <v>230</v>
      </c>
      <c r="C931" t="s">
        <v>229</v>
      </c>
      <c r="D931" s="1">
        <v>45210</v>
      </c>
      <c r="E931" t="s">
        <v>108</v>
      </c>
      <c r="F931">
        <v>138.58000000000001</v>
      </c>
      <c r="G931" t="str">
        <f>VLOOKUP(E931,[1]ChatGPT!$1:$1048576,2,FALSE)</f>
        <v>Internal Transactions</v>
      </c>
      <c r="H931" t="str">
        <f>VLOOKUP(E931,[1]ChatGPT!$1:$1048576,3,FALSE)</f>
        <v>ASB</v>
      </c>
      <c r="I931" t="str">
        <f>VLOOKUP(E931,[1]ChatGPT!$1:$1048576,4,FALSE)</f>
        <v>PAYMENT RECEIVED THANK YOU</v>
      </c>
    </row>
    <row r="932" spans="1:9" x14ac:dyDescent="0.25">
      <c r="A932" t="s">
        <v>71</v>
      </c>
      <c r="B932" t="s">
        <v>230</v>
      </c>
      <c r="C932" t="s">
        <v>229</v>
      </c>
      <c r="D932" s="1">
        <v>45210</v>
      </c>
      <c r="E932" t="s">
        <v>108</v>
      </c>
      <c r="F932">
        <v>18.89</v>
      </c>
      <c r="G932" t="str">
        <f>VLOOKUP(E932,[1]ChatGPT!$1:$1048576,2,FALSE)</f>
        <v>Internal Transactions</v>
      </c>
      <c r="H932" t="str">
        <f>VLOOKUP(E932,[1]ChatGPT!$1:$1048576,3,FALSE)</f>
        <v>ASB</v>
      </c>
      <c r="I932" t="str">
        <f>VLOOKUP(E932,[1]ChatGPT!$1:$1048576,4,FALSE)</f>
        <v>PAYMENT RECEIVED THANK YOU</v>
      </c>
    </row>
    <row r="933" spans="1:9" x14ac:dyDescent="0.25">
      <c r="A933" t="s">
        <v>71</v>
      </c>
      <c r="B933" t="s">
        <v>230</v>
      </c>
      <c r="C933" t="s">
        <v>229</v>
      </c>
      <c r="D933" s="1">
        <v>45210</v>
      </c>
      <c r="E933" t="s">
        <v>111</v>
      </c>
      <c r="F933">
        <v>-3.38</v>
      </c>
      <c r="G933" t="str">
        <f>VLOOKUP(E933,[1]ChatGPT!$1:$1048576,2,FALSE)</f>
        <v>Recreational &amp; Entertainment</v>
      </c>
      <c r="H933" t="str">
        <f>VLOOKUP(E933,[1]ChatGPT!$1:$1048576,3,FALSE)</f>
        <v xml:space="preserve">Gym </v>
      </c>
      <c r="I933" t="str">
        <f>VLOOKUP(E933,[1]ChatGPT!$1:$1048576,4,FALSE)</f>
        <v>GYM</v>
      </c>
    </row>
    <row r="934" spans="1:9" x14ac:dyDescent="0.25">
      <c r="A934" t="s">
        <v>71</v>
      </c>
      <c r="B934" t="s">
        <v>230</v>
      </c>
      <c r="C934" t="s">
        <v>229</v>
      </c>
      <c r="D934" s="1">
        <v>45212</v>
      </c>
      <c r="E934" t="s">
        <v>108</v>
      </c>
      <c r="F934">
        <v>5.37</v>
      </c>
      <c r="G934" t="str">
        <f>VLOOKUP(E934,[1]ChatGPT!$1:$1048576,2,FALSE)</f>
        <v>Internal Transactions</v>
      </c>
      <c r="H934" t="str">
        <f>VLOOKUP(E934,[1]ChatGPT!$1:$1048576,3,FALSE)</f>
        <v>ASB</v>
      </c>
      <c r="I934" t="str">
        <f>VLOOKUP(E934,[1]ChatGPT!$1:$1048576,4,FALSE)</f>
        <v>PAYMENT RECEIVED THANK YOU</v>
      </c>
    </row>
    <row r="935" spans="1:9" x14ac:dyDescent="0.25">
      <c r="A935" t="s">
        <v>71</v>
      </c>
      <c r="B935" t="s">
        <v>230</v>
      </c>
      <c r="C935" t="s">
        <v>229</v>
      </c>
      <c r="D935" s="1">
        <v>45213</v>
      </c>
      <c r="E935" t="s">
        <v>108</v>
      </c>
      <c r="F935">
        <v>18.27</v>
      </c>
      <c r="G935" t="str">
        <f>VLOOKUP(E935,[1]ChatGPT!$1:$1048576,2,FALSE)</f>
        <v>Internal Transactions</v>
      </c>
      <c r="H935" t="str">
        <f>VLOOKUP(E935,[1]ChatGPT!$1:$1048576,3,FALSE)</f>
        <v>ASB</v>
      </c>
      <c r="I935" t="str">
        <f>VLOOKUP(E935,[1]ChatGPT!$1:$1048576,4,FALSE)</f>
        <v>PAYMENT RECEIVED THANK YOU</v>
      </c>
    </row>
    <row r="936" spans="1:9" x14ac:dyDescent="0.25">
      <c r="A936" t="s">
        <v>71</v>
      </c>
      <c r="B936" t="s">
        <v>230</v>
      </c>
      <c r="C936" t="s">
        <v>229</v>
      </c>
      <c r="D936" s="1">
        <v>45213</v>
      </c>
      <c r="E936" t="s">
        <v>193</v>
      </c>
      <c r="F936">
        <v>-17.37</v>
      </c>
      <c r="G936" t="str">
        <f>VLOOKUP(E936,[1]ChatGPT!$1:$1048576,2,FALSE)</f>
        <v>Recreational &amp; Entertainment</v>
      </c>
      <c r="H936" t="str">
        <f>VLOOKUP(E936,[1]ChatGPT!$1:$1048576,3,FALSE)</f>
        <v xml:space="preserve">Dining Out </v>
      </c>
      <c r="I936" t="str">
        <f>VLOOKUP(E936,[1]ChatGPT!$1:$1048576,4,FALSE)</f>
        <v>Dinning</v>
      </c>
    </row>
    <row r="937" spans="1:9" x14ac:dyDescent="0.25">
      <c r="A937" t="s">
        <v>71</v>
      </c>
      <c r="B937" t="s">
        <v>230</v>
      </c>
      <c r="C937" t="s">
        <v>229</v>
      </c>
      <c r="D937" s="1">
        <v>45214</v>
      </c>
      <c r="E937" t="s">
        <v>122</v>
      </c>
      <c r="F937">
        <v>-8.57</v>
      </c>
      <c r="G937" t="str">
        <f>VLOOKUP(E937,[1]ChatGPT!$1:$1048576,2,FALSE)</f>
        <v>Groceries</v>
      </c>
      <c r="H937" t="str">
        <f>VLOOKUP(E937,[1]ChatGPT!$1:$1048576,3,FALSE)</f>
        <v>Grocery</v>
      </c>
      <c r="I937" t="str">
        <f>VLOOKUP(E937,[1]ChatGPT!$1:$1048576,4,FALSE)</f>
        <v>Grocery</v>
      </c>
    </row>
    <row r="938" spans="1:9" x14ac:dyDescent="0.25">
      <c r="A938" t="s">
        <v>71</v>
      </c>
      <c r="B938" t="s">
        <v>230</v>
      </c>
      <c r="C938" t="s">
        <v>229</v>
      </c>
      <c r="D938" s="1">
        <v>45214</v>
      </c>
      <c r="E938" t="s">
        <v>116</v>
      </c>
      <c r="F938">
        <v>-12.27</v>
      </c>
      <c r="G938" t="str">
        <f>VLOOKUP(E938,[1]ChatGPT!$1:$1048576,2,FALSE)</f>
        <v>Transport</v>
      </c>
      <c r="H938" t="str">
        <f>VLOOKUP(E938,[1]ChatGPT!$1:$1048576,3,FALSE)</f>
        <v xml:space="preserve">Petrol </v>
      </c>
      <c r="I938" t="str">
        <f>VLOOKUP(E938,[1]ChatGPT!$1:$1048576,4,FALSE)</f>
        <v>Transport - Parking</v>
      </c>
    </row>
    <row r="939" spans="1:9" x14ac:dyDescent="0.25">
      <c r="A939" t="s">
        <v>71</v>
      </c>
      <c r="B939" t="s">
        <v>230</v>
      </c>
      <c r="C939" t="s">
        <v>229</v>
      </c>
      <c r="D939" s="1">
        <v>45217</v>
      </c>
      <c r="E939" t="s">
        <v>108</v>
      </c>
      <c r="F939">
        <v>59.99</v>
      </c>
      <c r="G939" t="str">
        <f>VLOOKUP(E939,[1]ChatGPT!$1:$1048576,2,FALSE)</f>
        <v>Internal Transactions</v>
      </c>
      <c r="H939" t="str">
        <f>VLOOKUP(E939,[1]ChatGPT!$1:$1048576,3,FALSE)</f>
        <v>ASB</v>
      </c>
      <c r="I939" t="str">
        <f>VLOOKUP(E939,[1]ChatGPT!$1:$1048576,4,FALSE)</f>
        <v>PAYMENT RECEIVED THANK YOU</v>
      </c>
    </row>
    <row r="940" spans="1:9" x14ac:dyDescent="0.25">
      <c r="A940" t="s">
        <v>71</v>
      </c>
      <c r="B940" t="s">
        <v>230</v>
      </c>
      <c r="C940" t="s">
        <v>229</v>
      </c>
      <c r="D940" s="1">
        <v>45217</v>
      </c>
      <c r="E940" t="s">
        <v>111</v>
      </c>
      <c r="F940">
        <v>-7.33</v>
      </c>
      <c r="G940" t="str">
        <f>VLOOKUP(E940,[1]ChatGPT!$1:$1048576,2,FALSE)</f>
        <v>Recreational &amp; Entertainment</v>
      </c>
      <c r="H940" t="str">
        <f>VLOOKUP(E940,[1]ChatGPT!$1:$1048576,3,FALSE)</f>
        <v xml:space="preserve">Gym </v>
      </c>
      <c r="I940" t="str">
        <f>VLOOKUP(E940,[1]ChatGPT!$1:$1048576,4,FALSE)</f>
        <v>GYM</v>
      </c>
    </row>
    <row r="941" spans="1:9" x14ac:dyDescent="0.25">
      <c r="A941" t="s">
        <v>71</v>
      </c>
      <c r="B941" t="s">
        <v>230</v>
      </c>
      <c r="C941" t="s">
        <v>229</v>
      </c>
      <c r="D941" s="1">
        <v>45218</v>
      </c>
      <c r="E941" t="s">
        <v>108</v>
      </c>
      <c r="F941">
        <v>4.45</v>
      </c>
      <c r="G941" t="str">
        <f>VLOOKUP(E941,[1]ChatGPT!$1:$1048576,2,FALSE)</f>
        <v>Internal Transactions</v>
      </c>
      <c r="H941" t="str">
        <f>VLOOKUP(E941,[1]ChatGPT!$1:$1048576,3,FALSE)</f>
        <v>ASB</v>
      </c>
      <c r="I941" t="str">
        <f>VLOOKUP(E941,[1]ChatGPT!$1:$1048576,4,FALSE)</f>
        <v>PAYMENT RECEIVED THANK YOU</v>
      </c>
    </row>
    <row r="942" spans="1:9" x14ac:dyDescent="0.25">
      <c r="A942" t="s">
        <v>71</v>
      </c>
      <c r="B942" t="s">
        <v>230</v>
      </c>
      <c r="C942" t="s">
        <v>229</v>
      </c>
      <c r="D942" s="1">
        <v>45219</v>
      </c>
      <c r="E942" t="s">
        <v>108</v>
      </c>
      <c r="F942">
        <v>37.25</v>
      </c>
      <c r="G942" t="str">
        <f>VLOOKUP(E942,[1]ChatGPT!$1:$1048576,2,FALSE)</f>
        <v>Internal Transactions</v>
      </c>
      <c r="H942" t="str">
        <f>VLOOKUP(E942,[1]ChatGPT!$1:$1048576,3,FALSE)</f>
        <v>ASB</v>
      </c>
      <c r="I942" t="str">
        <f>VLOOKUP(E942,[1]ChatGPT!$1:$1048576,4,FALSE)</f>
        <v>PAYMENT RECEIVED THANK YOU</v>
      </c>
    </row>
    <row r="943" spans="1:9" x14ac:dyDescent="0.25">
      <c r="A943" t="s">
        <v>71</v>
      </c>
      <c r="B943" t="s">
        <v>230</v>
      </c>
      <c r="C943" t="s">
        <v>229</v>
      </c>
      <c r="D943" s="1">
        <v>45222</v>
      </c>
      <c r="E943" t="s">
        <v>116</v>
      </c>
      <c r="F943">
        <v>-7.98</v>
      </c>
      <c r="G943" t="str">
        <f>VLOOKUP(E943,[1]ChatGPT!$1:$1048576,2,FALSE)</f>
        <v>Transport</v>
      </c>
      <c r="H943" t="str">
        <f>VLOOKUP(E943,[1]ChatGPT!$1:$1048576,3,FALSE)</f>
        <v xml:space="preserve">Petrol </v>
      </c>
      <c r="I943" t="str">
        <f>VLOOKUP(E943,[1]ChatGPT!$1:$1048576,4,FALSE)</f>
        <v>Transport - Parking</v>
      </c>
    </row>
    <row r="944" spans="1:9" x14ac:dyDescent="0.25">
      <c r="A944" t="s">
        <v>71</v>
      </c>
      <c r="B944" t="s">
        <v>230</v>
      </c>
      <c r="C944" t="s">
        <v>229</v>
      </c>
      <c r="D944" s="1">
        <v>45222</v>
      </c>
      <c r="E944" t="s">
        <v>108</v>
      </c>
      <c r="F944">
        <v>18.41</v>
      </c>
      <c r="G944" t="str">
        <f>VLOOKUP(E944,[1]ChatGPT!$1:$1048576,2,FALSE)</f>
        <v>Internal Transactions</v>
      </c>
      <c r="H944" t="str">
        <f>VLOOKUP(E944,[1]ChatGPT!$1:$1048576,3,FALSE)</f>
        <v>ASB</v>
      </c>
      <c r="I944" t="str">
        <f>VLOOKUP(E944,[1]ChatGPT!$1:$1048576,4,FALSE)</f>
        <v>PAYMENT RECEIVED THANK YOU</v>
      </c>
    </row>
    <row r="945" spans="1:9" x14ac:dyDescent="0.25">
      <c r="A945" t="s">
        <v>71</v>
      </c>
      <c r="B945" t="s">
        <v>230</v>
      </c>
      <c r="C945" t="s">
        <v>229</v>
      </c>
      <c r="D945" s="1">
        <v>45224</v>
      </c>
      <c r="E945" t="s">
        <v>108</v>
      </c>
      <c r="F945">
        <v>42.79</v>
      </c>
      <c r="G945" t="str">
        <f>VLOOKUP(E945,[1]ChatGPT!$1:$1048576,2,FALSE)</f>
        <v>Internal Transactions</v>
      </c>
      <c r="H945" t="str">
        <f>VLOOKUP(E945,[1]ChatGPT!$1:$1048576,3,FALSE)</f>
        <v>ASB</v>
      </c>
      <c r="I945" t="str">
        <f>VLOOKUP(E945,[1]ChatGPT!$1:$1048576,4,FALSE)</f>
        <v>PAYMENT RECEIVED THANK YOU</v>
      </c>
    </row>
    <row r="946" spans="1:9" x14ac:dyDescent="0.25">
      <c r="A946" t="s">
        <v>71</v>
      </c>
      <c r="B946" t="s">
        <v>230</v>
      </c>
      <c r="C946" t="s">
        <v>229</v>
      </c>
      <c r="D946" s="1">
        <v>45225</v>
      </c>
      <c r="E946" t="s">
        <v>108</v>
      </c>
      <c r="F946">
        <v>80.12</v>
      </c>
      <c r="G946" t="str">
        <f>VLOOKUP(E946,[1]ChatGPT!$1:$1048576,2,FALSE)</f>
        <v>Internal Transactions</v>
      </c>
      <c r="H946" t="str">
        <f>VLOOKUP(E946,[1]ChatGPT!$1:$1048576,3,FALSE)</f>
        <v>ASB</v>
      </c>
      <c r="I946" t="str">
        <f>VLOOKUP(E946,[1]ChatGPT!$1:$1048576,4,FALSE)</f>
        <v>PAYMENT RECEIVED THANK YOU</v>
      </c>
    </row>
    <row r="947" spans="1:9" x14ac:dyDescent="0.25">
      <c r="A947" t="s">
        <v>71</v>
      </c>
      <c r="B947" t="s">
        <v>230</v>
      </c>
      <c r="C947" t="s">
        <v>229</v>
      </c>
      <c r="D947" s="1">
        <v>45225</v>
      </c>
      <c r="E947" t="s">
        <v>108</v>
      </c>
      <c r="F947">
        <v>38.29</v>
      </c>
      <c r="G947" t="str">
        <f>VLOOKUP(E947,[1]ChatGPT!$1:$1048576,2,FALSE)</f>
        <v>Internal Transactions</v>
      </c>
      <c r="H947" t="str">
        <f>VLOOKUP(E947,[1]ChatGPT!$1:$1048576,3,FALSE)</f>
        <v>ASB</v>
      </c>
      <c r="I947" t="str">
        <f>VLOOKUP(E947,[1]ChatGPT!$1:$1048576,4,FALSE)</f>
        <v>PAYMENT RECEIVED THANK YOU</v>
      </c>
    </row>
    <row r="948" spans="1:9" x14ac:dyDescent="0.25">
      <c r="A948" t="s">
        <v>71</v>
      </c>
      <c r="B948" t="s">
        <v>230</v>
      </c>
      <c r="C948" t="s">
        <v>229</v>
      </c>
      <c r="D948" s="1">
        <v>45225</v>
      </c>
      <c r="E948" t="s">
        <v>108</v>
      </c>
      <c r="F948">
        <v>0.59</v>
      </c>
      <c r="G948" t="str">
        <f>VLOOKUP(E948,[1]ChatGPT!$1:$1048576,2,FALSE)</f>
        <v>Internal Transactions</v>
      </c>
      <c r="H948" t="str">
        <f>VLOOKUP(E948,[1]ChatGPT!$1:$1048576,3,FALSE)</f>
        <v>ASB</v>
      </c>
      <c r="I948" t="str">
        <f>VLOOKUP(E948,[1]ChatGPT!$1:$1048576,4,FALSE)</f>
        <v>PAYMENT RECEIVED THANK YOU</v>
      </c>
    </row>
    <row r="949" spans="1:9" x14ac:dyDescent="0.25">
      <c r="A949" t="s">
        <v>71</v>
      </c>
      <c r="B949" t="s">
        <v>230</v>
      </c>
      <c r="C949" t="s">
        <v>229</v>
      </c>
      <c r="D949" s="1">
        <v>45226</v>
      </c>
      <c r="E949" t="s">
        <v>108</v>
      </c>
      <c r="F949">
        <v>17.41</v>
      </c>
      <c r="G949" t="str">
        <f>VLOOKUP(E949,[1]ChatGPT!$1:$1048576,2,FALSE)</f>
        <v>Internal Transactions</v>
      </c>
      <c r="H949" t="str">
        <f>VLOOKUP(E949,[1]ChatGPT!$1:$1048576,3,FALSE)</f>
        <v>ASB</v>
      </c>
      <c r="I949" t="str">
        <f>VLOOKUP(E949,[1]ChatGPT!$1:$1048576,4,FALSE)</f>
        <v>PAYMENT RECEIVED THANK YOU</v>
      </c>
    </row>
    <row r="950" spans="1:9" x14ac:dyDescent="0.25">
      <c r="A950" t="s">
        <v>71</v>
      </c>
      <c r="B950" t="s">
        <v>230</v>
      </c>
      <c r="C950" t="s">
        <v>229</v>
      </c>
      <c r="D950" s="1">
        <v>45224</v>
      </c>
      <c r="E950" t="s">
        <v>111</v>
      </c>
      <c r="F950">
        <v>-5.68</v>
      </c>
      <c r="G950" t="str">
        <f>VLOOKUP(E950,[1]ChatGPT!$1:$1048576,2,FALSE)</f>
        <v>Recreational &amp; Entertainment</v>
      </c>
      <c r="H950" t="str">
        <f>VLOOKUP(E950,[1]ChatGPT!$1:$1048576,3,FALSE)</f>
        <v xml:space="preserve">Gym </v>
      </c>
      <c r="I950" t="str">
        <f>VLOOKUP(E950,[1]ChatGPT!$1:$1048576,4,FALSE)</f>
        <v>GYM</v>
      </c>
    </row>
    <row r="951" spans="1:9" x14ac:dyDescent="0.25">
      <c r="A951" t="s">
        <v>71</v>
      </c>
      <c r="B951" t="s">
        <v>230</v>
      </c>
      <c r="C951" t="s">
        <v>229</v>
      </c>
      <c r="D951" s="1">
        <v>45225</v>
      </c>
      <c r="E951" t="s">
        <v>153</v>
      </c>
      <c r="F951">
        <v>-107.66</v>
      </c>
      <c r="G951" t="str">
        <f>VLOOKUP(E951,[1]ChatGPT!$1:$1048576,2,FALSE)</f>
        <v>Recreational &amp; Entertainment</v>
      </c>
      <c r="H951" t="str">
        <f>VLOOKUP(E951,[1]ChatGPT!$1:$1048576,3,FALSE)</f>
        <v>Entertainment</v>
      </c>
      <c r="I951" t="str">
        <f>VLOOKUP(E951,[1]ChatGPT!$1:$1048576,4,FALSE)</f>
        <v>Vape</v>
      </c>
    </row>
    <row r="952" spans="1:9" x14ac:dyDescent="0.25">
      <c r="A952" t="s">
        <v>71</v>
      </c>
      <c r="B952" t="s">
        <v>230</v>
      </c>
      <c r="C952" t="s">
        <v>229</v>
      </c>
      <c r="D952" s="1">
        <v>45224</v>
      </c>
      <c r="E952" t="s">
        <v>194</v>
      </c>
      <c r="F952">
        <v>-31.55</v>
      </c>
      <c r="G952" t="s">
        <v>84</v>
      </c>
      <c r="H952" t="s">
        <v>85</v>
      </c>
      <c r="I952" t="s">
        <v>195</v>
      </c>
    </row>
    <row r="953" spans="1:9" x14ac:dyDescent="0.25">
      <c r="A953" t="s">
        <v>71</v>
      </c>
      <c r="B953" t="s">
        <v>230</v>
      </c>
      <c r="C953" t="s">
        <v>229</v>
      </c>
      <c r="D953" s="1">
        <v>45224</v>
      </c>
      <c r="E953" t="s">
        <v>86</v>
      </c>
      <c r="F953">
        <v>-2.27</v>
      </c>
      <c r="G953" t="str">
        <f>VLOOKUP(E953,[1]ChatGPT!$1:$1048576,2,FALSE)</f>
        <v>Other</v>
      </c>
      <c r="H953" t="str">
        <f>VLOOKUP(E953,[1]ChatGPT!$1:$1048576,3,FALSE)</f>
        <v xml:space="preserve">Other Expenses </v>
      </c>
      <c r="I953" t="str">
        <f>VLOOKUP(E953,[1]ChatGPT!$1:$1048576,4,FALSE)</f>
        <v>OFFSHORE SERVICE MARGINS</v>
      </c>
    </row>
    <row r="954" spans="1:9" x14ac:dyDescent="0.25">
      <c r="A954" t="s">
        <v>71</v>
      </c>
      <c r="B954" t="s">
        <v>230</v>
      </c>
      <c r="C954" t="s">
        <v>229</v>
      </c>
      <c r="D954" s="1">
        <v>45225</v>
      </c>
      <c r="E954" t="s">
        <v>116</v>
      </c>
      <c r="F954">
        <v>-14.55</v>
      </c>
      <c r="G954" t="str">
        <f>VLOOKUP(E954,[1]ChatGPT!$1:$1048576,2,FALSE)</f>
        <v>Transport</v>
      </c>
      <c r="H954" t="str">
        <f>VLOOKUP(E954,[1]ChatGPT!$1:$1048576,3,FALSE)</f>
        <v xml:space="preserve">Petrol </v>
      </c>
      <c r="I954" t="str">
        <f>VLOOKUP(E954,[1]ChatGPT!$1:$1048576,4,FALSE)</f>
        <v>Transport - Parking</v>
      </c>
    </row>
    <row r="955" spans="1:9" x14ac:dyDescent="0.25">
      <c r="A955" t="s">
        <v>71</v>
      </c>
      <c r="B955" t="s">
        <v>230</v>
      </c>
      <c r="C955" t="s">
        <v>229</v>
      </c>
      <c r="D955" s="1">
        <v>45228</v>
      </c>
      <c r="E955" t="s">
        <v>116</v>
      </c>
      <c r="F955">
        <v>-21.36</v>
      </c>
      <c r="G955" t="str">
        <f>VLOOKUP(E955,[1]ChatGPT!$1:$1048576,2,FALSE)</f>
        <v>Transport</v>
      </c>
      <c r="H955" t="str">
        <f>VLOOKUP(E955,[1]ChatGPT!$1:$1048576,3,FALSE)</f>
        <v xml:space="preserve">Petrol </v>
      </c>
      <c r="I955" t="str">
        <f>VLOOKUP(E955,[1]ChatGPT!$1:$1048576,4,FALSE)</f>
        <v>Transport - Parking</v>
      </c>
    </row>
    <row r="956" spans="1:9" x14ac:dyDescent="0.25">
      <c r="A956" t="s">
        <v>71</v>
      </c>
      <c r="B956" t="s">
        <v>230</v>
      </c>
      <c r="C956" t="s">
        <v>229</v>
      </c>
      <c r="D956" s="1">
        <v>45227</v>
      </c>
      <c r="E956" t="s">
        <v>108</v>
      </c>
      <c r="F956">
        <v>0.18</v>
      </c>
      <c r="G956" t="str">
        <f>VLOOKUP(E956,[1]ChatGPT!$1:$1048576,2,FALSE)</f>
        <v>Internal Transactions</v>
      </c>
      <c r="H956" t="str">
        <f>VLOOKUP(E956,[1]ChatGPT!$1:$1048576,3,FALSE)</f>
        <v>ASB</v>
      </c>
      <c r="I956" t="str">
        <f>VLOOKUP(E956,[1]ChatGPT!$1:$1048576,4,FALSE)</f>
        <v>PAYMENT RECEIVED THANK YOU</v>
      </c>
    </row>
    <row r="957" spans="1:9" x14ac:dyDescent="0.25">
      <c r="A957" t="s">
        <v>71</v>
      </c>
      <c r="B957" t="s">
        <v>230</v>
      </c>
      <c r="C957" t="s">
        <v>229</v>
      </c>
      <c r="D957" s="1">
        <v>45228</v>
      </c>
      <c r="E957" t="s">
        <v>108</v>
      </c>
      <c r="F957">
        <v>24.96</v>
      </c>
      <c r="G957" t="str">
        <f>VLOOKUP(E957,[1]ChatGPT!$1:$1048576,2,FALSE)</f>
        <v>Internal Transactions</v>
      </c>
      <c r="H957" t="str">
        <f>VLOOKUP(E957,[1]ChatGPT!$1:$1048576,3,FALSE)</f>
        <v>ASB</v>
      </c>
      <c r="I957" t="str">
        <f>VLOOKUP(E957,[1]ChatGPT!$1:$1048576,4,FALSE)</f>
        <v>PAYMENT RECEIVED THANK YOU</v>
      </c>
    </row>
    <row r="958" spans="1:9" x14ac:dyDescent="0.25">
      <c r="A958" t="s">
        <v>71</v>
      </c>
      <c r="B958" t="s">
        <v>230</v>
      </c>
      <c r="C958" t="s">
        <v>229</v>
      </c>
      <c r="D958" s="1">
        <v>45232</v>
      </c>
      <c r="E958" t="s">
        <v>108</v>
      </c>
      <c r="F958">
        <v>10.3</v>
      </c>
      <c r="G958" t="str">
        <f>VLOOKUP(E958,[1]ChatGPT!$1:$1048576,2,FALSE)</f>
        <v>Internal Transactions</v>
      </c>
      <c r="H958" t="str">
        <f>VLOOKUP(E958,[1]ChatGPT!$1:$1048576,3,FALSE)</f>
        <v>ASB</v>
      </c>
      <c r="I958" t="str">
        <f>VLOOKUP(E958,[1]ChatGPT!$1:$1048576,4,FALSE)</f>
        <v>PAYMENT RECEIVED THANK YOU</v>
      </c>
    </row>
    <row r="959" spans="1:9" x14ac:dyDescent="0.25">
      <c r="A959" t="s">
        <v>71</v>
      </c>
      <c r="B959" t="s">
        <v>230</v>
      </c>
      <c r="C959" t="s">
        <v>229</v>
      </c>
      <c r="D959" s="1">
        <v>45232</v>
      </c>
      <c r="E959" t="s">
        <v>111</v>
      </c>
      <c r="F959">
        <v>-10.84</v>
      </c>
      <c r="G959" t="str">
        <f>VLOOKUP(E959,[1]ChatGPT!$1:$1048576,2,FALSE)</f>
        <v>Recreational &amp; Entertainment</v>
      </c>
      <c r="H959" t="str">
        <f>VLOOKUP(E959,[1]ChatGPT!$1:$1048576,3,FALSE)</f>
        <v xml:space="preserve">Gym </v>
      </c>
      <c r="I959" t="str">
        <f>VLOOKUP(E959,[1]ChatGPT!$1:$1048576,4,FALSE)</f>
        <v>GYM</v>
      </c>
    </row>
    <row r="960" spans="1:9" x14ac:dyDescent="0.25">
      <c r="A960" t="s">
        <v>71</v>
      </c>
      <c r="B960" t="s">
        <v>230</v>
      </c>
      <c r="C960" t="s">
        <v>229</v>
      </c>
      <c r="D960" s="1">
        <v>45235</v>
      </c>
      <c r="E960" t="s">
        <v>196</v>
      </c>
      <c r="F960">
        <v>-9.5299999999999994</v>
      </c>
      <c r="G960" t="s">
        <v>68</v>
      </c>
      <c r="H960" t="s">
        <v>69</v>
      </c>
      <c r="I960" t="s">
        <v>69</v>
      </c>
    </row>
    <row r="961" spans="1:9" x14ac:dyDescent="0.25">
      <c r="A961" t="s">
        <v>71</v>
      </c>
      <c r="B961" t="s">
        <v>230</v>
      </c>
      <c r="C961" t="s">
        <v>229</v>
      </c>
      <c r="D961" s="1">
        <v>45234</v>
      </c>
      <c r="E961" t="s">
        <v>150</v>
      </c>
      <c r="F961">
        <v>-57.14</v>
      </c>
      <c r="G961" t="str">
        <f>VLOOKUP(E961,[1]ChatGPT!$1:$1048576,2,FALSE)</f>
        <v xml:space="preserve">8 Denning Place </v>
      </c>
      <c r="H961" t="s">
        <v>96</v>
      </c>
      <c r="I961" t="str">
        <f>VLOOKUP(E961,[1]ChatGPT!$1:$1048576,4,FALSE)</f>
        <v>Home Expense</v>
      </c>
    </row>
    <row r="962" spans="1:9" x14ac:dyDescent="0.25">
      <c r="A962" t="s">
        <v>71</v>
      </c>
      <c r="B962" t="s">
        <v>230</v>
      </c>
      <c r="C962" t="s">
        <v>229</v>
      </c>
      <c r="D962" s="1">
        <v>45234</v>
      </c>
      <c r="E962" t="s">
        <v>116</v>
      </c>
      <c r="F962">
        <v>-7.58</v>
      </c>
      <c r="G962" t="str">
        <f>VLOOKUP(E962,[1]ChatGPT!$1:$1048576,2,FALSE)</f>
        <v>Transport</v>
      </c>
      <c r="H962" t="str">
        <f>VLOOKUP(E962,[1]ChatGPT!$1:$1048576,3,FALSE)</f>
        <v xml:space="preserve">Petrol </v>
      </c>
      <c r="I962" t="str">
        <f>VLOOKUP(E962,[1]ChatGPT!$1:$1048576,4,FALSE)</f>
        <v>Transport - Parking</v>
      </c>
    </row>
    <row r="963" spans="1:9" x14ac:dyDescent="0.25">
      <c r="A963" t="s">
        <v>71</v>
      </c>
      <c r="B963" t="s">
        <v>230</v>
      </c>
      <c r="C963" t="s">
        <v>229</v>
      </c>
      <c r="D963" s="1">
        <v>45234</v>
      </c>
      <c r="E963" t="s">
        <v>108</v>
      </c>
      <c r="F963">
        <v>48.32</v>
      </c>
      <c r="G963" t="str">
        <f>VLOOKUP(E963,[1]ChatGPT!$1:$1048576,2,FALSE)</f>
        <v>Internal Transactions</v>
      </c>
      <c r="H963" t="str">
        <f>VLOOKUP(E963,[1]ChatGPT!$1:$1048576,3,FALSE)</f>
        <v>ASB</v>
      </c>
      <c r="I963" t="str">
        <f>VLOOKUP(E963,[1]ChatGPT!$1:$1048576,4,FALSE)</f>
        <v>PAYMENT RECEIVED THANK YOU</v>
      </c>
    </row>
    <row r="964" spans="1:9" x14ac:dyDescent="0.25">
      <c r="A964" t="s">
        <v>71</v>
      </c>
      <c r="B964" t="s">
        <v>230</v>
      </c>
      <c r="C964" t="s">
        <v>229</v>
      </c>
      <c r="D964" s="1">
        <v>45235</v>
      </c>
      <c r="E964" t="s">
        <v>108</v>
      </c>
      <c r="F964">
        <v>26.49</v>
      </c>
      <c r="G964" t="str">
        <f>VLOOKUP(E964,[1]ChatGPT!$1:$1048576,2,FALSE)</f>
        <v>Internal Transactions</v>
      </c>
      <c r="H964" t="str">
        <f>VLOOKUP(E964,[1]ChatGPT!$1:$1048576,3,FALSE)</f>
        <v>ASB</v>
      </c>
      <c r="I964" t="str">
        <f>VLOOKUP(E964,[1]ChatGPT!$1:$1048576,4,FALSE)</f>
        <v>PAYMENT RECEIVED THANK YOU</v>
      </c>
    </row>
    <row r="965" spans="1:9" x14ac:dyDescent="0.25">
      <c r="A965" t="s">
        <v>71</v>
      </c>
      <c r="B965" t="s">
        <v>230</v>
      </c>
      <c r="C965" t="s">
        <v>229</v>
      </c>
      <c r="D965" s="1">
        <v>45235</v>
      </c>
      <c r="E965" t="s">
        <v>108</v>
      </c>
      <c r="F965">
        <v>161.85</v>
      </c>
      <c r="G965" t="str">
        <f>VLOOKUP(E965,[1]ChatGPT!$1:$1048576,2,FALSE)</f>
        <v>Internal Transactions</v>
      </c>
      <c r="H965" t="str">
        <f>VLOOKUP(E965,[1]ChatGPT!$1:$1048576,3,FALSE)</f>
        <v>ASB</v>
      </c>
      <c r="I965" t="str">
        <f>VLOOKUP(E965,[1]ChatGPT!$1:$1048576,4,FALSE)</f>
        <v>PAYMENT RECEIVED THANK YOU</v>
      </c>
    </row>
    <row r="966" spans="1:9" x14ac:dyDescent="0.25">
      <c r="A966" t="s">
        <v>71</v>
      </c>
      <c r="B966" t="s">
        <v>230</v>
      </c>
      <c r="C966" t="s">
        <v>229</v>
      </c>
      <c r="D966" s="1">
        <v>45235</v>
      </c>
      <c r="E966" t="s">
        <v>150</v>
      </c>
      <c r="F966">
        <v>-60.72</v>
      </c>
      <c r="G966" t="str">
        <f>VLOOKUP(E966,[1]ChatGPT!$1:$1048576,2,FALSE)</f>
        <v xml:space="preserve">8 Denning Place </v>
      </c>
      <c r="H966" t="s">
        <v>96</v>
      </c>
      <c r="I966" t="str">
        <f>VLOOKUP(E966,[1]ChatGPT!$1:$1048576,4,FALSE)</f>
        <v>Home Expense</v>
      </c>
    </row>
    <row r="967" spans="1:9" x14ac:dyDescent="0.25">
      <c r="A967" t="s">
        <v>71</v>
      </c>
      <c r="B967" t="s">
        <v>230</v>
      </c>
      <c r="C967" t="s">
        <v>229</v>
      </c>
      <c r="D967" s="1">
        <v>45235</v>
      </c>
      <c r="E967" t="s">
        <v>150</v>
      </c>
      <c r="F967">
        <v>-17.54</v>
      </c>
      <c r="G967" t="str">
        <f>VLOOKUP(E967,[1]ChatGPT!$1:$1048576,2,FALSE)</f>
        <v xml:space="preserve">8 Denning Place </v>
      </c>
      <c r="H967" t="s">
        <v>96</v>
      </c>
      <c r="I967" t="str">
        <f>VLOOKUP(E967,[1]ChatGPT!$1:$1048576,4,FALSE)</f>
        <v>Home Expense</v>
      </c>
    </row>
    <row r="968" spans="1:9" x14ac:dyDescent="0.25">
      <c r="A968" t="s">
        <v>71</v>
      </c>
      <c r="B968" t="s">
        <v>230</v>
      </c>
      <c r="C968" t="s">
        <v>229</v>
      </c>
      <c r="D968" s="1">
        <v>45237</v>
      </c>
      <c r="E968" t="s">
        <v>116</v>
      </c>
      <c r="F968">
        <v>-3.2</v>
      </c>
      <c r="G968" t="str">
        <f>VLOOKUP(E968,[1]ChatGPT!$1:$1048576,2,FALSE)</f>
        <v>Transport</v>
      </c>
      <c r="H968" t="str">
        <f>VLOOKUP(E968,[1]ChatGPT!$1:$1048576,3,FALSE)</f>
        <v xml:space="preserve">Petrol </v>
      </c>
      <c r="I968" t="str">
        <f>VLOOKUP(E968,[1]ChatGPT!$1:$1048576,4,FALSE)</f>
        <v>Transport - Parking</v>
      </c>
    </row>
    <row r="969" spans="1:9" x14ac:dyDescent="0.25">
      <c r="A969" t="s">
        <v>71</v>
      </c>
      <c r="B969" t="s">
        <v>230</v>
      </c>
      <c r="C969" t="s">
        <v>229</v>
      </c>
      <c r="D969" s="1">
        <v>45237</v>
      </c>
      <c r="E969" t="s">
        <v>108</v>
      </c>
      <c r="F969">
        <v>29.2</v>
      </c>
      <c r="G969" t="str">
        <f>VLOOKUP(E969,[1]ChatGPT!$1:$1048576,2,FALSE)</f>
        <v>Internal Transactions</v>
      </c>
      <c r="H969" t="str">
        <f>VLOOKUP(E969,[1]ChatGPT!$1:$1048576,3,FALSE)</f>
        <v>ASB</v>
      </c>
      <c r="I969" t="str">
        <f>VLOOKUP(E969,[1]ChatGPT!$1:$1048576,4,FALSE)</f>
        <v>PAYMENT RECEIVED THANK YOU</v>
      </c>
    </row>
    <row r="970" spans="1:9" x14ac:dyDescent="0.25">
      <c r="A970" t="s">
        <v>71</v>
      </c>
      <c r="B970" t="s">
        <v>230</v>
      </c>
      <c r="C970" t="s">
        <v>229</v>
      </c>
      <c r="D970" s="1">
        <v>45238</v>
      </c>
      <c r="E970" t="s">
        <v>108</v>
      </c>
      <c r="F970">
        <v>44.09</v>
      </c>
      <c r="G970" t="str">
        <f>VLOOKUP(E970,[1]ChatGPT!$1:$1048576,2,FALSE)</f>
        <v>Internal Transactions</v>
      </c>
      <c r="H970" t="str">
        <f>VLOOKUP(E970,[1]ChatGPT!$1:$1048576,3,FALSE)</f>
        <v>ASB</v>
      </c>
      <c r="I970" t="str">
        <f>VLOOKUP(E970,[1]ChatGPT!$1:$1048576,4,FALSE)</f>
        <v>PAYMENT RECEIVED THANK YOU</v>
      </c>
    </row>
    <row r="971" spans="1:9" x14ac:dyDescent="0.25">
      <c r="A971" t="s">
        <v>71</v>
      </c>
      <c r="B971" t="s">
        <v>230</v>
      </c>
      <c r="C971" t="s">
        <v>229</v>
      </c>
      <c r="D971" s="1">
        <v>45238</v>
      </c>
      <c r="E971" t="s">
        <v>108</v>
      </c>
      <c r="F971">
        <v>65.069999999999993</v>
      </c>
      <c r="G971" t="str">
        <f>VLOOKUP(E971,[1]ChatGPT!$1:$1048576,2,FALSE)</f>
        <v>Internal Transactions</v>
      </c>
      <c r="H971" t="str">
        <f>VLOOKUP(E971,[1]ChatGPT!$1:$1048576,3,FALSE)</f>
        <v>ASB</v>
      </c>
      <c r="I971" t="str">
        <f>VLOOKUP(E971,[1]ChatGPT!$1:$1048576,4,FALSE)</f>
        <v>PAYMENT RECEIVED THANK YOU</v>
      </c>
    </row>
    <row r="972" spans="1:9" x14ac:dyDescent="0.25">
      <c r="A972" t="s">
        <v>71</v>
      </c>
      <c r="B972" t="s">
        <v>230</v>
      </c>
      <c r="C972" t="s">
        <v>229</v>
      </c>
      <c r="D972" s="1">
        <v>45238</v>
      </c>
      <c r="E972" t="s">
        <v>150</v>
      </c>
      <c r="F972">
        <v>-53.67</v>
      </c>
      <c r="G972" t="str">
        <f>VLOOKUP(E972,[1]ChatGPT!$1:$1048576,2,FALSE)</f>
        <v xml:space="preserve">8 Denning Place </v>
      </c>
      <c r="H972" t="s">
        <v>96</v>
      </c>
      <c r="I972" t="str">
        <f>VLOOKUP(E972,[1]ChatGPT!$1:$1048576,4,FALSE)</f>
        <v>Home Expense</v>
      </c>
    </row>
    <row r="973" spans="1:9" x14ac:dyDescent="0.25">
      <c r="A973" t="s">
        <v>71</v>
      </c>
      <c r="B973" t="s">
        <v>230</v>
      </c>
      <c r="C973" t="s">
        <v>229</v>
      </c>
      <c r="D973" s="1">
        <v>45239</v>
      </c>
      <c r="E973" t="s">
        <v>108</v>
      </c>
      <c r="F973">
        <v>15.12</v>
      </c>
      <c r="G973" t="str">
        <f>VLOOKUP(E973,[1]ChatGPT!$1:$1048576,2,FALSE)</f>
        <v>Internal Transactions</v>
      </c>
      <c r="H973" t="str">
        <f>VLOOKUP(E973,[1]ChatGPT!$1:$1048576,3,FALSE)</f>
        <v>ASB</v>
      </c>
      <c r="I973" t="str">
        <f>VLOOKUP(E973,[1]ChatGPT!$1:$1048576,4,FALSE)</f>
        <v>PAYMENT RECEIVED THANK YOU</v>
      </c>
    </row>
    <row r="974" spans="1:9" x14ac:dyDescent="0.25">
      <c r="A974" t="s">
        <v>71</v>
      </c>
      <c r="B974" t="s">
        <v>230</v>
      </c>
      <c r="C974" t="s">
        <v>229</v>
      </c>
      <c r="D974" s="1">
        <v>45238</v>
      </c>
      <c r="E974" t="s">
        <v>111</v>
      </c>
      <c r="F974">
        <v>-1.32</v>
      </c>
      <c r="G974" t="str">
        <f>VLOOKUP(E974,[1]ChatGPT!$1:$1048576,2,FALSE)</f>
        <v>Recreational &amp; Entertainment</v>
      </c>
      <c r="H974" t="str">
        <f>VLOOKUP(E974,[1]ChatGPT!$1:$1048576,3,FALSE)</f>
        <v xml:space="preserve">Gym </v>
      </c>
      <c r="I974" t="str">
        <f>VLOOKUP(E974,[1]ChatGPT!$1:$1048576,4,FALSE)</f>
        <v>GYM</v>
      </c>
    </row>
    <row r="975" spans="1:9" x14ac:dyDescent="0.25">
      <c r="A975" t="s">
        <v>71</v>
      </c>
      <c r="B975" t="s">
        <v>230</v>
      </c>
      <c r="C975" t="s">
        <v>229</v>
      </c>
      <c r="D975" s="1">
        <v>45241</v>
      </c>
      <c r="E975" t="s">
        <v>116</v>
      </c>
      <c r="F975">
        <v>-24.73</v>
      </c>
      <c r="G975" t="str">
        <f>VLOOKUP(E975,[1]ChatGPT!$1:$1048576,2,FALSE)</f>
        <v>Transport</v>
      </c>
      <c r="H975" t="str">
        <f>VLOOKUP(E975,[1]ChatGPT!$1:$1048576,3,FALSE)</f>
        <v xml:space="preserve">Petrol </v>
      </c>
      <c r="I975" t="str">
        <f>VLOOKUP(E975,[1]ChatGPT!$1:$1048576,4,FALSE)</f>
        <v>Transport - Parking</v>
      </c>
    </row>
    <row r="976" spans="1:9" x14ac:dyDescent="0.25">
      <c r="A976" t="s">
        <v>71</v>
      </c>
      <c r="B976" t="s">
        <v>230</v>
      </c>
      <c r="C976" t="s">
        <v>229</v>
      </c>
      <c r="D976" s="1">
        <v>45242</v>
      </c>
      <c r="E976" t="s">
        <v>108</v>
      </c>
      <c r="F976">
        <v>10.84</v>
      </c>
      <c r="G976" t="str">
        <f>VLOOKUP(E976,[1]ChatGPT!$1:$1048576,2,FALSE)</f>
        <v>Internal Transactions</v>
      </c>
      <c r="H976" t="str">
        <f>VLOOKUP(E976,[1]ChatGPT!$1:$1048576,3,FALSE)</f>
        <v>ASB</v>
      </c>
      <c r="I976" t="str">
        <f>VLOOKUP(E976,[1]ChatGPT!$1:$1048576,4,FALSE)</f>
        <v>PAYMENT RECEIVED THANK YOU</v>
      </c>
    </row>
    <row r="977" spans="1:9" x14ac:dyDescent="0.25">
      <c r="A977" t="s">
        <v>71</v>
      </c>
      <c r="B977" t="s">
        <v>230</v>
      </c>
      <c r="C977" t="s">
        <v>229</v>
      </c>
      <c r="D977" s="1">
        <v>45244</v>
      </c>
      <c r="E977" t="s">
        <v>116</v>
      </c>
      <c r="F977">
        <v>-2.39</v>
      </c>
      <c r="G977" t="str">
        <f>VLOOKUP(E977,[1]ChatGPT!$1:$1048576,2,FALSE)</f>
        <v>Transport</v>
      </c>
      <c r="H977" t="str">
        <f>VLOOKUP(E977,[1]ChatGPT!$1:$1048576,3,FALSE)</f>
        <v xml:space="preserve">Petrol </v>
      </c>
      <c r="I977" t="str">
        <f>VLOOKUP(E977,[1]ChatGPT!$1:$1048576,4,FALSE)</f>
        <v>Transport - Parking</v>
      </c>
    </row>
    <row r="978" spans="1:9" x14ac:dyDescent="0.25">
      <c r="A978" t="s">
        <v>71</v>
      </c>
      <c r="B978" t="s">
        <v>230</v>
      </c>
      <c r="C978" t="s">
        <v>229</v>
      </c>
      <c r="D978" s="1">
        <v>45245</v>
      </c>
      <c r="E978" t="s">
        <v>108</v>
      </c>
      <c r="F978">
        <v>10.24</v>
      </c>
      <c r="G978" t="str">
        <f>VLOOKUP(E978,[1]ChatGPT!$1:$1048576,2,FALSE)</f>
        <v>Internal Transactions</v>
      </c>
      <c r="H978" t="str">
        <f>VLOOKUP(E978,[1]ChatGPT!$1:$1048576,3,FALSE)</f>
        <v>ASB</v>
      </c>
      <c r="I978" t="str">
        <f>VLOOKUP(E978,[1]ChatGPT!$1:$1048576,4,FALSE)</f>
        <v>PAYMENT RECEIVED THANK YOU</v>
      </c>
    </row>
    <row r="979" spans="1:9" x14ac:dyDescent="0.25">
      <c r="A979" t="s">
        <v>71</v>
      </c>
      <c r="B979" t="s">
        <v>230</v>
      </c>
      <c r="C979" t="s">
        <v>229</v>
      </c>
      <c r="D979" s="1">
        <v>45245</v>
      </c>
      <c r="E979" t="s">
        <v>108</v>
      </c>
      <c r="F979">
        <v>29.59</v>
      </c>
      <c r="G979" t="str">
        <f>VLOOKUP(E979,[1]ChatGPT!$1:$1048576,2,FALSE)</f>
        <v>Internal Transactions</v>
      </c>
      <c r="H979" t="str">
        <f>VLOOKUP(E979,[1]ChatGPT!$1:$1048576,3,FALSE)</f>
        <v>ASB</v>
      </c>
      <c r="I979" t="str">
        <f>VLOOKUP(E979,[1]ChatGPT!$1:$1048576,4,FALSE)</f>
        <v>PAYMENT RECEIVED THANK YOU</v>
      </c>
    </row>
    <row r="980" spans="1:9" x14ac:dyDescent="0.25">
      <c r="A980" t="s">
        <v>71</v>
      </c>
      <c r="B980" t="s">
        <v>230</v>
      </c>
      <c r="C980" t="s">
        <v>229</v>
      </c>
      <c r="D980" s="1">
        <v>45246</v>
      </c>
      <c r="E980" t="s">
        <v>108</v>
      </c>
      <c r="F980">
        <v>1.56</v>
      </c>
      <c r="G980" t="str">
        <f>VLOOKUP(E980,[1]ChatGPT!$1:$1048576,2,FALSE)</f>
        <v>Internal Transactions</v>
      </c>
      <c r="H980" t="str">
        <f>VLOOKUP(E980,[1]ChatGPT!$1:$1048576,3,FALSE)</f>
        <v>ASB</v>
      </c>
      <c r="I980" t="str">
        <f>VLOOKUP(E980,[1]ChatGPT!$1:$1048576,4,FALSE)</f>
        <v>PAYMENT RECEIVED THANK YOU</v>
      </c>
    </row>
    <row r="981" spans="1:9" x14ac:dyDescent="0.25">
      <c r="A981" t="s">
        <v>71</v>
      </c>
      <c r="B981" t="s">
        <v>230</v>
      </c>
      <c r="C981" t="s">
        <v>229</v>
      </c>
      <c r="D981" s="1">
        <v>45246</v>
      </c>
      <c r="E981" t="s">
        <v>108</v>
      </c>
      <c r="F981">
        <v>6.43</v>
      </c>
      <c r="G981" t="str">
        <f>VLOOKUP(E981,[1]ChatGPT!$1:$1048576,2,FALSE)</f>
        <v>Internal Transactions</v>
      </c>
      <c r="H981" t="str">
        <f>VLOOKUP(E981,[1]ChatGPT!$1:$1048576,3,FALSE)</f>
        <v>ASB</v>
      </c>
      <c r="I981" t="str">
        <f>VLOOKUP(E981,[1]ChatGPT!$1:$1048576,4,FALSE)</f>
        <v>PAYMENT RECEIVED THANK YOU</v>
      </c>
    </row>
    <row r="982" spans="1:9" x14ac:dyDescent="0.25">
      <c r="A982" t="s">
        <v>71</v>
      </c>
      <c r="B982" t="s">
        <v>230</v>
      </c>
      <c r="C982" t="s">
        <v>229</v>
      </c>
      <c r="D982" s="1">
        <v>45245</v>
      </c>
      <c r="E982" t="s">
        <v>111</v>
      </c>
      <c r="F982">
        <v>-4.54</v>
      </c>
      <c r="G982" t="str">
        <f>VLOOKUP(E982,[1]ChatGPT!$1:$1048576,2,FALSE)</f>
        <v>Recreational &amp; Entertainment</v>
      </c>
      <c r="H982" t="str">
        <f>VLOOKUP(E982,[1]ChatGPT!$1:$1048576,3,FALSE)</f>
        <v xml:space="preserve">Gym </v>
      </c>
      <c r="I982" t="str">
        <f>VLOOKUP(E982,[1]ChatGPT!$1:$1048576,4,FALSE)</f>
        <v>GYM</v>
      </c>
    </row>
    <row r="983" spans="1:9" x14ac:dyDescent="0.25">
      <c r="A983" t="s">
        <v>71</v>
      </c>
      <c r="B983" t="s">
        <v>230</v>
      </c>
      <c r="C983" t="s">
        <v>229</v>
      </c>
      <c r="D983" s="1">
        <v>45248</v>
      </c>
      <c r="E983" t="s">
        <v>116</v>
      </c>
      <c r="F983">
        <v>-15.98</v>
      </c>
      <c r="G983" t="str">
        <f>VLOOKUP(E983,[1]ChatGPT!$1:$1048576,2,FALSE)</f>
        <v>Transport</v>
      </c>
      <c r="H983" t="str">
        <f>VLOOKUP(E983,[1]ChatGPT!$1:$1048576,3,FALSE)</f>
        <v xml:space="preserve">Petrol </v>
      </c>
      <c r="I983" t="str">
        <f>VLOOKUP(E983,[1]ChatGPT!$1:$1048576,4,FALSE)</f>
        <v>Transport - Parking</v>
      </c>
    </row>
    <row r="984" spans="1:9" x14ac:dyDescent="0.25">
      <c r="A984" t="s">
        <v>71</v>
      </c>
      <c r="B984" t="s">
        <v>230</v>
      </c>
      <c r="C984" t="s">
        <v>229</v>
      </c>
      <c r="D984" s="1">
        <v>45249</v>
      </c>
      <c r="E984" t="s">
        <v>108</v>
      </c>
      <c r="F984">
        <v>20.04</v>
      </c>
      <c r="G984" t="str">
        <f>VLOOKUP(E984,[1]ChatGPT!$1:$1048576,2,FALSE)</f>
        <v>Internal Transactions</v>
      </c>
      <c r="H984" t="str">
        <f>VLOOKUP(E984,[1]ChatGPT!$1:$1048576,3,FALSE)</f>
        <v>ASB</v>
      </c>
      <c r="I984" t="str">
        <f>VLOOKUP(E984,[1]ChatGPT!$1:$1048576,4,FALSE)</f>
        <v>PAYMENT RECEIVED THANK YOU</v>
      </c>
    </row>
    <row r="985" spans="1:9" x14ac:dyDescent="0.25">
      <c r="A985" t="s">
        <v>71</v>
      </c>
      <c r="B985" t="s">
        <v>230</v>
      </c>
      <c r="C985" t="s">
        <v>229</v>
      </c>
      <c r="D985" s="1">
        <v>45251</v>
      </c>
      <c r="E985" t="s">
        <v>116</v>
      </c>
      <c r="F985">
        <v>-6.12</v>
      </c>
      <c r="G985" t="str">
        <f>VLOOKUP(E985,[1]ChatGPT!$1:$1048576,2,FALSE)</f>
        <v>Transport</v>
      </c>
      <c r="H985" t="str">
        <f>VLOOKUP(E985,[1]ChatGPT!$1:$1048576,3,FALSE)</f>
        <v xml:space="preserve">Petrol </v>
      </c>
      <c r="I985" t="str">
        <f>VLOOKUP(E985,[1]ChatGPT!$1:$1048576,4,FALSE)</f>
        <v>Transport - Parking</v>
      </c>
    </row>
    <row r="986" spans="1:9" x14ac:dyDescent="0.25">
      <c r="A986" t="s">
        <v>71</v>
      </c>
      <c r="B986" t="s">
        <v>230</v>
      </c>
      <c r="C986" t="s">
        <v>229</v>
      </c>
      <c r="D986" s="1">
        <v>45251</v>
      </c>
      <c r="E986" t="s">
        <v>116</v>
      </c>
      <c r="F986">
        <v>-11.54</v>
      </c>
      <c r="G986" t="str">
        <f>VLOOKUP(E986,[1]ChatGPT!$1:$1048576,2,FALSE)</f>
        <v>Transport</v>
      </c>
      <c r="H986" t="str">
        <f>VLOOKUP(E986,[1]ChatGPT!$1:$1048576,3,FALSE)</f>
        <v xml:space="preserve">Petrol </v>
      </c>
      <c r="I986" t="str">
        <f>VLOOKUP(E986,[1]ChatGPT!$1:$1048576,4,FALSE)</f>
        <v>Transport - Parking</v>
      </c>
    </row>
    <row r="987" spans="1:9" x14ac:dyDescent="0.25">
      <c r="A987" t="s">
        <v>71</v>
      </c>
      <c r="B987" t="s">
        <v>230</v>
      </c>
      <c r="C987" t="s">
        <v>229</v>
      </c>
      <c r="D987" s="1">
        <v>45251</v>
      </c>
      <c r="E987" t="s">
        <v>108</v>
      </c>
      <c r="F987">
        <v>7.63</v>
      </c>
      <c r="G987" t="str">
        <f>VLOOKUP(E987,[1]ChatGPT!$1:$1048576,2,FALSE)</f>
        <v>Internal Transactions</v>
      </c>
      <c r="H987" t="str">
        <f>VLOOKUP(E987,[1]ChatGPT!$1:$1048576,3,FALSE)</f>
        <v>ASB</v>
      </c>
      <c r="I987" t="str">
        <f>VLOOKUP(E987,[1]ChatGPT!$1:$1048576,4,FALSE)</f>
        <v>PAYMENT RECEIVED THANK YOU</v>
      </c>
    </row>
    <row r="988" spans="1:9" x14ac:dyDescent="0.25">
      <c r="A988" t="s">
        <v>71</v>
      </c>
      <c r="B988" t="s">
        <v>230</v>
      </c>
      <c r="C988" t="s">
        <v>229</v>
      </c>
      <c r="D988" s="1">
        <v>45251</v>
      </c>
      <c r="E988" t="s">
        <v>135</v>
      </c>
      <c r="F988">
        <v>-156.35</v>
      </c>
      <c r="G988" t="str">
        <f>VLOOKUP(E988,[1]ChatGPT!$1:$1048576,2,FALSE)</f>
        <v>Transport</v>
      </c>
      <c r="H988" t="str">
        <f>VLOOKUP(E988,[1]ChatGPT!$1:$1048576,3,FALSE)</f>
        <v xml:space="preserve">Petrol </v>
      </c>
      <c r="I988" t="s">
        <v>98</v>
      </c>
    </row>
    <row r="989" spans="1:9" x14ac:dyDescent="0.25">
      <c r="A989" t="s">
        <v>71</v>
      </c>
      <c r="B989" t="s">
        <v>230</v>
      </c>
      <c r="C989" t="s">
        <v>229</v>
      </c>
      <c r="D989" s="1">
        <v>45252</v>
      </c>
      <c r="E989" t="s">
        <v>108</v>
      </c>
      <c r="F989">
        <v>311.70999999999998</v>
      </c>
      <c r="G989" t="str">
        <f>VLOOKUP(E989,[1]ChatGPT!$1:$1048576,2,FALSE)</f>
        <v>Internal Transactions</v>
      </c>
      <c r="H989" t="str">
        <f>VLOOKUP(E989,[1]ChatGPT!$1:$1048576,3,FALSE)</f>
        <v>ASB</v>
      </c>
      <c r="I989" t="str">
        <f>VLOOKUP(E989,[1]ChatGPT!$1:$1048576,4,FALSE)</f>
        <v>PAYMENT RECEIVED THANK YOU</v>
      </c>
    </row>
    <row r="990" spans="1:9" x14ac:dyDescent="0.25">
      <c r="A990" t="s">
        <v>71</v>
      </c>
      <c r="B990" t="s">
        <v>230</v>
      </c>
      <c r="C990" t="s">
        <v>229</v>
      </c>
      <c r="D990" s="1">
        <v>45253</v>
      </c>
      <c r="E990" t="s">
        <v>108</v>
      </c>
      <c r="F990">
        <v>8.24</v>
      </c>
      <c r="G990" t="str">
        <f>VLOOKUP(E990,[1]ChatGPT!$1:$1048576,2,FALSE)</f>
        <v>Internal Transactions</v>
      </c>
      <c r="H990" t="str">
        <f>VLOOKUP(E990,[1]ChatGPT!$1:$1048576,3,FALSE)</f>
        <v>ASB</v>
      </c>
      <c r="I990" t="str">
        <f>VLOOKUP(E990,[1]ChatGPT!$1:$1048576,4,FALSE)</f>
        <v>PAYMENT RECEIVED THANK YOU</v>
      </c>
    </row>
    <row r="991" spans="1:9" x14ac:dyDescent="0.25">
      <c r="A991" t="s">
        <v>71</v>
      </c>
      <c r="B991" t="s">
        <v>230</v>
      </c>
      <c r="C991" t="s">
        <v>229</v>
      </c>
      <c r="D991" s="1">
        <v>45253</v>
      </c>
      <c r="E991" t="s">
        <v>111</v>
      </c>
      <c r="F991">
        <v>-12.91</v>
      </c>
      <c r="G991" t="str">
        <f>VLOOKUP(E991,[1]ChatGPT!$1:$1048576,2,FALSE)</f>
        <v>Recreational &amp; Entertainment</v>
      </c>
      <c r="H991" t="str">
        <f>VLOOKUP(E991,[1]ChatGPT!$1:$1048576,3,FALSE)</f>
        <v xml:space="preserve">Gym </v>
      </c>
      <c r="I991" t="str">
        <f>VLOOKUP(E991,[1]ChatGPT!$1:$1048576,4,FALSE)</f>
        <v>GYM</v>
      </c>
    </row>
    <row r="992" spans="1:9" x14ac:dyDescent="0.25">
      <c r="A992" t="s">
        <v>71</v>
      </c>
      <c r="B992" t="s">
        <v>230</v>
      </c>
      <c r="C992" t="s">
        <v>229</v>
      </c>
      <c r="D992" s="1">
        <v>45254</v>
      </c>
      <c r="E992" t="s">
        <v>122</v>
      </c>
      <c r="F992">
        <v>-4.7</v>
      </c>
      <c r="G992" t="str">
        <f>VLOOKUP(E992,[1]ChatGPT!$1:$1048576,2,FALSE)</f>
        <v>Groceries</v>
      </c>
      <c r="H992" t="str">
        <f>VLOOKUP(E992,[1]ChatGPT!$1:$1048576,3,FALSE)</f>
        <v>Grocery</v>
      </c>
      <c r="I992" t="str">
        <f>VLOOKUP(E992,[1]ChatGPT!$1:$1048576,4,FALSE)</f>
        <v>Grocery</v>
      </c>
    </row>
    <row r="993" spans="1:9" x14ac:dyDescent="0.25">
      <c r="A993" t="s">
        <v>71</v>
      </c>
      <c r="B993" t="s">
        <v>230</v>
      </c>
      <c r="C993" t="s">
        <v>229</v>
      </c>
      <c r="D993" s="1">
        <v>45255</v>
      </c>
      <c r="E993" t="s">
        <v>108</v>
      </c>
      <c r="F993">
        <v>12.32</v>
      </c>
      <c r="G993" t="str">
        <f>VLOOKUP(E993,[1]ChatGPT!$1:$1048576,2,FALSE)</f>
        <v>Internal Transactions</v>
      </c>
      <c r="H993" t="str">
        <f>VLOOKUP(E993,[1]ChatGPT!$1:$1048576,3,FALSE)</f>
        <v>ASB</v>
      </c>
      <c r="I993" t="str">
        <f>VLOOKUP(E993,[1]ChatGPT!$1:$1048576,4,FALSE)</f>
        <v>PAYMENT RECEIVED THANK YOU</v>
      </c>
    </row>
    <row r="994" spans="1:9" x14ac:dyDescent="0.25">
      <c r="A994" t="s">
        <v>71</v>
      </c>
      <c r="B994" t="s">
        <v>230</v>
      </c>
      <c r="C994" t="s">
        <v>229</v>
      </c>
      <c r="D994" s="1">
        <v>45256</v>
      </c>
      <c r="E994" t="s">
        <v>108</v>
      </c>
      <c r="F994">
        <v>84.47</v>
      </c>
      <c r="G994" t="str">
        <f>VLOOKUP(E994,[1]ChatGPT!$1:$1048576,2,FALSE)</f>
        <v>Internal Transactions</v>
      </c>
      <c r="H994" t="str">
        <f>VLOOKUP(E994,[1]ChatGPT!$1:$1048576,3,FALSE)</f>
        <v>ASB</v>
      </c>
      <c r="I994" t="str">
        <f>VLOOKUP(E994,[1]ChatGPT!$1:$1048576,4,FALSE)</f>
        <v>PAYMENT RECEIVED THANK YOU</v>
      </c>
    </row>
    <row r="995" spans="1:9" x14ac:dyDescent="0.25">
      <c r="A995" t="s">
        <v>71</v>
      </c>
      <c r="B995" t="s">
        <v>230</v>
      </c>
      <c r="C995" t="s">
        <v>229</v>
      </c>
      <c r="D995" s="1">
        <v>45258</v>
      </c>
      <c r="E995" t="s">
        <v>108</v>
      </c>
      <c r="F995">
        <v>12.27</v>
      </c>
      <c r="G995" t="str">
        <f>VLOOKUP(E995,[1]ChatGPT!$1:$1048576,2,FALSE)</f>
        <v>Internal Transactions</v>
      </c>
      <c r="H995" t="str">
        <f>VLOOKUP(E995,[1]ChatGPT!$1:$1048576,3,FALSE)</f>
        <v>ASB</v>
      </c>
      <c r="I995" t="str">
        <f>VLOOKUP(E995,[1]ChatGPT!$1:$1048576,4,FALSE)</f>
        <v>PAYMENT RECEIVED THANK YOU</v>
      </c>
    </row>
    <row r="996" spans="1:9" x14ac:dyDescent="0.25">
      <c r="A996" t="s">
        <v>71</v>
      </c>
      <c r="B996" t="s">
        <v>230</v>
      </c>
      <c r="C996" t="s">
        <v>229</v>
      </c>
      <c r="D996" s="1">
        <v>45258</v>
      </c>
      <c r="E996" t="s">
        <v>197</v>
      </c>
      <c r="F996">
        <v>-15.5</v>
      </c>
      <c r="G996" t="str">
        <f>VLOOKUP(E996,[1]ChatGPT!$1:$1048576,2,FALSE)</f>
        <v>Recreational &amp; Entertainment</v>
      </c>
      <c r="H996" t="str">
        <f>VLOOKUP(E996,[1]ChatGPT!$1:$1048576,3,FALSE)</f>
        <v xml:space="preserve">Dining Out </v>
      </c>
      <c r="I996" t="str">
        <f>VLOOKUP(E996,[1]ChatGPT!$1:$1048576,4,FALSE)</f>
        <v>Dinning</v>
      </c>
    </row>
    <row r="997" spans="1:9" x14ac:dyDescent="0.25">
      <c r="A997" t="s">
        <v>71</v>
      </c>
      <c r="B997" t="s">
        <v>230</v>
      </c>
      <c r="C997" t="s">
        <v>229</v>
      </c>
      <c r="D997" s="1">
        <v>45260</v>
      </c>
      <c r="E997" t="s">
        <v>108</v>
      </c>
      <c r="F997">
        <v>7.38</v>
      </c>
      <c r="G997" t="str">
        <f>VLOOKUP(E997,[1]ChatGPT!$1:$1048576,2,FALSE)</f>
        <v>Internal Transactions</v>
      </c>
      <c r="H997" t="str">
        <f>VLOOKUP(E997,[1]ChatGPT!$1:$1048576,3,FALSE)</f>
        <v>ASB</v>
      </c>
      <c r="I997" t="str">
        <f>VLOOKUP(E997,[1]ChatGPT!$1:$1048576,4,FALSE)</f>
        <v>PAYMENT RECEIVED THANK YOU</v>
      </c>
    </row>
    <row r="998" spans="1:9" x14ac:dyDescent="0.25">
      <c r="A998" t="s">
        <v>71</v>
      </c>
      <c r="B998" t="s">
        <v>230</v>
      </c>
      <c r="C998" t="s">
        <v>229</v>
      </c>
      <c r="D998" s="1">
        <v>45259</v>
      </c>
      <c r="E998" t="s">
        <v>111</v>
      </c>
      <c r="F998">
        <v>-4.63</v>
      </c>
      <c r="G998" t="str">
        <f>VLOOKUP(E998,[1]ChatGPT!$1:$1048576,2,FALSE)</f>
        <v>Recreational &amp; Entertainment</v>
      </c>
      <c r="H998" t="str">
        <f>VLOOKUP(E998,[1]ChatGPT!$1:$1048576,3,FALSE)</f>
        <v xml:space="preserve">Gym </v>
      </c>
      <c r="I998" t="str">
        <f>VLOOKUP(E998,[1]ChatGPT!$1:$1048576,4,FALSE)</f>
        <v>GYM</v>
      </c>
    </row>
    <row r="999" spans="1:9" x14ac:dyDescent="0.25">
      <c r="A999" t="s">
        <v>71</v>
      </c>
      <c r="B999" t="s">
        <v>230</v>
      </c>
      <c r="C999" t="s">
        <v>229</v>
      </c>
      <c r="D999" s="1">
        <v>45261</v>
      </c>
      <c r="E999" t="s">
        <v>108</v>
      </c>
      <c r="F999">
        <v>3.71</v>
      </c>
      <c r="G999" t="str">
        <f>VLOOKUP(E999,[1]ChatGPT!$1:$1048576,2,FALSE)</f>
        <v>Internal Transactions</v>
      </c>
      <c r="H999" t="str">
        <f>VLOOKUP(E999,[1]ChatGPT!$1:$1048576,3,FALSE)</f>
        <v>ASB</v>
      </c>
      <c r="I999" t="str">
        <f>VLOOKUP(E999,[1]ChatGPT!$1:$1048576,4,FALSE)</f>
        <v>PAYMENT RECEIVED THANK YOU</v>
      </c>
    </row>
    <row r="1000" spans="1:9" x14ac:dyDescent="0.25">
      <c r="A1000" t="s">
        <v>71</v>
      </c>
      <c r="B1000" t="s">
        <v>230</v>
      </c>
      <c r="C1000" t="s">
        <v>229</v>
      </c>
      <c r="D1000" s="1">
        <v>45261</v>
      </c>
      <c r="E1000" t="s">
        <v>198</v>
      </c>
      <c r="F1000">
        <v>-1.21</v>
      </c>
      <c r="G1000" t="str">
        <f>VLOOKUP(E1000,[1]ChatGPT!$1:$1048576,2,FALSE)</f>
        <v>Recreational &amp; Entertainment</v>
      </c>
      <c r="H1000" t="str">
        <f>VLOOKUP(E1000,[1]ChatGPT!$1:$1048576,3,FALSE)</f>
        <v xml:space="preserve">Travel </v>
      </c>
      <c r="I1000" t="str">
        <f>VLOOKUP(E1000,[1]ChatGPT!$1:$1048576,4,FALSE)</f>
        <v>Travel</v>
      </c>
    </row>
    <row r="1001" spans="1:9" x14ac:dyDescent="0.25">
      <c r="A1001" t="s">
        <v>71</v>
      </c>
      <c r="B1001" t="s">
        <v>230</v>
      </c>
      <c r="C1001" t="s">
        <v>229</v>
      </c>
      <c r="D1001" s="1">
        <v>45261</v>
      </c>
      <c r="E1001" t="s">
        <v>198</v>
      </c>
      <c r="F1001">
        <v>-23.18</v>
      </c>
      <c r="G1001" t="str">
        <f>VLOOKUP(E1001,[1]ChatGPT!$1:$1048576,2,FALSE)</f>
        <v>Recreational &amp; Entertainment</v>
      </c>
      <c r="H1001" t="str">
        <f>VLOOKUP(E1001,[1]ChatGPT!$1:$1048576,3,FALSE)</f>
        <v xml:space="preserve">Travel </v>
      </c>
      <c r="I1001" t="str">
        <f>VLOOKUP(E1001,[1]ChatGPT!$1:$1048576,4,FALSE)</f>
        <v>Travel</v>
      </c>
    </row>
    <row r="1002" spans="1:9" x14ac:dyDescent="0.25">
      <c r="A1002" t="s">
        <v>71</v>
      </c>
      <c r="B1002" t="s">
        <v>230</v>
      </c>
      <c r="C1002" t="s">
        <v>229</v>
      </c>
      <c r="D1002" s="1">
        <v>45262</v>
      </c>
      <c r="E1002" t="s">
        <v>116</v>
      </c>
      <c r="F1002">
        <v>-4.3099999999999996</v>
      </c>
      <c r="G1002" t="str">
        <f>VLOOKUP(E1002,[1]ChatGPT!$1:$1048576,2,FALSE)</f>
        <v>Transport</v>
      </c>
      <c r="H1002" t="str">
        <f>VLOOKUP(E1002,[1]ChatGPT!$1:$1048576,3,FALSE)</f>
        <v xml:space="preserve">Petrol </v>
      </c>
      <c r="I1002" t="str">
        <f>VLOOKUP(E1002,[1]ChatGPT!$1:$1048576,4,FALSE)</f>
        <v>Transport - Parking</v>
      </c>
    </row>
    <row r="1003" spans="1:9" x14ac:dyDescent="0.25">
      <c r="A1003" t="s">
        <v>71</v>
      </c>
      <c r="B1003" t="s">
        <v>230</v>
      </c>
      <c r="C1003" t="s">
        <v>229</v>
      </c>
      <c r="D1003" s="1">
        <v>45263</v>
      </c>
      <c r="E1003" t="s">
        <v>108</v>
      </c>
      <c r="F1003">
        <v>16.18</v>
      </c>
      <c r="G1003" t="str">
        <f>VLOOKUP(E1003,[1]ChatGPT!$1:$1048576,2,FALSE)</f>
        <v>Internal Transactions</v>
      </c>
      <c r="H1003" t="str">
        <f>VLOOKUP(E1003,[1]ChatGPT!$1:$1048576,3,FALSE)</f>
        <v>ASB</v>
      </c>
      <c r="I1003" t="str">
        <f>VLOOKUP(E1003,[1]ChatGPT!$1:$1048576,4,FALSE)</f>
        <v>PAYMENT RECEIVED THANK YOU</v>
      </c>
    </row>
    <row r="1004" spans="1:9" x14ac:dyDescent="0.25">
      <c r="A1004" t="s">
        <v>71</v>
      </c>
      <c r="B1004" t="s">
        <v>230</v>
      </c>
      <c r="C1004" t="s">
        <v>229</v>
      </c>
      <c r="D1004" s="1">
        <v>45263</v>
      </c>
      <c r="E1004" t="s">
        <v>108</v>
      </c>
      <c r="F1004">
        <v>12.65</v>
      </c>
      <c r="G1004" t="str">
        <f>VLOOKUP(E1004,[1]ChatGPT!$1:$1048576,2,FALSE)</f>
        <v>Internal Transactions</v>
      </c>
      <c r="H1004" t="str">
        <f>VLOOKUP(E1004,[1]ChatGPT!$1:$1048576,3,FALSE)</f>
        <v>ASB</v>
      </c>
      <c r="I1004" t="str">
        <f>VLOOKUP(E1004,[1]ChatGPT!$1:$1048576,4,FALSE)</f>
        <v>PAYMENT RECEIVED THANK YOU</v>
      </c>
    </row>
    <row r="1005" spans="1:9" x14ac:dyDescent="0.25">
      <c r="A1005" t="s">
        <v>71</v>
      </c>
      <c r="B1005" t="s">
        <v>230</v>
      </c>
      <c r="C1005" t="s">
        <v>229</v>
      </c>
      <c r="D1005" s="1">
        <v>45263</v>
      </c>
      <c r="E1005" t="s">
        <v>108</v>
      </c>
      <c r="F1005">
        <v>36.159999999999997</v>
      </c>
      <c r="G1005" t="str">
        <f>VLOOKUP(E1005,[1]ChatGPT!$1:$1048576,2,FALSE)</f>
        <v>Internal Transactions</v>
      </c>
      <c r="H1005" t="str">
        <f>VLOOKUP(E1005,[1]ChatGPT!$1:$1048576,3,FALSE)</f>
        <v>ASB</v>
      </c>
      <c r="I1005" t="str">
        <f>VLOOKUP(E1005,[1]ChatGPT!$1:$1048576,4,FALSE)</f>
        <v>PAYMENT RECEIVED THANK YOU</v>
      </c>
    </row>
    <row r="1006" spans="1:9" x14ac:dyDescent="0.25">
      <c r="A1006" t="s">
        <v>71</v>
      </c>
      <c r="B1006" t="s">
        <v>230</v>
      </c>
      <c r="C1006" t="s">
        <v>229</v>
      </c>
      <c r="D1006" s="1">
        <v>45263</v>
      </c>
      <c r="E1006" t="s">
        <v>153</v>
      </c>
      <c r="F1006">
        <v>-160.72999999999999</v>
      </c>
      <c r="G1006" t="str">
        <f>VLOOKUP(E1006,[1]ChatGPT!$1:$1048576,2,FALSE)</f>
        <v>Recreational &amp; Entertainment</v>
      </c>
      <c r="H1006" t="str">
        <f>VLOOKUP(E1006,[1]ChatGPT!$1:$1048576,3,FALSE)</f>
        <v>Entertainment</v>
      </c>
      <c r="I1006" t="str">
        <f>VLOOKUP(E1006,[1]ChatGPT!$1:$1048576,4,FALSE)</f>
        <v>Vape</v>
      </c>
    </row>
    <row r="1007" spans="1:9" x14ac:dyDescent="0.25">
      <c r="A1007" t="s">
        <v>71</v>
      </c>
      <c r="B1007" t="s">
        <v>230</v>
      </c>
      <c r="C1007" t="s">
        <v>229</v>
      </c>
      <c r="D1007" s="1">
        <v>45264</v>
      </c>
      <c r="E1007" t="s">
        <v>108</v>
      </c>
      <c r="F1007">
        <v>30.24</v>
      </c>
      <c r="G1007" t="str">
        <f>VLOOKUP(E1007,[1]ChatGPT!$1:$1048576,2,FALSE)</f>
        <v>Internal Transactions</v>
      </c>
      <c r="H1007" t="str">
        <f>VLOOKUP(E1007,[1]ChatGPT!$1:$1048576,3,FALSE)</f>
        <v>ASB</v>
      </c>
      <c r="I1007" t="str">
        <f>VLOOKUP(E1007,[1]ChatGPT!$1:$1048576,4,FALSE)</f>
        <v>PAYMENT RECEIVED THANK YOU</v>
      </c>
    </row>
    <row r="1008" spans="1:9" x14ac:dyDescent="0.25">
      <c r="A1008" t="s">
        <v>71</v>
      </c>
      <c r="B1008" t="s">
        <v>230</v>
      </c>
      <c r="C1008" t="s">
        <v>229</v>
      </c>
      <c r="D1008" s="1">
        <v>45265</v>
      </c>
      <c r="E1008" t="s">
        <v>108</v>
      </c>
      <c r="F1008">
        <v>170.64</v>
      </c>
      <c r="G1008" t="str">
        <f>VLOOKUP(E1008,[1]ChatGPT!$1:$1048576,2,FALSE)</f>
        <v>Internal Transactions</v>
      </c>
      <c r="H1008" t="str">
        <f>VLOOKUP(E1008,[1]ChatGPT!$1:$1048576,3,FALSE)</f>
        <v>ASB</v>
      </c>
      <c r="I1008" t="str">
        <f>VLOOKUP(E1008,[1]ChatGPT!$1:$1048576,4,FALSE)</f>
        <v>PAYMENT RECEIVED THANK YOU</v>
      </c>
    </row>
    <row r="1009" spans="1:9" x14ac:dyDescent="0.25">
      <c r="A1009" t="s">
        <v>71</v>
      </c>
      <c r="B1009" t="s">
        <v>230</v>
      </c>
      <c r="C1009" t="s">
        <v>229</v>
      </c>
      <c r="D1009" s="1">
        <v>45267</v>
      </c>
      <c r="E1009" t="s">
        <v>108</v>
      </c>
      <c r="F1009">
        <v>5.37</v>
      </c>
      <c r="G1009" t="str">
        <f>VLOOKUP(E1009,[1]ChatGPT!$1:$1048576,2,FALSE)</f>
        <v>Internal Transactions</v>
      </c>
      <c r="H1009" t="str">
        <f>VLOOKUP(E1009,[1]ChatGPT!$1:$1048576,3,FALSE)</f>
        <v>ASB</v>
      </c>
      <c r="I1009" t="str">
        <f>VLOOKUP(E1009,[1]ChatGPT!$1:$1048576,4,FALSE)</f>
        <v>PAYMENT RECEIVED THANK YOU</v>
      </c>
    </row>
    <row r="1010" spans="1:9" x14ac:dyDescent="0.25">
      <c r="A1010" t="s">
        <v>71</v>
      </c>
      <c r="B1010" t="s">
        <v>230</v>
      </c>
      <c r="C1010" t="s">
        <v>229</v>
      </c>
      <c r="D1010" s="1">
        <v>45266</v>
      </c>
      <c r="E1010" t="s">
        <v>111</v>
      </c>
      <c r="F1010">
        <v>-10.93</v>
      </c>
      <c r="G1010" t="str">
        <f>VLOOKUP(E1010,[1]ChatGPT!$1:$1048576,2,FALSE)</f>
        <v>Recreational &amp; Entertainment</v>
      </c>
      <c r="H1010" t="str">
        <f>VLOOKUP(E1010,[1]ChatGPT!$1:$1048576,3,FALSE)</f>
        <v xml:space="preserve">Gym </v>
      </c>
      <c r="I1010" t="str">
        <f>VLOOKUP(E1010,[1]ChatGPT!$1:$1048576,4,FALSE)</f>
        <v>GYM</v>
      </c>
    </row>
    <row r="1011" spans="1:9" x14ac:dyDescent="0.25">
      <c r="A1011" t="s">
        <v>71</v>
      </c>
      <c r="B1011" t="s">
        <v>230</v>
      </c>
      <c r="C1011" t="s">
        <v>229</v>
      </c>
      <c r="D1011" s="1">
        <v>45268</v>
      </c>
      <c r="E1011" t="s">
        <v>116</v>
      </c>
      <c r="F1011">
        <v>-7.21</v>
      </c>
      <c r="G1011" t="str">
        <f>VLOOKUP(E1011,[1]ChatGPT!$1:$1048576,2,FALSE)</f>
        <v>Transport</v>
      </c>
      <c r="H1011" t="str">
        <f>VLOOKUP(E1011,[1]ChatGPT!$1:$1048576,3,FALSE)</f>
        <v xml:space="preserve">Petrol </v>
      </c>
      <c r="I1011" t="str">
        <f>VLOOKUP(E1011,[1]ChatGPT!$1:$1048576,4,FALSE)</f>
        <v>Transport - Parking</v>
      </c>
    </row>
    <row r="1012" spans="1:9" x14ac:dyDescent="0.25">
      <c r="A1012" t="s">
        <v>71</v>
      </c>
      <c r="B1012" t="s">
        <v>230</v>
      </c>
      <c r="C1012" t="s">
        <v>229</v>
      </c>
      <c r="D1012" s="1">
        <v>45268</v>
      </c>
      <c r="E1012" t="s">
        <v>196</v>
      </c>
      <c r="F1012">
        <v>-6.58</v>
      </c>
      <c r="G1012" t="s">
        <v>68</v>
      </c>
      <c r="H1012" t="s">
        <v>69</v>
      </c>
      <c r="I1012" t="s">
        <v>69</v>
      </c>
    </row>
    <row r="1013" spans="1:9" x14ac:dyDescent="0.25">
      <c r="A1013" t="s">
        <v>71</v>
      </c>
      <c r="B1013" t="s">
        <v>230</v>
      </c>
      <c r="C1013" t="s">
        <v>229</v>
      </c>
      <c r="D1013" s="1">
        <v>45269</v>
      </c>
      <c r="E1013" t="s">
        <v>108</v>
      </c>
      <c r="F1013">
        <v>16.489999999999998</v>
      </c>
      <c r="G1013" t="str">
        <f>VLOOKUP(E1013,[1]ChatGPT!$1:$1048576,2,FALSE)</f>
        <v>Internal Transactions</v>
      </c>
      <c r="H1013" t="str">
        <f>VLOOKUP(E1013,[1]ChatGPT!$1:$1048576,3,FALSE)</f>
        <v>ASB</v>
      </c>
      <c r="I1013" t="str">
        <f>VLOOKUP(E1013,[1]ChatGPT!$1:$1048576,4,FALSE)</f>
        <v>PAYMENT RECEIVED THANK YOU</v>
      </c>
    </row>
    <row r="1014" spans="1:9" x14ac:dyDescent="0.25">
      <c r="A1014" t="s">
        <v>71</v>
      </c>
      <c r="B1014" t="s">
        <v>230</v>
      </c>
      <c r="C1014" t="s">
        <v>229</v>
      </c>
      <c r="D1014" s="1">
        <v>45269</v>
      </c>
      <c r="E1014" t="s">
        <v>108</v>
      </c>
      <c r="F1014">
        <v>42.91</v>
      </c>
      <c r="G1014" t="str">
        <f>VLOOKUP(E1014,[1]ChatGPT!$1:$1048576,2,FALSE)</f>
        <v>Internal Transactions</v>
      </c>
      <c r="H1014" t="str">
        <f>VLOOKUP(E1014,[1]ChatGPT!$1:$1048576,3,FALSE)</f>
        <v>ASB</v>
      </c>
      <c r="I1014" t="str">
        <f>VLOOKUP(E1014,[1]ChatGPT!$1:$1048576,4,FALSE)</f>
        <v>PAYMENT RECEIVED THANK YOU</v>
      </c>
    </row>
    <row r="1015" spans="1:9" x14ac:dyDescent="0.25">
      <c r="A1015" t="s">
        <v>71</v>
      </c>
      <c r="B1015" t="s">
        <v>230</v>
      </c>
      <c r="C1015" t="s">
        <v>229</v>
      </c>
      <c r="D1015" s="1">
        <v>45269</v>
      </c>
      <c r="E1015" t="s">
        <v>199</v>
      </c>
      <c r="F1015">
        <v>-177.91</v>
      </c>
      <c r="G1015" t="str">
        <f>VLOOKUP(E1015,[1]ChatGPT!$1:$1048576,2,FALSE)</f>
        <v>Transport</v>
      </c>
      <c r="H1015" t="str">
        <f>VLOOKUP(E1015,[1]ChatGPT!$1:$1048576,3,FALSE)</f>
        <v xml:space="preserve">Petrol </v>
      </c>
      <c r="I1015" t="s">
        <v>98</v>
      </c>
    </row>
    <row r="1016" spans="1:9" x14ac:dyDescent="0.25">
      <c r="A1016" t="s">
        <v>71</v>
      </c>
      <c r="B1016" t="s">
        <v>230</v>
      </c>
      <c r="C1016" t="s">
        <v>229</v>
      </c>
      <c r="D1016" s="1">
        <v>45269</v>
      </c>
      <c r="E1016" t="s">
        <v>116</v>
      </c>
      <c r="F1016">
        <v>-15.26</v>
      </c>
      <c r="G1016" t="str">
        <f>VLOOKUP(E1016,[1]ChatGPT!$1:$1048576,2,FALSE)</f>
        <v>Transport</v>
      </c>
      <c r="H1016" t="str">
        <f>VLOOKUP(E1016,[1]ChatGPT!$1:$1048576,3,FALSE)</f>
        <v xml:space="preserve">Petrol </v>
      </c>
      <c r="I1016" t="str">
        <f>VLOOKUP(E1016,[1]ChatGPT!$1:$1048576,4,FALSE)</f>
        <v>Transport - Parking</v>
      </c>
    </row>
    <row r="1017" spans="1:9" x14ac:dyDescent="0.25">
      <c r="A1017" t="s">
        <v>71</v>
      </c>
      <c r="B1017" t="s">
        <v>230</v>
      </c>
      <c r="C1017" t="s">
        <v>229</v>
      </c>
      <c r="D1017" s="1">
        <v>45270</v>
      </c>
      <c r="E1017" t="s">
        <v>108</v>
      </c>
      <c r="F1017">
        <v>22.38</v>
      </c>
      <c r="G1017" t="str">
        <f>VLOOKUP(E1017,[1]ChatGPT!$1:$1048576,2,FALSE)</f>
        <v>Internal Transactions</v>
      </c>
      <c r="H1017" t="str">
        <f>VLOOKUP(E1017,[1]ChatGPT!$1:$1048576,3,FALSE)</f>
        <v>ASB</v>
      </c>
      <c r="I1017" t="str">
        <f>VLOOKUP(E1017,[1]ChatGPT!$1:$1048576,4,FALSE)</f>
        <v>PAYMENT RECEIVED THANK YOU</v>
      </c>
    </row>
    <row r="1018" spans="1:9" x14ac:dyDescent="0.25">
      <c r="A1018" t="s">
        <v>71</v>
      </c>
      <c r="B1018" t="s">
        <v>230</v>
      </c>
      <c r="C1018" t="s">
        <v>229</v>
      </c>
      <c r="D1018" s="1">
        <v>45270</v>
      </c>
      <c r="E1018" t="s">
        <v>108</v>
      </c>
      <c r="F1018">
        <v>55.33</v>
      </c>
      <c r="G1018" t="str">
        <f>VLOOKUP(E1018,[1]ChatGPT!$1:$1048576,2,FALSE)</f>
        <v>Internal Transactions</v>
      </c>
      <c r="H1018" t="str">
        <f>VLOOKUP(E1018,[1]ChatGPT!$1:$1048576,3,FALSE)</f>
        <v>ASB</v>
      </c>
      <c r="I1018" t="str">
        <f>VLOOKUP(E1018,[1]ChatGPT!$1:$1048576,4,FALSE)</f>
        <v>PAYMENT RECEIVED THANK YOU</v>
      </c>
    </row>
    <row r="1019" spans="1:9" x14ac:dyDescent="0.25">
      <c r="A1019" t="s">
        <v>71</v>
      </c>
      <c r="B1019" t="s">
        <v>230</v>
      </c>
      <c r="C1019" t="s">
        <v>229</v>
      </c>
      <c r="D1019" s="1">
        <v>45271</v>
      </c>
      <c r="E1019" t="s">
        <v>108</v>
      </c>
      <c r="F1019">
        <v>1.31</v>
      </c>
      <c r="G1019" t="str">
        <f>VLOOKUP(E1019,[1]ChatGPT!$1:$1048576,2,FALSE)</f>
        <v>Internal Transactions</v>
      </c>
      <c r="H1019" t="str">
        <f>VLOOKUP(E1019,[1]ChatGPT!$1:$1048576,3,FALSE)</f>
        <v>ASB</v>
      </c>
      <c r="I1019" t="str">
        <f>VLOOKUP(E1019,[1]ChatGPT!$1:$1048576,4,FALSE)</f>
        <v>PAYMENT RECEIVED THANK YOU</v>
      </c>
    </row>
    <row r="1020" spans="1:9" x14ac:dyDescent="0.25">
      <c r="A1020" t="s">
        <v>71</v>
      </c>
      <c r="B1020" t="s">
        <v>230</v>
      </c>
      <c r="C1020" t="s">
        <v>229</v>
      </c>
      <c r="D1020" s="1">
        <v>45273</v>
      </c>
      <c r="E1020" t="s">
        <v>108</v>
      </c>
      <c r="F1020">
        <v>0.42</v>
      </c>
      <c r="G1020" t="str">
        <f>VLOOKUP(E1020,[1]ChatGPT!$1:$1048576,2,FALSE)</f>
        <v>Internal Transactions</v>
      </c>
      <c r="H1020" t="str">
        <f>VLOOKUP(E1020,[1]ChatGPT!$1:$1048576,3,FALSE)</f>
        <v>ASB</v>
      </c>
      <c r="I1020" t="str">
        <f>VLOOKUP(E1020,[1]ChatGPT!$1:$1048576,4,FALSE)</f>
        <v>PAYMENT RECEIVED THANK YOU</v>
      </c>
    </row>
    <row r="1021" spans="1:9" x14ac:dyDescent="0.25">
      <c r="A1021" t="s">
        <v>71</v>
      </c>
      <c r="B1021" t="s">
        <v>230</v>
      </c>
      <c r="C1021" t="s">
        <v>229</v>
      </c>
      <c r="D1021" s="1">
        <v>45274</v>
      </c>
      <c r="E1021" t="s">
        <v>108</v>
      </c>
      <c r="F1021">
        <v>12.41</v>
      </c>
      <c r="G1021" t="str">
        <f>VLOOKUP(E1021,[1]ChatGPT!$1:$1048576,2,FALSE)</f>
        <v>Internal Transactions</v>
      </c>
      <c r="H1021" t="str">
        <f>VLOOKUP(E1021,[1]ChatGPT!$1:$1048576,3,FALSE)</f>
        <v>ASB</v>
      </c>
      <c r="I1021" t="str">
        <f>VLOOKUP(E1021,[1]ChatGPT!$1:$1048576,4,FALSE)</f>
        <v>PAYMENT RECEIVED THANK YOU</v>
      </c>
    </row>
    <row r="1022" spans="1:9" x14ac:dyDescent="0.25">
      <c r="A1022" t="s">
        <v>71</v>
      </c>
      <c r="B1022" t="s">
        <v>230</v>
      </c>
      <c r="C1022" t="s">
        <v>229</v>
      </c>
      <c r="D1022" s="1">
        <v>45274</v>
      </c>
      <c r="E1022" t="s">
        <v>111</v>
      </c>
      <c r="F1022">
        <v>-0.13</v>
      </c>
      <c r="G1022" t="str">
        <f>VLOOKUP(E1022,[1]ChatGPT!$1:$1048576,2,FALSE)</f>
        <v>Recreational &amp; Entertainment</v>
      </c>
      <c r="H1022" t="str">
        <f>VLOOKUP(E1022,[1]ChatGPT!$1:$1048576,3,FALSE)</f>
        <v xml:space="preserve">Gym </v>
      </c>
      <c r="I1022" t="str">
        <f>VLOOKUP(E1022,[1]ChatGPT!$1:$1048576,4,FALSE)</f>
        <v>GYM</v>
      </c>
    </row>
    <row r="1023" spans="1:9" x14ac:dyDescent="0.25">
      <c r="A1023" t="s">
        <v>71</v>
      </c>
      <c r="B1023" t="s">
        <v>230</v>
      </c>
      <c r="C1023" t="s">
        <v>229</v>
      </c>
      <c r="D1023" s="1">
        <v>45279</v>
      </c>
      <c r="E1023" t="s">
        <v>108</v>
      </c>
      <c r="F1023">
        <v>1.94</v>
      </c>
      <c r="G1023" t="str">
        <f>VLOOKUP(E1023,[1]ChatGPT!$1:$1048576,2,FALSE)</f>
        <v>Internal Transactions</v>
      </c>
      <c r="H1023" t="str">
        <f>VLOOKUP(E1023,[1]ChatGPT!$1:$1048576,3,FALSE)</f>
        <v>ASB</v>
      </c>
      <c r="I1023" t="str">
        <f>VLOOKUP(E1023,[1]ChatGPT!$1:$1048576,4,FALSE)</f>
        <v>PAYMENT RECEIVED THANK YOU</v>
      </c>
    </row>
    <row r="1024" spans="1:9" x14ac:dyDescent="0.25">
      <c r="A1024" t="s">
        <v>71</v>
      </c>
      <c r="B1024" t="s">
        <v>230</v>
      </c>
      <c r="C1024" t="s">
        <v>229</v>
      </c>
      <c r="D1024" s="1">
        <v>45280</v>
      </c>
      <c r="E1024" t="s">
        <v>111</v>
      </c>
      <c r="F1024">
        <v>-2.1800000000000002</v>
      </c>
      <c r="G1024" t="str">
        <f>VLOOKUP(E1024,[1]ChatGPT!$1:$1048576,2,FALSE)</f>
        <v>Recreational &amp; Entertainment</v>
      </c>
      <c r="H1024" t="str">
        <f>VLOOKUP(E1024,[1]ChatGPT!$1:$1048576,3,FALSE)</f>
        <v xml:space="preserve">Gym </v>
      </c>
      <c r="I1024" t="str">
        <f>VLOOKUP(E1024,[1]ChatGPT!$1:$1048576,4,FALSE)</f>
        <v>GYM</v>
      </c>
    </row>
    <row r="1025" spans="1:9" x14ac:dyDescent="0.25">
      <c r="A1025" t="s">
        <v>71</v>
      </c>
      <c r="B1025" t="s">
        <v>230</v>
      </c>
      <c r="C1025" t="s">
        <v>229</v>
      </c>
      <c r="D1025" s="1">
        <v>45281</v>
      </c>
      <c r="E1025" t="s">
        <v>108</v>
      </c>
      <c r="F1025">
        <v>15.02</v>
      </c>
      <c r="G1025" t="str">
        <f>VLOOKUP(E1025,[1]ChatGPT!$1:$1048576,2,FALSE)</f>
        <v>Internal Transactions</v>
      </c>
      <c r="H1025" t="str">
        <f>VLOOKUP(E1025,[1]ChatGPT!$1:$1048576,3,FALSE)</f>
        <v>ASB</v>
      </c>
      <c r="I1025" t="str">
        <f>VLOOKUP(E1025,[1]ChatGPT!$1:$1048576,4,FALSE)</f>
        <v>PAYMENT RECEIVED THANK YOU</v>
      </c>
    </row>
    <row r="1026" spans="1:9" x14ac:dyDescent="0.25">
      <c r="A1026" t="s">
        <v>71</v>
      </c>
      <c r="B1026" t="s">
        <v>230</v>
      </c>
      <c r="C1026" t="s">
        <v>229</v>
      </c>
      <c r="D1026" s="1">
        <v>45282</v>
      </c>
      <c r="E1026" t="s">
        <v>108</v>
      </c>
      <c r="F1026">
        <v>29.86</v>
      </c>
      <c r="G1026" t="str">
        <f>VLOOKUP(E1026,[1]ChatGPT!$1:$1048576,2,FALSE)</f>
        <v>Internal Transactions</v>
      </c>
      <c r="H1026" t="str">
        <f>VLOOKUP(E1026,[1]ChatGPT!$1:$1048576,3,FALSE)</f>
        <v>ASB</v>
      </c>
      <c r="I1026" t="str">
        <f>VLOOKUP(E1026,[1]ChatGPT!$1:$1048576,4,FALSE)</f>
        <v>PAYMENT RECEIVED THANK YOU</v>
      </c>
    </row>
    <row r="1027" spans="1:9" x14ac:dyDescent="0.25">
      <c r="A1027" t="s">
        <v>71</v>
      </c>
      <c r="B1027" t="s">
        <v>230</v>
      </c>
      <c r="C1027" t="s">
        <v>229</v>
      </c>
      <c r="D1027" s="1">
        <v>45287</v>
      </c>
      <c r="E1027" t="s">
        <v>108</v>
      </c>
      <c r="F1027">
        <v>1.28</v>
      </c>
      <c r="G1027" t="str">
        <f>VLOOKUP(E1027,[1]ChatGPT!$1:$1048576,2,FALSE)</f>
        <v>Internal Transactions</v>
      </c>
      <c r="H1027" t="str">
        <f>VLOOKUP(E1027,[1]ChatGPT!$1:$1048576,3,FALSE)</f>
        <v>ASB</v>
      </c>
      <c r="I1027" t="str">
        <f>VLOOKUP(E1027,[1]ChatGPT!$1:$1048576,4,FALSE)</f>
        <v>PAYMENT RECEIVED THANK YOU</v>
      </c>
    </row>
    <row r="1028" spans="1:9" x14ac:dyDescent="0.25">
      <c r="A1028" t="s">
        <v>71</v>
      </c>
      <c r="B1028" t="s">
        <v>230</v>
      </c>
      <c r="C1028" t="s">
        <v>229</v>
      </c>
      <c r="D1028" s="1">
        <v>45287</v>
      </c>
      <c r="E1028" t="s">
        <v>111</v>
      </c>
      <c r="F1028">
        <v>-4.91</v>
      </c>
      <c r="G1028" t="str">
        <f>VLOOKUP(E1028,[1]ChatGPT!$1:$1048576,2,FALSE)</f>
        <v>Recreational &amp; Entertainment</v>
      </c>
      <c r="H1028" t="str">
        <f>VLOOKUP(E1028,[1]ChatGPT!$1:$1048576,3,FALSE)</f>
        <v xml:space="preserve">Gym </v>
      </c>
      <c r="I1028" t="str">
        <f>VLOOKUP(E1028,[1]ChatGPT!$1:$1048576,4,FALSE)</f>
        <v>GYM</v>
      </c>
    </row>
    <row r="1029" spans="1:9" x14ac:dyDescent="0.25">
      <c r="A1029" t="s">
        <v>71</v>
      </c>
      <c r="B1029" t="s">
        <v>230</v>
      </c>
      <c r="C1029" t="s">
        <v>229</v>
      </c>
      <c r="D1029" s="1">
        <v>45288</v>
      </c>
      <c r="E1029" t="s">
        <v>108</v>
      </c>
      <c r="F1029">
        <v>9.25</v>
      </c>
      <c r="G1029" t="str">
        <f>VLOOKUP(E1029,[1]ChatGPT!$1:$1048576,2,FALSE)</f>
        <v>Internal Transactions</v>
      </c>
      <c r="H1029" t="str">
        <f>VLOOKUP(E1029,[1]ChatGPT!$1:$1048576,3,FALSE)</f>
        <v>ASB</v>
      </c>
      <c r="I1029" t="str">
        <f>VLOOKUP(E1029,[1]ChatGPT!$1:$1048576,4,FALSE)</f>
        <v>PAYMENT RECEIVED THANK YOU</v>
      </c>
    </row>
    <row r="1030" spans="1:9" x14ac:dyDescent="0.25">
      <c r="A1030" t="s">
        <v>71</v>
      </c>
      <c r="B1030" t="s">
        <v>230</v>
      </c>
      <c r="C1030" t="s">
        <v>229</v>
      </c>
      <c r="D1030" s="1">
        <v>45289</v>
      </c>
      <c r="E1030" t="s">
        <v>108</v>
      </c>
      <c r="F1030">
        <v>44.37</v>
      </c>
      <c r="G1030" t="str">
        <f>VLOOKUP(E1030,[1]ChatGPT!$1:$1048576,2,FALSE)</f>
        <v>Internal Transactions</v>
      </c>
      <c r="H1030" t="str">
        <f>VLOOKUP(E1030,[1]ChatGPT!$1:$1048576,3,FALSE)</f>
        <v>ASB</v>
      </c>
      <c r="I1030" t="str">
        <f>VLOOKUP(E1030,[1]ChatGPT!$1:$1048576,4,FALSE)</f>
        <v>PAYMENT RECEIVED THANK YOU</v>
      </c>
    </row>
    <row r="1031" spans="1:9" x14ac:dyDescent="0.25">
      <c r="A1031" t="s">
        <v>71</v>
      </c>
      <c r="B1031" t="s">
        <v>230</v>
      </c>
      <c r="C1031" t="s">
        <v>229</v>
      </c>
      <c r="D1031" s="1">
        <v>45291</v>
      </c>
      <c r="E1031" t="s">
        <v>108</v>
      </c>
      <c r="F1031">
        <v>2.9</v>
      </c>
      <c r="G1031" t="str">
        <f>VLOOKUP(E1031,[1]ChatGPT!$1:$1048576,2,FALSE)</f>
        <v>Internal Transactions</v>
      </c>
      <c r="H1031" t="str">
        <f>VLOOKUP(E1031,[1]ChatGPT!$1:$1048576,3,FALSE)</f>
        <v>ASB</v>
      </c>
      <c r="I1031" t="str">
        <f>VLOOKUP(E1031,[1]ChatGPT!$1:$1048576,4,FALSE)</f>
        <v>PAYMENT RECEIVED THANK YOU</v>
      </c>
    </row>
    <row r="1032" spans="1:9" x14ac:dyDescent="0.25">
      <c r="A1032" t="s">
        <v>71</v>
      </c>
      <c r="B1032" t="s">
        <v>230</v>
      </c>
      <c r="C1032" t="s">
        <v>229</v>
      </c>
      <c r="D1032" s="1">
        <v>45291</v>
      </c>
      <c r="E1032" t="s">
        <v>108</v>
      </c>
      <c r="F1032">
        <v>0.45</v>
      </c>
      <c r="G1032" t="str">
        <f>VLOOKUP(E1032,[1]ChatGPT!$1:$1048576,2,FALSE)</f>
        <v>Internal Transactions</v>
      </c>
      <c r="H1032" t="str">
        <f>VLOOKUP(E1032,[1]ChatGPT!$1:$1048576,3,FALSE)</f>
        <v>ASB</v>
      </c>
      <c r="I1032" t="str">
        <f>VLOOKUP(E1032,[1]ChatGPT!$1:$1048576,4,FALSE)</f>
        <v>PAYMENT RECEIVED THANK YOU</v>
      </c>
    </row>
    <row r="1033" spans="1:9" x14ac:dyDescent="0.25">
      <c r="A1033" t="s">
        <v>71</v>
      </c>
      <c r="B1033" t="s">
        <v>230</v>
      </c>
      <c r="C1033" t="s">
        <v>229</v>
      </c>
      <c r="D1033" s="1">
        <v>45291</v>
      </c>
      <c r="E1033" t="s">
        <v>200</v>
      </c>
      <c r="F1033">
        <v>-42.45</v>
      </c>
      <c r="G1033" t="s">
        <v>76</v>
      </c>
      <c r="H1033" t="s">
        <v>82</v>
      </c>
      <c r="I1033" t="s">
        <v>83</v>
      </c>
    </row>
    <row r="1034" spans="1:9" x14ac:dyDescent="0.25">
      <c r="A1034" t="s">
        <v>71</v>
      </c>
      <c r="B1034" t="s">
        <v>230</v>
      </c>
      <c r="C1034" t="s">
        <v>229</v>
      </c>
      <c r="D1034" s="1">
        <v>45291</v>
      </c>
      <c r="E1034" t="s">
        <v>86</v>
      </c>
      <c r="F1034">
        <v>-0.51</v>
      </c>
      <c r="G1034" t="str">
        <f>VLOOKUP(E1034,[1]ChatGPT!$1:$1048576,2,FALSE)</f>
        <v>Other</v>
      </c>
      <c r="H1034" t="str">
        <f>VLOOKUP(E1034,[1]ChatGPT!$1:$1048576,3,FALSE)</f>
        <v xml:space="preserve">Other Expenses </v>
      </c>
      <c r="I1034" t="str">
        <f>VLOOKUP(E1034,[1]ChatGPT!$1:$1048576,4,FALSE)</f>
        <v>OFFSHORE SERVICE MARGINS</v>
      </c>
    </row>
    <row r="1035" spans="1:9" x14ac:dyDescent="0.25">
      <c r="A1035" t="s">
        <v>71</v>
      </c>
      <c r="B1035" t="s">
        <v>230</v>
      </c>
      <c r="C1035" t="s">
        <v>229</v>
      </c>
      <c r="D1035" s="1">
        <v>45293</v>
      </c>
      <c r="E1035" t="s">
        <v>108</v>
      </c>
      <c r="F1035">
        <v>30.26</v>
      </c>
      <c r="G1035" t="str">
        <f>VLOOKUP(E1035,[1]ChatGPT!$1:$1048576,2,FALSE)</f>
        <v>Internal Transactions</v>
      </c>
      <c r="H1035" t="str">
        <f>VLOOKUP(E1035,[1]ChatGPT!$1:$1048576,3,FALSE)</f>
        <v>ASB</v>
      </c>
      <c r="I1035" t="str">
        <f>VLOOKUP(E1035,[1]ChatGPT!$1:$1048576,4,FALSE)</f>
        <v>PAYMENT RECEIVED THANK YOU</v>
      </c>
    </row>
    <row r="1036" spans="1:9" x14ac:dyDescent="0.25">
      <c r="A1036" t="s">
        <v>71</v>
      </c>
      <c r="B1036" t="s">
        <v>230</v>
      </c>
      <c r="C1036" t="s">
        <v>229</v>
      </c>
      <c r="D1036" s="1">
        <v>45293</v>
      </c>
      <c r="E1036" t="s">
        <v>201</v>
      </c>
      <c r="F1036">
        <v>-3.99</v>
      </c>
      <c r="G1036" t="s">
        <v>76</v>
      </c>
      <c r="H1036" t="s">
        <v>82</v>
      </c>
      <c r="I1036" t="s">
        <v>83</v>
      </c>
    </row>
    <row r="1037" spans="1:9" x14ac:dyDescent="0.25">
      <c r="A1037" t="s">
        <v>71</v>
      </c>
      <c r="B1037" t="s">
        <v>230</v>
      </c>
      <c r="C1037" t="s">
        <v>229</v>
      </c>
      <c r="D1037" s="1">
        <v>45293</v>
      </c>
      <c r="E1037" t="s">
        <v>86</v>
      </c>
      <c r="F1037">
        <v>-0.52</v>
      </c>
      <c r="G1037" t="str">
        <f>VLOOKUP(E1037,[1]ChatGPT!$1:$1048576,2,FALSE)</f>
        <v>Other</v>
      </c>
      <c r="H1037" t="str">
        <f>VLOOKUP(E1037,[1]ChatGPT!$1:$1048576,3,FALSE)</f>
        <v xml:space="preserve">Other Expenses </v>
      </c>
      <c r="I1037" t="str">
        <f>VLOOKUP(E1037,[1]ChatGPT!$1:$1048576,4,FALSE)</f>
        <v>OFFSHORE SERVICE MARGINS</v>
      </c>
    </row>
    <row r="1038" spans="1:9" x14ac:dyDescent="0.25">
      <c r="A1038" t="s">
        <v>71</v>
      </c>
      <c r="B1038" t="s">
        <v>230</v>
      </c>
      <c r="C1038" t="s">
        <v>229</v>
      </c>
      <c r="D1038" s="1">
        <v>45293</v>
      </c>
      <c r="E1038" t="s">
        <v>202</v>
      </c>
      <c r="F1038">
        <v>-4.04</v>
      </c>
      <c r="G1038" t="s">
        <v>68</v>
      </c>
      <c r="H1038" t="s">
        <v>69</v>
      </c>
      <c r="I1038" t="s">
        <v>69</v>
      </c>
    </row>
    <row r="1039" spans="1:9" x14ac:dyDescent="0.25">
      <c r="A1039" t="s">
        <v>71</v>
      </c>
      <c r="B1039" t="s">
        <v>230</v>
      </c>
      <c r="C1039" t="s">
        <v>229</v>
      </c>
      <c r="D1039" s="1">
        <v>45293</v>
      </c>
      <c r="E1039" t="s">
        <v>86</v>
      </c>
      <c r="F1039">
        <v>-7.0000000000000007E-2</v>
      </c>
      <c r="G1039" t="str">
        <f>VLOOKUP(E1039,[1]ChatGPT!$1:$1048576,2,FALSE)</f>
        <v>Other</v>
      </c>
      <c r="H1039" t="str">
        <f>VLOOKUP(E1039,[1]ChatGPT!$1:$1048576,3,FALSE)</f>
        <v xml:space="preserve">Other Expenses </v>
      </c>
      <c r="I1039" t="str">
        <f>VLOOKUP(E1039,[1]ChatGPT!$1:$1048576,4,FALSE)</f>
        <v>OFFSHORE SERVICE MARGINS</v>
      </c>
    </row>
    <row r="1040" spans="1:9" x14ac:dyDescent="0.25">
      <c r="A1040" t="s">
        <v>71</v>
      </c>
      <c r="B1040" t="s">
        <v>230</v>
      </c>
      <c r="C1040" t="s">
        <v>229</v>
      </c>
      <c r="D1040" s="1">
        <v>45294</v>
      </c>
      <c r="E1040" t="s">
        <v>108</v>
      </c>
      <c r="F1040">
        <v>30.17</v>
      </c>
      <c r="G1040" t="str">
        <f>VLOOKUP(E1040,[1]ChatGPT!$1:$1048576,2,FALSE)</f>
        <v>Internal Transactions</v>
      </c>
      <c r="H1040" t="str">
        <f>VLOOKUP(E1040,[1]ChatGPT!$1:$1048576,3,FALSE)</f>
        <v>ASB</v>
      </c>
      <c r="I1040" t="str">
        <f>VLOOKUP(E1040,[1]ChatGPT!$1:$1048576,4,FALSE)</f>
        <v>PAYMENT RECEIVED THANK YOU</v>
      </c>
    </row>
    <row r="1041" spans="1:9" x14ac:dyDescent="0.25">
      <c r="A1041" t="s">
        <v>71</v>
      </c>
      <c r="B1041" t="s">
        <v>230</v>
      </c>
      <c r="C1041" t="s">
        <v>229</v>
      </c>
      <c r="D1041" s="1">
        <v>45294</v>
      </c>
      <c r="E1041" t="s">
        <v>108</v>
      </c>
      <c r="F1041">
        <v>42.85</v>
      </c>
      <c r="G1041" t="str">
        <f>VLOOKUP(E1041,[1]ChatGPT!$1:$1048576,2,FALSE)</f>
        <v>Internal Transactions</v>
      </c>
      <c r="H1041" t="str">
        <f>VLOOKUP(E1041,[1]ChatGPT!$1:$1048576,3,FALSE)</f>
        <v>ASB</v>
      </c>
      <c r="I1041" t="str">
        <f>VLOOKUP(E1041,[1]ChatGPT!$1:$1048576,4,FALSE)</f>
        <v>PAYMENT RECEIVED THANK YOU</v>
      </c>
    </row>
    <row r="1042" spans="1:9" x14ac:dyDescent="0.25">
      <c r="A1042" t="s">
        <v>71</v>
      </c>
      <c r="B1042" t="s">
        <v>230</v>
      </c>
      <c r="C1042" t="s">
        <v>229</v>
      </c>
      <c r="D1042" s="1">
        <v>45293</v>
      </c>
      <c r="E1042" t="s">
        <v>203</v>
      </c>
      <c r="F1042">
        <v>-18.510000000000002</v>
      </c>
      <c r="G1042" t="s">
        <v>68</v>
      </c>
      <c r="H1042" t="s">
        <v>69</v>
      </c>
      <c r="I1042" t="s">
        <v>69</v>
      </c>
    </row>
    <row r="1043" spans="1:9" x14ac:dyDescent="0.25">
      <c r="A1043" t="s">
        <v>71</v>
      </c>
      <c r="B1043" t="s">
        <v>230</v>
      </c>
      <c r="C1043" t="s">
        <v>229</v>
      </c>
      <c r="D1043" s="1">
        <v>45293</v>
      </c>
      <c r="E1043" t="s">
        <v>86</v>
      </c>
      <c r="F1043">
        <v>-0.31</v>
      </c>
      <c r="G1043" t="str">
        <f>VLOOKUP(E1043,[1]ChatGPT!$1:$1048576,2,FALSE)</f>
        <v>Other</v>
      </c>
      <c r="H1043" t="str">
        <f>VLOOKUP(E1043,[1]ChatGPT!$1:$1048576,3,FALSE)</f>
        <v xml:space="preserve">Other Expenses </v>
      </c>
      <c r="I1043" t="str">
        <f>VLOOKUP(E1043,[1]ChatGPT!$1:$1048576,4,FALSE)</f>
        <v>OFFSHORE SERVICE MARGINS</v>
      </c>
    </row>
    <row r="1044" spans="1:9" x14ac:dyDescent="0.25">
      <c r="A1044" t="s">
        <v>71</v>
      </c>
      <c r="B1044" t="s">
        <v>230</v>
      </c>
      <c r="C1044" t="s">
        <v>229</v>
      </c>
      <c r="D1044" s="1">
        <v>45293</v>
      </c>
      <c r="E1044" t="s">
        <v>204</v>
      </c>
      <c r="F1044">
        <v>-34.700000000000003</v>
      </c>
      <c r="G1044" t="s">
        <v>76</v>
      </c>
      <c r="H1044" t="s">
        <v>87</v>
      </c>
      <c r="I1044" t="s">
        <v>88</v>
      </c>
    </row>
    <row r="1045" spans="1:9" x14ac:dyDescent="0.25">
      <c r="A1045" t="s">
        <v>71</v>
      </c>
      <c r="B1045" t="s">
        <v>230</v>
      </c>
      <c r="C1045" t="s">
        <v>229</v>
      </c>
      <c r="D1045" s="1">
        <v>45293</v>
      </c>
      <c r="E1045" t="s">
        <v>86</v>
      </c>
      <c r="F1045">
        <v>-0.83</v>
      </c>
      <c r="G1045" t="str">
        <f>VLOOKUP(E1045,[1]ChatGPT!$1:$1048576,2,FALSE)</f>
        <v>Other</v>
      </c>
      <c r="H1045" t="str">
        <f>VLOOKUP(E1045,[1]ChatGPT!$1:$1048576,3,FALSE)</f>
        <v xml:space="preserve">Other Expenses </v>
      </c>
      <c r="I1045" t="str">
        <f>VLOOKUP(E1045,[1]ChatGPT!$1:$1048576,4,FALSE)</f>
        <v>OFFSHORE SERVICE MARGINS</v>
      </c>
    </row>
    <row r="1046" spans="1:9" x14ac:dyDescent="0.25">
      <c r="A1046" t="s">
        <v>71</v>
      </c>
      <c r="B1046" t="s">
        <v>230</v>
      </c>
      <c r="C1046" t="s">
        <v>229</v>
      </c>
      <c r="D1046" s="1">
        <v>45294</v>
      </c>
      <c r="E1046" t="s">
        <v>205</v>
      </c>
      <c r="F1046">
        <v>-4.88</v>
      </c>
      <c r="G1046" t="s">
        <v>68</v>
      </c>
      <c r="H1046" t="s">
        <v>69</v>
      </c>
      <c r="I1046" t="s">
        <v>69</v>
      </c>
    </row>
    <row r="1047" spans="1:9" x14ac:dyDescent="0.25">
      <c r="A1047" t="s">
        <v>71</v>
      </c>
      <c r="B1047" t="s">
        <v>230</v>
      </c>
      <c r="C1047" t="s">
        <v>229</v>
      </c>
      <c r="D1047" s="1">
        <v>45294</v>
      </c>
      <c r="E1047" t="s">
        <v>86</v>
      </c>
      <c r="F1047">
        <v>-0.16</v>
      </c>
      <c r="G1047" t="str">
        <f>VLOOKUP(E1047,[1]ChatGPT!$1:$1048576,2,FALSE)</f>
        <v>Other</v>
      </c>
      <c r="H1047" t="str">
        <f>VLOOKUP(E1047,[1]ChatGPT!$1:$1048576,3,FALSE)</f>
        <v xml:space="preserve">Other Expenses </v>
      </c>
      <c r="I1047" t="str">
        <f>VLOOKUP(E1047,[1]ChatGPT!$1:$1048576,4,FALSE)</f>
        <v>OFFSHORE SERVICE MARGINS</v>
      </c>
    </row>
    <row r="1048" spans="1:9" x14ac:dyDescent="0.25">
      <c r="A1048" t="s">
        <v>71</v>
      </c>
      <c r="B1048" t="s">
        <v>230</v>
      </c>
      <c r="C1048" t="s">
        <v>229</v>
      </c>
      <c r="D1048" s="1">
        <v>45295</v>
      </c>
      <c r="E1048" t="s">
        <v>108</v>
      </c>
      <c r="F1048">
        <v>27.94</v>
      </c>
      <c r="G1048" t="str">
        <f>VLOOKUP(E1048,[1]ChatGPT!$1:$1048576,2,FALSE)</f>
        <v>Internal Transactions</v>
      </c>
      <c r="H1048" t="str">
        <f>VLOOKUP(E1048,[1]ChatGPT!$1:$1048576,3,FALSE)</f>
        <v>ASB</v>
      </c>
      <c r="I1048" t="str">
        <f>VLOOKUP(E1048,[1]ChatGPT!$1:$1048576,4,FALSE)</f>
        <v>PAYMENT RECEIVED THANK YOU</v>
      </c>
    </row>
    <row r="1049" spans="1:9" x14ac:dyDescent="0.25">
      <c r="A1049" t="s">
        <v>71</v>
      </c>
      <c r="B1049" t="s">
        <v>230</v>
      </c>
      <c r="C1049" t="s">
        <v>229</v>
      </c>
      <c r="D1049" s="1">
        <v>45295</v>
      </c>
      <c r="E1049" t="s">
        <v>108</v>
      </c>
      <c r="F1049">
        <v>11.15</v>
      </c>
      <c r="G1049" t="str">
        <f>VLOOKUP(E1049,[1]ChatGPT!$1:$1048576,2,FALSE)</f>
        <v>Internal Transactions</v>
      </c>
      <c r="H1049" t="str">
        <f>VLOOKUP(E1049,[1]ChatGPT!$1:$1048576,3,FALSE)</f>
        <v>ASB</v>
      </c>
      <c r="I1049" t="str">
        <f>VLOOKUP(E1049,[1]ChatGPT!$1:$1048576,4,FALSE)</f>
        <v>PAYMENT RECEIVED THANK YOU</v>
      </c>
    </row>
    <row r="1050" spans="1:9" x14ac:dyDescent="0.25">
      <c r="A1050" t="s">
        <v>71</v>
      </c>
      <c r="B1050" t="s">
        <v>230</v>
      </c>
      <c r="C1050" t="s">
        <v>229</v>
      </c>
      <c r="D1050" s="1">
        <v>45294</v>
      </c>
      <c r="E1050" t="s">
        <v>111</v>
      </c>
      <c r="F1050">
        <v>-14.22</v>
      </c>
      <c r="G1050" t="str">
        <f>VLOOKUP(E1050,[1]ChatGPT!$1:$1048576,2,FALSE)</f>
        <v>Recreational &amp; Entertainment</v>
      </c>
      <c r="H1050" t="str">
        <f>VLOOKUP(E1050,[1]ChatGPT!$1:$1048576,3,FALSE)</f>
        <v xml:space="preserve">Gym </v>
      </c>
      <c r="I1050" t="str">
        <f>VLOOKUP(E1050,[1]ChatGPT!$1:$1048576,4,FALSE)</f>
        <v>GYM</v>
      </c>
    </row>
    <row r="1051" spans="1:9" x14ac:dyDescent="0.25">
      <c r="A1051" t="s">
        <v>71</v>
      </c>
      <c r="B1051" t="s">
        <v>230</v>
      </c>
      <c r="C1051" t="s">
        <v>229</v>
      </c>
      <c r="D1051" s="1">
        <v>45293</v>
      </c>
      <c r="E1051" t="s">
        <v>206</v>
      </c>
      <c r="F1051">
        <v>-12.82</v>
      </c>
      <c r="G1051" t="s">
        <v>68</v>
      </c>
      <c r="H1051" t="s">
        <v>69</v>
      </c>
      <c r="I1051" t="s">
        <v>69</v>
      </c>
    </row>
    <row r="1052" spans="1:9" x14ac:dyDescent="0.25">
      <c r="A1052" t="s">
        <v>71</v>
      </c>
      <c r="B1052" t="s">
        <v>230</v>
      </c>
      <c r="C1052" t="s">
        <v>229</v>
      </c>
      <c r="D1052" s="1">
        <v>45293</v>
      </c>
      <c r="E1052" t="s">
        <v>86</v>
      </c>
      <c r="F1052">
        <v>-7.0000000000000007E-2</v>
      </c>
      <c r="G1052" t="str">
        <f>VLOOKUP(E1052,[1]ChatGPT!$1:$1048576,2,FALSE)</f>
        <v>Other</v>
      </c>
      <c r="H1052" t="str">
        <f>VLOOKUP(E1052,[1]ChatGPT!$1:$1048576,3,FALSE)</f>
        <v xml:space="preserve">Other Expenses </v>
      </c>
      <c r="I1052" t="str">
        <f>VLOOKUP(E1052,[1]ChatGPT!$1:$1048576,4,FALSE)</f>
        <v>OFFSHORE SERVICE MARGINS</v>
      </c>
    </row>
    <row r="1053" spans="1:9" x14ac:dyDescent="0.25">
      <c r="A1053" t="s">
        <v>71</v>
      </c>
      <c r="B1053" t="s">
        <v>230</v>
      </c>
      <c r="C1053" t="s">
        <v>229</v>
      </c>
      <c r="D1053" s="1">
        <v>45294</v>
      </c>
      <c r="E1053" t="s">
        <v>207</v>
      </c>
      <c r="F1053">
        <v>-2.67</v>
      </c>
      <c r="G1053" t="s">
        <v>76</v>
      </c>
      <c r="H1053" t="s">
        <v>87</v>
      </c>
      <c r="I1053" t="s">
        <v>88</v>
      </c>
    </row>
    <row r="1054" spans="1:9" x14ac:dyDescent="0.25">
      <c r="A1054" t="s">
        <v>71</v>
      </c>
      <c r="B1054" t="s">
        <v>230</v>
      </c>
      <c r="C1054" t="s">
        <v>229</v>
      </c>
      <c r="D1054" s="1">
        <v>45294</v>
      </c>
      <c r="E1054" t="s">
        <v>86</v>
      </c>
      <c r="F1054">
        <v>-7.0000000000000007E-2</v>
      </c>
      <c r="G1054" t="str">
        <f>VLOOKUP(E1054,[1]ChatGPT!$1:$1048576,2,FALSE)</f>
        <v>Other</v>
      </c>
      <c r="H1054" t="str">
        <f>VLOOKUP(E1054,[1]ChatGPT!$1:$1048576,3,FALSE)</f>
        <v xml:space="preserve">Other Expenses </v>
      </c>
      <c r="I1054" t="str">
        <f>VLOOKUP(E1054,[1]ChatGPT!$1:$1048576,4,FALSE)</f>
        <v>OFFSHORE SERVICE MARGINS</v>
      </c>
    </row>
    <row r="1055" spans="1:9" x14ac:dyDescent="0.25">
      <c r="A1055" t="s">
        <v>71</v>
      </c>
      <c r="B1055" t="s">
        <v>230</v>
      </c>
      <c r="C1055" t="s">
        <v>229</v>
      </c>
      <c r="D1055" s="1">
        <v>45296</v>
      </c>
      <c r="E1055" t="s">
        <v>108</v>
      </c>
      <c r="F1055">
        <v>6.57</v>
      </c>
      <c r="G1055" t="str">
        <f>VLOOKUP(E1055,[1]ChatGPT!$1:$1048576,2,FALSE)</f>
        <v>Internal Transactions</v>
      </c>
      <c r="H1055" t="str">
        <f>VLOOKUP(E1055,[1]ChatGPT!$1:$1048576,3,FALSE)</f>
        <v>ASB</v>
      </c>
      <c r="I1055" t="str">
        <f>VLOOKUP(E1055,[1]ChatGPT!$1:$1048576,4,FALSE)</f>
        <v>PAYMENT RECEIVED THANK YOU</v>
      </c>
    </row>
    <row r="1056" spans="1:9" x14ac:dyDescent="0.25">
      <c r="A1056" t="s">
        <v>71</v>
      </c>
      <c r="B1056" t="s">
        <v>230</v>
      </c>
      <c r="C1056" t="s">
        <v>229</v>
      </c>
      <c r="D1056" s="1">
        <v>45294</v>
      </c>
      <c r="E1056" t="s">
        <v>208</v>
      </c>
      <c r="F1056">
        <v>-18.63</v>
      </c>
      <c r="G1056" t="s">
        <v>76</v>
      </c>
      <c r="H1056" t="s">
        <v>87</v>
      </c>
      <c r="I1056" t="s">
        <v>88</v>
      </c>
    </row>
    <row r="1057" spans="1:9" x14ac:dyDescent="0.25">
      <c r="A1057" t="s">
        <v>71</v>
      </c>
      <c r="B1057" t="s">
        <v>230</v>
      </c>
      <c r="C1057" t="s">
        <v>229</v>
      </c>
      <c r="D1057" s="1">
        <v>45294</v>
      </c>
      <c r="E1057" t="s">
        <v>86</v>
      </c>
      <c r="F1057">
        <v>-0.41</v>
      </c>
      <c r="G1057" t="str">
        <f>VLOOKUP(E1057,[1]ChatGPT!$1:$1048576,2,FALSE)</f>
        <v>Other</v>
      </c>
      <c r="H1057" t="str">
        <f>VLOOKUP(E1057,[1]ChatGPT!$1:$1048576,3,FALSE)</f>
        <v xml:space="preserve">Other Expenses </v>
      </c>
      <c r="I1057" t="str">
        <f>VLOOKUP(E1057,[1]ChatGPT!$1:$1048576,4,FALSE)</f>
        <v>OFFSHORE SERVICE MARGINS</v>
      </c>
    </row>
    <row r="1058" spans="1:9" x14ac:dyDescent="0.25">
      <c r="A1058" t="s">
        <v>71</v>
      </c>
      <c r="B1058" t="s">
        <v>230</v>
      </c>
      <c r="C1058" t="s">
        <v>229</v>
      </c>
      <c r="D1058" s="1">
        <v>45294</v>
      </c>
      <c r="E1058" t="s">
        <v>209</v>
      </c>
      <c r="F1058">
        <v>-0.15</v>
      </c>
      <c r="G1058" t="s">
        <v>76</v>
      </c>
      <c r="H1058" t="s">
        <v>87</v>
      </c>
      <c r="I1058" t="s">
        <v>88</v>
      </c>
    </row>
    <row r="1059" spans="1:9" x14ac:dyDescent="0.25">
      <c r="A1059" t="s">
        <v>71</v>
      </c>
      <c r="B1059" t="s">
        <v>230</v>
      </c>
      <c r="C1059" t="s">
        <v>229</v>
      </c>
      <c r="D1059" s="1">
        <v>45294</v>
      </c>
      <c r="E1059" t="s">
        <v>86</v>
      </c>
      <c r="F1059">
        <v>-7.0000000000000007E-2</v>
      </c>
      <c r="G1059" t="str">
        <f>VLOOKUP(E1059,[1]ChatGPT!$1:$1048576,2,FALSE)</f>
        <v>Other</v>
      </c>
      <c r="H1059" t="str">
        <f>VLOOKUP(E1059,[1]ChatGPT!$1:$1048576,3,FALSE)</f>
        <v xml:space="preserve">Other Expenses </v>
      </c>
      <c r="I1059" t="str">
        <f>VLOOKUP(E1059,[1]ChatGPT!$1:$1048576,4,FALSE)</f>
        <v>OFFSHORE SERVICE MARGINS</v>
      </c>
    </row>
    <row r="1060" spans="1:9" x14ac:dyDescent="0.25">
      <c r="A1060" t="s">
        <v>71</v>
      </c>
      <c r="B1060" t="s">
        <v>230</v>
      </c>
      <c r="C1060" t="s">
        <v>229</v>
      </c>
      <c r="D1060" s="1">
        <v>45295</v>
      </c>
      <c r="E1060" t="s">
        <v>210</v>
      </c>
      <c r="F1060">
        <v>-9.32</v>
      </c>
      <c r="G1060" t="s">
        <v>68</v>
      </c>
      <c r="H1060" t="s">
        <v>69</v>
      </c>
      <c r="I1060" t="s">
        <v>69</v>
      </c>
    </row>
    <row r="1061" spans="1:9" x14ac:dyDescent="0.25">
      <c r="A1061" t="s">
        <v>71</v>
      </c>
      <c r="B1061" t="s">
        <v>230</v>
      </c>
      <c r="C1061" t="s">
        <v>229</v>
      </c>
      <c r="D1061" s="1">
        <v>45295</v>
      </c>
      <c r="E1061" t="s">
        <v>86</v>
      </c>
      <c r="F1061">
        <v>-0.14000000000000001</v>
      </c>
      <c r="G1061" t="str">
        <f>VLOOKUP(E1061,[1]ChatGPT!$1:$1048576,2,FALSE)</f>
        <v>Other</v>
      </c>
      <c r="H1061" t="str">
        <f>VLOOKUP(E1061,[1]ChatGPT!$1:$1048576,3,FALSE)</f>
        <v xml:space="preserve">Other Expenses </v>
      </c>
      <c r="I1061" t="str">
        <f>VLOOKUP(E1061,[1]ChatGPT!$1:$1048576,4,FALSE)</f>
        <v>OFFSHORE SERVICE MARGINS</v>
      </c>
    </row>
    <row r="1062" spans="1:9" x14ac:dyDescent="0.25">
      <c r="A1062" t="s">
        <v>71</v>
      </c>
      <c r="B1062" t="s">
        <v>230</v>
      </c>
      <c r="C1062" t="s">
        <v>229</v>
      </c>
      <c r="D1062" s="1">
        <v>45297</v>
      </c>
      <c r="E1062" t="s">
        <v>108</v>
      </c>
      <c r="F1062">
        <v>0.36</v>
      </c>
      <c r="G1062" t="str">
        <f>VLOOKUP(E1062,[1]ChatGPT!$1:$1048576,2,FALSE)</f>
        <v>Internal Transactions</v>
      </c>
      <c r="H1062" t="str">
        <f>VLOOKUP(E1062,[1]ChatGPT!$1:$1048576,3,FALSE)</f>
        <v>ASB</v>
      </c>
      <c r="I1062" t="str">
        <f>VLOOKUP(E1062,[1]ChatGPT!$1:$1048576,4,FALSE)</f>
        <v>PAYMENT RECEIVED THANK YOU</v>
      </c>
    </row>
    <row r="1063" spans="1:9" x14ac:dyDescent="0.25">
      <c r="A1063" t="s">
        <v>71</v>
      </c>
      <c r="B1063" t="s">
        <v>230</v>
      </c>
      <c r="C1063" t="s">
        <v>229</v>
      </c>
      <c r="D1063" s="1">
        <v>45297</v>
      </c>
      <c r="E1063" t="s">
        <v>211</v>
      </c>
      <c r="F1063">
        <v>-106.53</v>
      </c>
      <c r="G1063" t="s">
        <v>212</v>
      </c>
      <c r="H1063" t="s">
        <v>213</v>
      </c>
      <c r="I1063" t="s">
        <v>214</v>
      </c>
    </row>
    <row r="1064" spans="1:9" x14ac:dyDescent="0.25">
      <c r="A1064" t="s">
        <v>71</v>
      </c>
      <c r="B1064" t="s">
        <v>230</v>
      </c>
      <c r="C1064" t="s">
        <v>229</v>
      </c>
      <c r="D1064" s="1">
        <v>45297</v>
      </c>
      <c r="E1064" t="s">
        <v>86</v>
      </c>
      <c r="F1064">
        <v>-0.73</v>
      </c>
      <c r="G1064" t="str">
        <f>VLOOKUP(E1064,[1]ChatGPT!$1:$1048576,2,FALSE)</f>
        <v>Other</v>
      </c>
      <c r="H1064" t="str">
        <f>VLOOKUP(E1064,[1]ChatGPT!$1:$1048576,3,FALSE)</f>
        <v xml:space="preserve">Other Expenses </v>
      </c>
      <c r="I1064" t="str">
        <f>VLOOKUP(E1064,[1]ChatGPT!$1:$1048576,4,FALSE)</f>
        <v>OFFSHORE SERVICE MARGINS</v>
      </c>
    </row>
    <row r="1065" spans="1:9" x14ac:dyDescent="0.25">
      <c r="A1065" t="s">
        <v>71</v>
      </c>
      <c r="B1065" t="s">
        <v>230</v>
      </c>
      <c r="C1065" t="s">
        <v>229</v>
      </c>
      <c r="D1065" s="1">
        <v>45298</v>
      </c>
      <c r="E1065" t="s">
        <v>108</v>
      </c>
      <c r="F1065">
        <v>251.16</v>
      </c>
      <c r="G1065" t="str">
        <f>VLOOKUP(E1065,[1]ChatGPT!$1:$1048576,2,FALSE)</f>
        <v>Internal Transactions</v>
      </c>
      <c r="H1065" t="str">
        <f>VLOOKUP(E1065,[1]ChatGPT!$1:$1048576,3,FALSE)</f>
        <v>ASB</v>
      </c>
      <c r="I1065" t="str">
        <f>VLOOKUP(E1065,[1]ChatGPT!$1:$1048576,4,FALSE)</f>
        <v>PAYMENT RECEIVED THANK YOU</v>
      </c>
    </row>
    <row r="1066" spans="1:9" x14ac:dyDescent="0.25">
      <c r="A1066" t="s">
        <v>71</v>
      </c>
      <c r="B1066" t="s">
        <v>230</v>
      </c>
      <c r="C1066" t="s">
        <v>229</v>
      </c>
      <c r="D1066" s="1">
        <v>45297</v>
      </c>
      <c r="E1066" t="s">
        <v>215</v>
      </c>
      <c r="F1066">
        <v>-11.95</v>
      </c>
      <c r="G1066" t="s">
        <v>76</v>
      </c>
      <c r="H1066" t="s">
        <v>87</v>
      </c>
      <c r="I1066" t="s">
        <v>88</v>
      </c>
    </row>
    <row r="1067" spans="1:9" x14ac:dyDescent="0.25">
      <c r="A1067" t="s">
        <v>71</v>
      </c>
      <c r="B1067" t="s">
        <v>230</v>
      </c>
      <c r="C1067" t="s">
        <v>229</v>
      </c>
      <c r="D1067" s="1">
        <v>45297</v>
      </c>
      <c r="E1067" t="s">
        <v>86</v>
      </c>
      <c r="F1067">
        <v>-0.21</v>
      </c>
      <c r="G1067" t="str">
        <f>VLOOKUP(E1067,[1]ChatGPT!$1:$1048576,2,FALSE)</f>
        <v>Other</v>
      </c>
      <c r="H1067" t="str">
        <f>VLOOKUP(E1067,[1]ChatGPT!$1:$1048576,3,FALSE)</f>
        <v xml:space="preserve">Other Expenses </v>
      </c>
      <c r="I1067" t="str">
        <f>VLOOKUP(E1067,[1]ChatGPT!$1:$1048576,4,FALSE)</f>
        <v>OFFSHORE SERVICE MARGINS</v>
      </c>
    </row>
    <row r="1068" spans="1:9" x14ac:dyDescent="0.25">
      <c r="A1068" t="s">
        <v>71</v>
      </c>
      <c r="B1068" t="s">
        <v>230</v>
      </c>
      <c r="C1068" t="s">
        <v>229</v>
      </c>
      <c r="D1068" s="1">
        <v>45297</v>
      </c>
      <c r="E1068" t="s">
        <v>216</v>
      </c>
      <c r="F1068">
        <v>-20.66</v>
      </c>
      <c r="G1068" t="s">
        <v>76</v>
      </c>
      <c r="H1068" t="s">
        <v>87</v>
      </c>
      <c r="I1068" t="s">
        <v>88</v>
      </c>
    </row>
    <row r="1069" spans="1:9" x14ac:dyDescent="0.25">
      <c r="A1069" t="s">
        <v>71</v>
      </c>
      <c r="B1069" t="s">
        <v>230</v>
      </c>
      <c r="C1069" t="s">
        <v>229</v>
      </c>
      <c r="D1069" s="1">
        <v>45297</v>
      </c>
      <c r="E1069" t="s">
        <v>86</v>
      </c>
      <c r="F1069">
        <v>-0.17</v>
      </c>
      <c r="G1069" t="str">
        <f>VLOOKUP(E1069,[1]ChatGPT!$1:$1048576,2,FALSE)</f>
        <v>Other</v>
      </c>
      <c r="H1069" t="str">
        <f>VLOOKUP(E1069,[1]ChatGPT!$1:$1048576,3,FALSE)</f>
        <v xml:space="preserve">Other Expenses </v>
      </c>
      <c r="I1069" t="str">
        <f>VLOOKUP(E1069,[1]ChatGPT!$1:$1048576,4,FALSE)</f>
        <v>OFFSHORE SERVICE MARGINS</v>
      </c>
    </row>
    <row r="1070" spans="1:9" x14ac:dyDescent="0.25">
      <c r="A1070" t="s">
        <v>71</v>
      </c>
      <c r="B1070" t="s">
        <v>230</v>
      </c>
      <c r="C1070" t="s">
        <v>229</v>
      </c>
      <c r="D1070" s="1">
        <v>45299</v>
      </c>
      <c r="E1070" t="s">
        <v>108</v>
      </c>
      <c r="F1070">
        <v>1.32</v>
      </c>
      <c r="G1070" t="str">
        <f>VLOOKUP(E1070,[1]ChatGPT!$1:$1048576,2,FALSE)</f>
        <v>Internal Transactions</v>
      </c>
      <c r="H1070" t="str">
        <f>VLOOKUP(E1070,[1]ChatGPT!$1:$1048576,3,FALSE)</f>
        <v>ASB</v>
      </c>
      <c r="I1070" t="str">
        <f>VLOOKUP(E1070,[1]ChatGPT!$1:$1048576,4,FALSE)</f>
        <v>PAYMENT RECEIVED THANK YOU</v>
      </c>
    </row>
    <row r="1071" spans="1:9" x14ac:dyDescent="0.25">
      <c r="A1071" t="s">
        <v>71</v>
      </c>
      <c r="B1071" t="s">
        <v>230</v>
      </c>
      <c r="C1071" t="s">
        <v>229</v>
      </c>
      <c r="D1071" s="1">
        <v>45297</v>
      </c>
      <c r="E1071" t="s">
        <v>217</v>
      </c>
      <c r="F1071">
        <v>-104.32</v>
      </c>
      <c r="G1071" t="s">
        <v>76</v>
      </c>
      <c r="H1071" t="s">
        <v>87</v>
      </c>
      <c r="I1071" t="s">
        <v>88</v>
      </c>
    </row>
    <row r="1072" spans="1:9" x14ac:dyDescent="0.25">
      <c r="A1072" t="s">
        <v>71</v>
      </c>
      <c r="B1072" t="s">
        <v>230</v>
      </c>
      <c r="C1072" t="s">
        <v>229</v>
      </c>
      <c r="D1072" s="1">
        <v>45297</v>
      </c>
      <c r="E1072" t="s">
        <v>86</v>
      </c>
      <c r="F1072">
        <v>-0.94</v>
      </c>
      <c r="G1072" t="str">
        <f>VLOOKUP(E1072,[1]ChatGPT!$1:$1048576,2,FALSE)</f>
        <v>Other</v>
      </c>
      <c r="H1072" t="str">
        <f>VLOOKUP(E1072,[1]ChatGPT!$1:$1048576,3,FALSE)</f>
        <v xml:space="preserve">Other Expenses </v>
      </c>
      <c r="I1072" t="str">
        <f>VLOOKUP(E1072,[1]ChatGPT!$1:$1048576,4,FALSE)</f>
        <v>OFFSHORE SERVICE MARGINS</v>
      </c>
    </row>
    <row r="1073" spans="1:9" x14ac:dyDescent="0.25">
      <c r="A1073" t="s">
        <v>71</v>
      </c>
      <c r="B1073" t="s">
        <v>230</v>
      </c>
      <c r="C1073" t="s">
        <v>229</v>
      </c>
      <c r="D1073" s="1">
        <v>45300</v>
      </c>
      <c r="E1073" t="s">
        <v>108</v>
      </c>
      <c r="F1073">
        <v>0.73</v>
      </c>
      <c r="G1073" t="str">
        <f>VLOOKUP(E1073,[1]ChatGPT!$1:$1048576,2,FALSE)</f>
        <v>Internal Transactions</v>
      </c>
      <c r="H1073" t="str">
        <f>VLOOKUP(E1073,[1]ChatGPT!$1:$1048576,3,FALSE)</f>
        <v>ASB</v>
      </c>
      <c r="I1073" t="str">
        <f>VLOOKUP(E1073,[1]ChatGPT!$1:$1048576,4,FALSE)</f>
        <v>PAYMENT RECEIVED THANK YOU</v>
      </c>
    </row>
    <row r="1074" spans="1:9" x14ac:dyDescent="0.25">
      <c r="A1074" t="s">
        <v>71</v>
      </c>
      <c r="B1074" t="s">
        <v>230</v>
      </c>
      <c r="C1074" t="s">
        <v>229</v>
      </c>
      <c r="D1074" s="1">
        <v>45300</v>
      </c>
      <c r="E1074" t="s">
        <v>218</v>
      </c>
      <c r="F1074">
        <v>-2.61</v>
      </c>
      <c r="G1074" t="str">
        <f>VLOOKUP(E1074,[1]ChatGPT!$1:$1048576,2,FALSE)</f>
        <v xml:space="preserve">8 Denning Place </v>
      </c>
      <c r="H1074" t="s">
        <v>96</v>
      </c>
      <c r="I1074" t="str">
        <f>VLOOKUP(E1074,[1]ChatGPT!$1:$1048576,4,FALSE)</f>
        <v>Home Expense</v>
      </c>
    </row>
    <row r="1075" spans="1:9" x14ac:dyDescent="0.25">
      <c r="A1075" t="s">
        <v>71</v>
      </c>
      <c r="B1075" t="s">
        <v>230</v>
      </c>
      <c r="C1075" t="s">
        <v>229</v>
      </c>
      <c r="D1075" s="1">
        <v>45299</v>
      </c>
      <c r="E1075" t="s">
        <v>219</v>
      </c>
      <c r="F1075">
        <v>7.37</v>
      </c>
      <c r="G1075" t="str">
        <f>VLOOKUP(E1075,[1]ChatGPT!$1:$1048576,2,FALSE)</f>
        <v>Recreational &amp; Entertainment</v>
      </c>
      <c r="H1075" t="str">
        <f>VLOOKUP(E1075,[1]ChatGPT!$1:$1048576,3,FALSE)</f>
        <v xml:space="preserve">Travel </v>
      </c>
      <c r="I1075" t="str">
        <f>VLOOKUP(E1075,[1]ChatGPT!$1:$1048576,4,FALSE)</f>
        <v>Travel</v>
      </c>
    </row>
    <row r="1076" spans="1:9" x14ac:dyDescent="0.25">
      <c r="A1076" t="s">
        <v>71</v>
      </c>
      <c r="B1076" t="s">
        <v>230</v>
      </c>
      <c r="C1076" t="s">
        <v>229</v>
      </c>
      <c r="D1076" s="1">
        <v>45300</v>
      </c>
      <c r="E1076" t="s">
        <v>108</v>
      </c>
      <c r="F1076">
        <v>1.01</v>
      </c>
      <c r="G1076" t="str">
        <f>VLOOKUP(E1076,[1]ChatGPT!$1:$1048576,2,FALSE)</f>
        <v>Internal Transactions</v>
      </c>
      <c r="H1076" t="str">
        <f>VLOOKUP(E1076,[1]ChatGPT!$1:$1048576,3,FALSE)</f>
        <v>ASB</v>
      </c>
      <c r="I1076" t="str">
        <f>VLOOKUP(E1076,[1]ChatGPT!$1:$1048576,4,FALSE)</f>
        <v>PAYMENT RECEIVED THANK YOU</v>
      </c>
    </row>
    <row r="1077" spans="1:9" x14ac:dyDescent="0.25">
      <c r="A1077" t="s">
        <v>71</v>
      </c>
      <c r="B1077" t="s">
        <v>230</v>
      </c>
      <c r="C1077" t="s">
        <v>229</v>
      </c>
      <c r="D1077" s="1">
        <v>45301</v>
      </c>
      <c r="E1077" t="s">
        <v>108</v>
      </c>
      <c r="F1077">
        <v>0.69</v>
      </c>
      <c r="G1077" t="str">
        <f>VLOOKUP(E1077,[1]ChatGPT!$1:$1048576,2,FALSE)</f>
        <v>Internal Transactions</v>
      </c>
      <c r="H1077" t="str">
        <f>VLOOKUP(E1077,[1]ChatGPT!$1:$1048576,3,FALSE)</f>
        <v>ASB</v>
      </c>
      <c r="I1077" t="str">
        <f>VLOOKUP(E1077,[1]ChatGPT!$1:$1048576,4,FALSE)</f>
        <v>PAYMENT RECEIVED THANK YOU</v>
      </c>
    </row>
    <row r="1078" spans="1:9" x14ac:dyDescent="0.25">
      <c r="A1078" t="s">
        <v>71</v>
      </c>
      <c r="B1078" t="s">
        <v>230</v>
      </c>
      <c r="C1078" t="s">
        <v>229</v>
      </c>
      <c r="D1078" s="1">
        <v>45301</v>
      </c>
      <c r="E1078" t="s">
        <v>111</v>
      </c>
      <c r="F1078">
        <v>-4.74</v>
      </c>
      <c r="G1078" t="str">
        <f>VLOOKUP(E1078,[1]ChatGPT!$1:$1048576,2,FALSE)</f>
        <v>Recreational &amp; Entertainment</v>
      </c>
      <c r="H1078" t="str">
        <f>VLOOKUP(E1078,[1]ChatGPT!$1:$1048576,3,FALSE)</f>
        <v xml:space="preserve">Gym </v>
      </c>
      <c r="I1078" t="str">
        <f>VLOOKUP(E1078,[1]ChatGPT!$1:$1048576,4,FALSE)</f>
        <v>GYM</v>
      </c>
    </row>
    <row r="1079" spans="1:9" x14ac:dyDescent="0.25">
      <c r="A1079" t="s">
        <v>71</v>
      </c>
      <c r="B1079" t="s">
        <v>230</v>
      </c>
      <c r="C1079" t="s">
        <v>229</v>
      </c>
      <c r="D1079" s="1">
        <v>45303</v>
      </c>
      <c r="E1079" t="s">
        <v>196</v>
      </c>
      <c r="F1079">
        <v>-21.88</v>
      </c>
      <c r="G1079" t="s">
        <v>68</v>
      </c>
      <c r="H1079" t="s">
        <v>69</v>
      </c>
      <c r="I1079" t="s">
        <v>69</v>
      </c>
    </row>
    <row r="1080" spans="1:9" x14ac:dyDescent="0.25">
      <c r="A1080" t="s">
        <v>71</v>
      </c>
      <c r="B1080" t="s">
        <v>230</v>
      </c>
      <c r="C1080" t="s">
        <v>229</v>
      </c>
      <c r="D1080" s="1">
        <v>45303</v>
      </c>
      <c r="E1080" t="s">
        <v>135</v>
      </c>
      <c r="F1080">
        <v>-18.55</v>
      </c>
      <c r="G1080" t="str">
        <f>VLOOKUP(E1080,[1]ChatGPT!$1:$1048576,2,FALSE)</f>
        <v>Transport</v>
      </c>
      <c r="H1080" t="str">
        <f>VLOOKUP(E1080,[1]ChatGPT!$1:$1048576,3,FALSE)</f>
        <v xml:space="preserve">Petrol </v>
      </c>
      <c r="I1080" t="s">
        <v>98</v>
      </c>
    </row>
    <row r="1081" spans="1:9" x14ac:dyDescent="0.25">
      <c r="A1081" t="s">
        <v>71</v>
      </c>
      <c r="B1081" t="s">
        <v>230</v>
      </c>
      <c r="C1081" t="s">
        <v>229</v>
      </c>
      <c r="D1081" s="1">
        <v>45303</v>
      </c>
      <c r="E1081" t="s">
        <v>108</v>
      </c>
      <c r="F1081">
        <v>23.88</v>
      </c>
      <c r="G1081" t="str">
        <f>VLOOKUP(E1081,[1]ChatGPT!$1:$1048576,2,FALSE)</f>
        <v>Internal Transactions</v>
      </c>
      <c r="H1081" t="str">
        <f>VLOOKUP(E1081,[1]ChatGPT!$1:$1048576,3,FALSE)</f>
        <v>ASB</v>
      </c>
      <c r="I1081" t="str">
        <f>VLOOKUP(E1081,[1]ChatGPT!$1:$1048576,4,FALSE)</f>
        <v>PAYMENT RECEIVED THANK YOU</v>
      </c>
    </row>
    <row r="1082" spans="1:9" x14ac:dyDescent="0.25">
      <c r="A1082" t="s">
        <v>71</v>
      </c>
      <c r="B1082" t="s">
        <v>230</v>
      </c>
      <c r="C1082" t="s">
        <v>229</v>
      </c>
      <c r="D1082" s="1">
        <v>45306</v>
      </c>
      <c r="E1082" t="s">
        <v>153</v>
      </c>
      <c r="F1082">
        <v>-102.75</v>
      </c>
      <c r="G1082" t="str">
        <f>VLOOKUP(E1082,[1]ChatGPT!$1:$1048576,2,FALSE)</f>
        <v>Recreational &amp; Entertainment</v>
      </c>
      <c r="H1082" t="str">
        <f>VLOOKUP(E1082,[1]ChatGPT!$1:$1048576,3,FALSE)</f>
        <v>Entertainment</v>
      </c>
      <c r="I1082" t="str">
        <f>VLOOKUP(E1082,[1]ChatGPT!$1:$1048576,4,FALSE)</f>
        <v>Vape</v>
      </c>
    </row>
    <row r="1083" spans="1:9" x14ac:dyDescent="0.25">
      <c r="A1083" t="s">
        <v>71</v>
      </c>
      <c r="B1083" t="s">
        <v>230</v>
      </c>
      <c r="C1083" t="s">
        <v>229</v>
      </c>
      <c r="D1083" s="1">
        <v>45307</v>
      </c>
      <c r="E1083" t="s">
        <v>108</v>
      </c>
      <c r="F1083">
        <v>44.43</v>
      </c>
      <c r="G1083" t="str">
        <f>VLOOKUP(E1083,[1]ChatGPT!$1:$1048576,2,FALSE)</f>
        <v>Internal Transactions</v>
      </c>
      <c r="H1083" t="str">
        <f>VLOOKUP(E1083,[1]ChatGPT!$1:$1048576,3,FALSE)</f>
        <v>ASB</v>
      </c>
      <c r="I1083" t="str">
        <f>VLOOKUP(E1083,[1]ChatGPT!$1:$1048576,4,FALSE)</f>
        <v>PAYMENT RECEIVED THANK YOU</v>
      </c>
    </row>
    <row r="1084" spans="1:9" x14ac:dyDescent="0.25">
      <c r="A1084" t="s">
        <v>71</v>
      </c>
      <c r="B1084" t="s">
        <v>230</v>
      </c>
      <c r="C1084" t="s">
        <v>229</v>
      </c>
      <c r="D1084" s="1">
        <v>45307</v>
      </c>
      <c r="E1084" t="s">
        <v>108</v>
      </c>
      <c r="F1084">
        <v>2.84</v>
      </c>
      <c r="G1084" t="str">
        <f>VLOOKUP(E1084,[1]ChatGPT!$1:$1048576,2,FALSE)</f>
        <v>Internal Transactions</v>
      </c>
      <c r="H1084" t="str">
        <f>VLOOKUP(E1084,[1]ChatGPT!$1:$1048576,3,FALSE)</f>
        <v>ASB</v>
      </c>
      <c r="I1084" t="str">
        <f>VLOOKUP(E1084,[1]ChatGPT!$1:$1048576,4,FALSE)</f>
        <v>PAYMENT RECEIVED THANK YOU</v>
      </c>
    </row>
    <row r="1085" spans="1:9" x14ac:dyDescent="0.25">
      <c r="A1085" t="s">
        <v>71</v>
      </c>
      <c r="B1085" t="s">
        <v>230</v>
      </c>
      <c r="C1085" t="s">
        <v>229</v>
      </c>
      <c r="D1085" s="1">
        <v>45307</v>
      </c>
      <c r="E1085" t="s">
        <v>220</v>
      </c>
      <c r="F1085">
        <v>-12.76</v>
      </c>
      <c r="G1085" t="s">
        <v>68</v>
      </c>
      <c r="H1085" t="s">
        <v>69</v>
      </c>
      <c r="I1085" t="s">
        <v>69</v>
      </c>
    </row>
    <row r="1086" spans="1:9" x14ac:dyDescent="0.25">
      <c r="A1086" t="s">
        <v>71</v>
      </c>
      <c r="B1086" t="s">
        <v>230</v>
      </c>
      <c r="C1086" t="s">
        <v>229</v>
      </c>
      <c r="D1086" s="1">
        <v>45307</v>
      </c>
      <c r="E1086" t="s">
        <v>168</v>
      </c>
      <c r="F1086">
        <v>-1.64</v>
      </c>
      <c r="G1086" t="s">
        <v>68</v>
      </c>
      <c r="H1086" t="s">
        <v>69</v>
      </c>
      <c r="I1086" t="s">
        <v>69</v>
      </c>
    </row>
    <row r="1087" spans="1:9" x14ac:dyDescent="0.25">
      <c r="A1087" t="s">
        <v>71</v>
      </c>
      <c r="B1087" t="s">
        <v>230</v>
      </c>
      <c r="C1087" t="s">
        <v>229</v>
      </c>
      <c r="D1087" s="1">
        <v>45308</v>
      </c>
      <c r="E1087" t="s">
        <v>108</v>
      </c>
      <c r="F1087">
        <v>11.52</v>
      </c>
      <c r="G1087" t="str">
        <f>VLOOKUP(E1087,[1]ChatGPT!$1:$1048576,2,FALSE)</f>
        <v>Internal Transactions</v>
      </c>
      <c r="H1087" t="str">
        <f>VLOOKUP(E1087,[1]ChatGPT!$1:$1048576,3,FALSE)</f>
        <v>ASB</v>
      </c>
      <c r="I1087" t="str">
        <f>VLOOKUP(E1087,[1]ChatGPT!$1:$1048576,4,FALSE)</f>
        <v>PAYMENT RECEIVED THANK YOU</v>
      </c>
    </row>
    <row r="1088" spans="1:9" x14ac:dyDescent="0.25">
      <c r="A1088" t="s">
        <v>71</v>
      </c>
      <c r="B1088" t="s">
        <v>230</v>
      </c>
      <c r="C1088" t="s">
        <v>229</v>
      </c>
      <c r="D1088" s="1">
        <v>45308</v>
      </c>
      <c r="E1088" t="s">
        <v>111</v>
      </c>
      <c r="F1088">
        <v>-1.74</v>
      </c>
      <c r="G1088" t="str">
        <f>VLOOKUP(E1088,[1]ChatGPT!$1:$1048576,2,FALSE)</f>
        <v>Recreational &amp; Entertainment</v>
      </c>
      <c r="H1088" t="str">
        <f>VLOOKUP(E1088,[1]ChatGPT!$1:$1048576,3,FALSE)</f>
        <v xml:space="preserve">Gym </v>
      </c>
      <c r="I1088" t="str">
        <f>VLOOKUP(E1088,[1]ChatGPT!$1:$1048576,4,FALSE)</f>
        <v>GYM</v>
      </c>
    </row>
    <row r="1089" spans="1:9" x14ac:dyDescent="0.25">
      <c r="A1089" t="s">
        <v>71</v>
      </c>
      <c r="B1089" t="s">
        <v>230</v>
      </c>
      <c r="C1089" t="s">
        <v>229</v>
      </c>
      <c r="D1089" s="1">
        <v>45310</v>
      </c>
      <c r="E1089" t="s">
        <v>108</v>
      </c>
      <c r="F1089">
        <v>40.380000000000003</v>
      </c>
      <c r="G1089" t="str">
        <f>VLOOKUP(E1089,[1]ChatGPT!$1:$1048576,2,FALSE)</f>
        <v>Internal Transactions</v>
      </c>
      <c r="H1089" t="str">
        <f>VLOOKUP(E1089,[1]ChatGPT!$1:$1048576,3,FALSE)</f>
        <v>ASB</v>
      </c>
      <c r="I1089" t="str">
        <f>VLOOKUP(E1089,[1]ChatGPT!$1:$1048576,4,FALSE)</f>
        <v>PAYMENT RECEIVED THANK YOU</v>
      </c>
    </row>
    <row r="1090" spans="1:9" x14ac:dyDescent="0.25">
      <c r="A1090" t="s">
        <v>71</v>
      </c>
      <c r="B1090" t="s">
        <v>230</v>
      </c>
      <c r="C1090" t="s">
        <v>229</v>
      </c>
      <c r="D1090" s="1">
        <v>45314</v>
      </c>
      <c r="E1090" t="s">
        <v>108</v>
      </c>
      <c r="F1090">
        <v>11.52</v>
      </c>
      <c r="G1090" t="str">
        <f>VLOOKUP(E1090,[1]ChatGPT!$1:$1048576,2,FALSE)</f>
        <v>Internal Transactions</v>
      </c>
      <c r="H1090" t="str">
        <f>VLOOKUP(E1090,[1]ChatGPT!$1:$1048576,3,FALSE)</f>
        <v>ASB</v>
      </c>
      <c r="I1090" t="str">
        <f>VLOOKUP(E1090,[1]ChatGPT!$1:$1048576,4,FALSE)</f>
        <v>PAYMENT RECEIVED THANK YOU</v>
      </c>
    </row>
    <row r="1091" spans="1:9" x14ac:dyDescent="0.25">
      <c r="A1091" t="s">
        <v>71</v>
      </c>
      <c r="B1091" t="s">
        <v>230</v>
      </c>
      <c r="C1091" t="s">
        <v>229</v>
      </c>
      <c r="D1091" s="1">
        <v>45316</v>
      </c>
      <c r="E1091" t="s">
        <v>108</v>
      </c>
      <c r="F1091">
        <v>0.17</v>
      </c>
      <c r="G1091" t="str">
        <f>VLOOKUP(E1091,[1]ChatGPT!$1:$1048576,2,FALSE)</f>
        <v>Internal Transactions</v>
      </c>
      <c r="H1091" t="str">
        <f>VLOOKUP(E1091,[1]ChatGPT!$1:$1048576,3,FALSE)</f>
        <v>ASB</v>
      </c>
      <c r="I1091" t="str">
        <f>VLOOKUP(E1091,[1]ChatGPT!$1:$1048576,4,FALSE)</f>
        <v>PAYMENT RECEIVED THANK YOU</v>
      </c>
    </row>
    <row r="1092" spans="1:9" x14ac:dyDescent="0.25">
      <c r="A1092" t="s">
        <v>71</v>
      </c>
      <c r="B1092" t="s">
        <v>230</v>
      </c>
      <c r="C1092" t="s">
        <v>229</v>
      </c>
      <c r="D1092" s="1">
        <v>45315</v>
      </c>
      <c r="E1092" t="s">
        <v>111</v>
      </c>
      <c r="F1092">
        <v>-3.14</v>
      </c>
      <c r="G1092" t="str">
        <f>VLOOKUP(E1092,[1]ChatGPT!$1:$1048576,2,FALSE)</f>
        <v>Recreational &amp; Entertainment</v>
      </c>
      <c r="H1092" t="str">
        <f>VLOOKUP(E1092,[1]ChatGPT!$1:$1048576,3,FALSE)</f>
        <v xml:space="preserve">Gym </v>
      </c>
      <c r="I1092" t="str">
        <f>VLOOKUP(E1092,[1]ChatGPT!$1:$1048576,4,FALSE)</f>
        <v>GYM</v>
      </c>
    </row>
    <row r="1093" spans="1:9" x14ac:dyDescent="0.25">
      <c r="A1093" t="s">
        <v>71</v>
      </c>
      <c r="B1093" t="s">
        <v>230</v>
      </c>
      <c r="C1093" t="s">
        <v>229</v>
      </c>
      <c r="D1093" s="1">
        <v>45317</v>
      </c>
      <c r="E1093" t="s">
        <v>108</v>
      </c>
      <c r="F1093">
        <v>19.5</v>
      </c>
      <c r="G1093" t="str">
        <f>VLOOKUP(E1093,[1]ChatGPT!$1:$1048576,2,FALSE)</f>
        <v>Internal Transactions</v>
      </c>
      <c r="H1093" t="str">
        <f>VLOOKUP(E1093,[1]ChatGPT!$1:$1048576,3,FALSE)</f>
        <v>ASB</v>
      </c>
      <c r="I1093" t="str">
        <f>VLOOKUP(E1093,[1]ChatGPT!$1:$1048576,4,FALSE)</f>
        <v>PAYMENT RECEIVED THANK YOU</v>
      </c>
    </row>
    <row r="1094" spans="1:9" x14ac:dyDescent="0.25">
      <c r="A1094" t="s">
        <v>71</v>
      </c>
      <c r="B1094" t="s">
        <v>230</v>
      </c>
      <c r="C1094" t="s">
        <v>229</v>
      </c>
      <c r="D1094" s="1">
        <v>45317</v>
      </c>
      <c r="E1094" t="s">
        <v>108</v>
      </c>
      <c r="F1094">
        <v>10.89</v>
      </c>
      <c r="G1094" t="str">
        <f>VLOOKUP(E1094,[1]ChatGPT!$1:$1048576,2,FALSE)</f>
        <v>Internal Transactions</v>
      </c>
      <c r="H1094" t="str">
        <f>VLOOKUP(E1094,[1]ChatGPT!$1:$1048576,3,FALSE)</f>
        <v>ASB</v>
      </c>
      <c r="I1094" t="str">
        <f>VLOOKUP(E1094,[1]ChatGPT!$1:$1048576,4,FALSE)</f>
        <v>PAYMENT RECEIVED THANK YOU</v>
      </c>
    </row>
    <row r="1095" spans="1:9" x14ac:dyDescent="0.25">
      <c r="A1095" t="s">
        <v>71</v>
      </c>
      <c r="B1095" t="s">
        <v>230</v>
      </c>
      <c r="C1095" t="s">
        <v>229</v>
      </c>
      <c r="D1095" s="1">
        <v>45317</v>
      </c>
      <c r="E1095" t="s">
        <v>176</v>
      </c>
      <c r="F1095">
        <v>-6.23</v>
      </c>
      <c r="G1095" t="s">
        <v>68</v>
      </c>
      <c r="H1095" t="s">
        <v>69</v>
      </c>
      <c r="I1095" t="s">
        <v>69</v>
      </c>
    </row>
    <row r="1096" spans="1:9" x14ac:dyDescent="0.25">
      <c r="A1096" t="s">
        <v>71</v>
      </c>
      <c r="B1096" t="s">
        <v>230</v>
      </c>
      <c r="C1096" t="s">
        <v>229</v>
      </c>
      <c r="D1096" s="1">
        <v>45321</v>
      </c>
      <c r="E1096" t="s">
        <v>108</v>
      </c>
      <c r="F1096">
        <v>6.06</v>
      </c>
      <c r="G1096" t="str">
        <f>VLOOKUP(E1096,[1]ChatGPT!$1:$1048576,2,FALSE)</f>
        <v>Internal Transactions</v>
      </c>
      <c r="H1096" t="str">
        <f>VLOOKUP(E1096,[1]ChatGPT!$1:$1048576,3,FALSE)</f>
        <v>ASB</v>
      </c>
      <c r="I1096" t="str">
        <f>VLOOKUP(E1096,[1]ChatGPT!$1:$1048576,4,FALSE)</f>
        <v>PAYMENT RECEIVED THANK YOU</v>
      </c>
    </row>
    <row r="1097" spans="1:9" x14ac:dyDescent="0.25">
      <c r="A1097" t="s">
        <v>71</v>
      </c>
      <c r="B1097" t="s">
        <v>230</v>
      </c>
      <c r="C1097" t="s">
        <v>229</v>
      </c>
      <c r="D1097" s="1">
        <v>45323</v>
      </c>
      <c r="E1097" t="s">
        <v>108</v>
      </c>
      <c r="F1097">
        <v>4.76</v>
      </c>
      <c r="G1097" t="str">
        <f>VLOOKUP(E1097,[1]ChatGPT!$1:$1048576,2,FALSE)</f>
        <v>Internal Transactions</v>
      </c>
      <c r="H1097" t="str">
        <f>VLOOKUP(E1097,[1]ChatGPT!$1:$1048576,3,FALSE)</f>
        <v>ASB</v>
      </c>
      <c r="I1097" t="str">
        <f>VLOOKUP(E1097,[1]ChatGPT!$1:$1048576,4,FALSE)</f>
        <v>PAYMENT RECEIVED THANK YOU</v>
      </c>
    </row>
    <row r="1098" spans="1:9" x14ac:dyDescent="0.25">
      <c r="A1098" t="s">
        <v>71</v>
      </c>
      <c r="B1098" t="s">
        <v>230</v>
      </c>
      <c r="C1098" t="s">
        <v>229</v>
      </c>
      <c r="D1098" s="1">
        <v>45322</v>
      </c>
      <c r="E1098" t="s">
        <v>111</v>
      </c>
      <c r="F1098">
        <v>-3.05</v>
      </c>
      <c r="G1098" t="str">
        <f>VLOOKUP(E1098,[1]ChatGPT!$1:$1048576,2,FALSE)</f>
        <v>Recreational &amp; Entertainment</v>
      </c>
      <c r="H1098" t="str">
        <f>VLOOKUP(E1098,[1]ChatGPT!$1:$1048576,3,FALSE)</f>
        <v xml:space="preserve">Gym </v>
      </c>
      <c r="I1098" t="str">
        <f>VLOOKUP(E1098,[1]ChatGPT!$1:$1048576,4,FALSE)</f>
        <v>GYM</v>
      </c>
    </row>
    <row r="1099" spans="1:9" x14ac:dyDescent="0.25">
      <c r="A1099" t="s">
        <v>71</v>
      </c>
      <c r="B1099" t="s">
        <v>230</v>
      </c>
      <c r="C1099" t="s">
        <v>229</v>
      </c>
      <c r="D1099" s="1">
        <v>45324</v>
      </c>
      <c r="E1099" t="s">
        <v>108</v>
      </c>
      <c r="F1099">
        <v>38.799999999999997</v>
      </c>
      <c r="G1099" t="str">
        <f>VLOOKUP(E1099,[1]ChatGPT!$1:$1048576,2,FALSE)</f>
        <v>Internal Transactions</v>
      </c>
      <c r="H1099" t="str">
        <f>VLOOKUP(E1099,[1]ChatGPT!$1:$1048576,3,FALSE)</f>
        <v>ASB</v>
      </c>
      <c r="I1099" t="str">
        <f>VLOOKUP(E1099,[1]ChatGPT!$1:$1048576,4,FALSE)</f>
        <v>PAYMENT RECEIVED THANK YOU</v>
      </c>
    </row>
    <row r="1100" spans="1:9" x14ac:dyDescent="0.25">
      <c r="A1100" t="s">
        <v>71</v>
      </c>
      <c r="B1100" t="s">
        <v>230</v>
      </c>
      <c r="C1100" t="s">
        <v>229</v>
      </c>
      <c r="D1100" s="1">
        <v>45326</v>
      </c>
      <c r="E1100" t="s">
        <v>108</v>
      </c>
      <c r="F1100">
        <v>107.76</v>
      </c>
      <c r="G1100" t="str">
        <f>VLOOKUP(E1100,[1]ChatGPT!$1:$1048576,2,FALSE)</f>
        <v>Internal Transactions</v>
      </c>
      <c r="H1100" t="str">
        <f>VLOOKUP(E1100,[1]ChatGPT!$1:$1048576,3,FALSE)</f>
        <v>ASB</v>
      </c>
      <c r="I1100" t="str">
        <f>VLOOKUP(E1100,[1]ChatGPT!$1:$1048576,4,FALSE)</f>
        <v>PAYMENT RECEIVED THANK YOU</v>
      </c>
    </row>
    <row r="1101" spans="1:9" x14ac:dyDescent="0.25">
      <c r="A1101" t="s">
        <v>71</v>
      </c>
      <c r="B1101" t="s">
        <v>230</v>
      </c>
      <c r="C1101" t="s">
        <v>229</v>
      </c>
      <c r="D1101" s="1">
        <v>45326</v>
      </c>
      <c r="E1101" t="s">
        <v>135</v>
      </c>
      <c r="F1101">
        <v>-179.23</v>
      </c>
      <c r="G1101" t="str">
        <f>VLOOKUP(E1101,[1]ChatGPT!$1:$1048576,2,FALSE)</f>
        <v>Transport</v>
      </c>
      <c r="H1101" t="str">
        <f>VLOOKUP(E1101,[1]ChatGPT!$1:$1048576,3,FALSE)</f>
        <v xml:space="preserve">Petrol </v>
      </c>
      <c r="I1101" t="s">
        <v>98</v>
      </c>
    </row>
    <row r="1102" spans="1:9" x14ac:dyDescent="0.25">
      <c r="A1102" t="s">
        <v>71</v>
      </c>
      <c r="B1102" t="s">
        <v>230</v>
      </c>
      <c r="C1102" t="s">
        <v>229</v>
      </c>
      <c r="D1102" s="1">
        <v>45327</v>
      </c>
      <c r="E1102" t="s">
        <v>116</v>
      </c>
      <c r="F1102">
        <v>-9.2200000000000006</v>
      </c>
      <c r="G1102" t="str">
        <f>VLOOKUP(E1102,[1]ChatGPT!$1:$1048576,2,FALSE)</f>
        <v>Transport</v>
      </c>
      <c r="H1102" t="str">
        <f>VLOOKUP(E1102,[1]ChatGPT!$1:$1048576,3,FALSE)</f>
        <v xml:space="preserve">Petrol </v>
      </c>
      <c r="I1102" t="str">
        <f>VLOOKUP(E1102,[1]ChatGPT!$1:$1048576,4,FALSE)</f>
        <v>Transport - Parking</v>
      </c>
    </row>
    <row r="1103" spans="1:9" x14ac:dyDescent="0.25">
      <c r="A1103" t="s">
        <v>71</v>
      </c>
      <c r="B1103" t="s">
        <v>230</v>
      </c>
      <c r="C1103" t="s">
        <v>229</v>
      </c>
      <c r="D1103" s="1">
        <v>45328</v>
      </c>
      <c r="E1103" t="s">
        <v>108</v>
      </c>
      <c r="F1103">
        <v>42.55</v>
      </c>
      <c r="G1103" t="str">
        <f>VLOOKUP(E1103,[1]ChatGPT!$1:$1048576,2,FALSE)</f>
        <v>Internal Transactions</v>
      </c>
      <c r="H1103" t="str">
        <f>VLOOKUP(E1103,[1]ChatGPT!$1:$1048576,3,FALSE)</f>
        <v>ASB</v>
      </c>
      <c r="I1103" t="str">
        <f>VLOOKUP(E1103,[1]ChatGPT!$1:$1048576,4,FALSE)</f>
        <v>PAYMENT RECEIVED THANK YOU</v>
      </c>
    </row>
    <row r="1104" spans="1:9" x14ac:dyDescent="0.25">
      <c r="A1104" t="s">
        <v>71</v>
      </c>
      <c r="B1104" t="s">
        <v>230</v>
      </c>
      <c r="C1104" t="s">
        <v>229</v>
      </c>
      <c r="D1104" s="1">
        <v>45330</v>
      </c>
      <c r="E1104" t="s">
        <v>116</v>
      </c>
      <c r="F1104">
        <v>-7.34</v>
      </c>
      <c r="G1104" t="str">
        <f>VLOOKUP(E1104,[1]ChatGPT!$1:$1048576,2,FALSE)</f>
        <v>Transport</v>
      </c>
      <c r="H1104" t="str">
        <f>VLOOKUP(E1104,[1]ChatGPT!$1:$1048576,3,FALSE)</f>
        <v xml:space="preserve">Petrol </v>
      </c>
      <c r="I1104" t="str">
        <f>VLOOKUP(E1104,[1]ChatGPT!$1:$1048576,4,FALSE)</f>
        <v>Transport - Parking</v>
      </c>
    </row>
    <row r="1105" spans="1:9" x14ac:dyDescent="0.25">
      <c r="A1105" t="s">
        <v>71</v>
      </c>
      <c r="B1105" t="s">
        <v>230</v>
      </c>
      <c r="C1105" t="s">
        <v>229</v>
      </c>
      <c r="D1105" s="1">
        <v>45330</v>
      </c>
      <c r="E1105" t="s">
        <v>108</v>
      </c>
      <c r="F1105">
        <v>15.29</v>
      </c>
      <c r="G1105" t="str">
        <f>VLOOKUP(E1105,[1]ChatGPT!$1:$1048576,2,FALSE)</f>
        <v>Internal Transactions</v>
      </c>
      <c r="H1105" t="str">
        <f>VLOOKUP(E1105,[1]ChatGPT!$1:$1048576,3,FALSE)</f>
        <v>ASB</v>
      </c>
      <c r="I1105" t="str">
        <f>VLOOKUP(E1105,[1]ChatGPT!$1:$1048576,4,FALSE)</f>
        <v>PAYMENT RECEIVED THANK YOU</v>
      </c>
    </row>
    <row r="1106" spans="1:9" x14ac:dyDescent="0.25">
      <c r="A1106" t="s">
        <v>71</v>
      </c>
      <c r="B1106" t="s">
        <v>230</v>
      </c>
      <c r="C1106" t="s">
        <v>229</v>
      </c>
      <c r="D1106" s="1">
        <v>45329</v>
      </c>
      <c r="E1106" t="s">
        <v>111</v>
      </c>
      <c r="F1106">
        <v>-13.96</v>
      </c>
      <c r="G1106" t="str">
        <f>VLOOKUP(E1106,[1]ChatGPT!$1:$1048576,2,FALSE)</f>
        <v>Recreational &amp; Entertainment</v>
      </c>
      <c r="H1106" t="str">
        <f>VLOOKUP(E1106,[1]ChatGPT!$1:$1048576,3,FALSE)</f>
        <v xml:space="preserve">Gym </v>
      </c>
      <c r="I1106" t="str">
        <f>VLOOKUP(E1106,[1]ChatGPT!$1:$1048576,4,FALSE)</f>
        <v>GYM</v>
      </c>
    </row>
    <row r="1107" spans="1:9" x14ac:dyDescent="0.25">
      <c r="A1107" t="s">
        <v>71</v>
      </c>
      <c r="B1107" t="s">
        <v>230</v>
      </c>
      <c r="C1107" t="s">
        <v>229</v>
      </c>
      <c r="D1107" s="1">
        <v>45330</v>
      </c>
      <c r="E1107" t="s">
        <v>108</v>
      </c>
      <c r="F1107">
        <v>20.51</v>
      </c>
      <c r="G1107" t="str">
        <f>VLOOKUP(E1107,[1]ChatGPT!$1:$1048576,2,FALSE)</f>
        <v>Internal Transactions</v>
      </c>
      <c r="H1107" t="str">
        <f>VLOOKUP(E1107,[1]ChatGPT!$1:$1048576,3,FALSE)</f>
        <v>ASB</v>
      </c>
      <c r="I1107" t="str">
        <f>VLOOKUP(E1107,[1]ChatGPT!$1:$1048576,4,FALSE)</f>
        <v>PAYMENT RECEIVED THANK YOU</v>
      </c>
    </row>
    <row r="1108" spans="1:9" x14ac:dyDescent="0.25">
      <c r="A1108" t="s">
        <v>71</v>
      </c>
      <c r="B1108" t="s">
        <v>230</v>
      </c>
      <c r="C1108" t="s">
        <v>229</v>
      </c>
      <c r="D1108" s="1">
        <v>45331</v>
      </c>
      <c r="E1108" t="s">
        <v>108</v>
      </c>
      <c r="F1108">
        <v>34.75</v>
      </c>
      <c r="G1108" t="str">
        <f>VLOOKUP(E1108,[1]ChatGPT!$1:$1048576,2,FALSE)</f>
        <v>Internal Transactions</v>
      </c>
      <c r="H1108" t="str">
        <f>VLOOKUP(E1108,[1]ChatGPT!$1:$1048576,3,FALSE)</f>
        <v>ASB</v>
      </c>
      <c r="I1108" t="str">
        <f>VLOOKUP(E1108,[1]ChatGPT!$1:$1048576,4,FALSE)</f>
        <v>PAYMENT RECEIVED THANK YOU</v>
      </c>
    </row>
    <row r="1109" spans="1:9" x14ac:dyDescent="0.25">
      <c r="A1109" t="s">
        <v>71</v>
      </c>
      <c r="B1109" t="s">
        <v>230</v>
      </c>
      <c r="C1109" t="s">
        <v>229</v>
      </c>
      <c r="D1109" s="1">
        <v>45335</v>
      </c>
      <c r="E1109" t="s">
        <v>108</v>
      </c>
      <c r="F1109">
        <v>18.600000000000001</v>
      </c>
      <c r="G1109" t="str">
        <f>VLOOKUP(E1109,[1]ChatGPT!$1:$1048576,2,FALSE)</f>
        <v>Internal Transactions</v>
      </c>
      <c r="H1109" t="str">
        <f>VLOOKUP(E1109,[1]ChatGPT!$1:$1048576,3,FALSE)</f>
        <v>ASB</v>
      </c>
      <c r="I1109" t="str">
        <f>VLOOKUP(E1109,[1]ChatGPT!$1:$1048576,4,FALSE)</f>
        <v>PAYMENT RECEIVED THANK YOU</v>
      </c>
    </row>
    <row r="1110" spans="1:9" x14ac:dyDescent="0.25">
      <c r="A1110" t="s">
        <v>71</v>
      </c>
      <c r="B1110" t="s">
        <v>230</v>
      </c>
      <c r="C1110" t="s">
        <v>229</v>
      </c>
      <c r="D1110" s="1">
        <v>45337</v>
      </c>
      <c r="E1110" t="s">
        <v>116</v>
      </c>
      <c r="F1110">
        <v>-22.75</v>
      </c>
      <c r="G1110" t="str">
        <f>VLOOKUP(E1110,[1]ChatGPT!$1:$1048576,2,FALSE)</f>
        <v>Transport</v>
      </c>
      <c r="H1110" t="str">
        <f>VLOOKUP(E1110,[1]ChatGPT!$1:$1048576,3,FALSE)</f>
        <v xml:space="preserve">Petrol </v>
      </c>
      <c r="I1110" t="str">
        <f>VLOOKUP(E1110,[1]ChatGPT!$1:$1048576,4,FALSE)</f>
        <v>Transport - Parking</v>
      </c>
    </row>
    <row r="1111" spans="1:9" x14ac:dyDescent="0.25">
      <c r="A1111" t="s">
        <v>71</v>
      </c>
      <c r="B1111" t="s">
        <v>230</v>
      </c>
      <c r="C1111" t="s">
        <v>229</v>
      </c>
      <c r="D1111" s="1">
        <v>45336</v>
      </c>
      <c r="E1111" t="s">
        <v>111</v>
      </c>
      <c r="F1111">
        <v>-2.63</v>
      </c>
      <c r="G1111" t="str">
        <f>VLOOKUP(E1111,[1]ChatGPT!$1:$1048576,2,FALSE)</f>
        <v>Recreational &amp; Entertainment</v>
      </c>
      <c r="H1111" t="str">
        <f>VLOOKUP(E1111,[1]ChatGPT!$1:$1048576,3,FALSE)</f>
        <v xml:space="preserve">Gym </v>
      </c>
      <c r="I1111" t="str">
        <f>VLOOKUP(E1111,[1]ChatGPT!$1:$1048576,4,FALSE)</f>
        <v>GYM</v>
      </c>
    </row>
    <row r="1112" spans="1:9" x14ac:dyDescent="0.25">
      <c r="A1112" t="s">
        <v>71</v>
      </c>
      <c r="B1112" t="s">
        <v>230</v>
      </c>
      <c r="C1112" t="s">
        <v>229</v>
      </c>
      <c r="D1112" s="1">
        <v>45337</v>
      </c>
      <c r="E1112" t="s">
        <v>108</v>
      </c>
      <c r="F1112">
        <v>21.61</v>
      </c>
      <c r="G1112" t="str">
        <f>VLOOKUP(E1112,[1]ChatGPT!$1:$1048576,2,FALSE)</f>
        <v>Internal Transactions</v>
      </c>
      <c r="H1112" t="str">
        <f>VLOOKUP(E1112,[1]ChatGPT!$1:$1048576,3,FALSE)</f>
        <v>ASB</v>
      </c>
      <c r="I1112" t="str">
        <f>VLOOKUP(E1112,[1]ChatGPT!$1:$1048576,4,FALSE)</f>
        <v>PAYMENT RECEIVED THANK YOU</v>
      </c>
    </row>
    <row r="1113" spans="1:9" x14ac:dyDescent="0.25">
      <c r="A1113" t="s">
        <v>71</v>
      </c>
      <c r="B1113" t="s">
        <v>230</v>
      </c>
      <c r="C1113" t="s">
        <v>229</v>
      </c>
      <c r="D1113" s="1">
        <v>45338</v>
      </c>
      <c r="E1113" t="s">
        <v>108</v>
      </c>
      <c r="F1113">
        <v>30.14</v>
      </c>
      <c r="G1113" t="str">
        <f>VLOOKUP(E1113,[1]ChatGPT!$1:$1048576,2,FALSE)</f>
        <v>Internal Transactions</v>
      </c>
      <c r="H1113" t="str">
        <f>VLOOKUP(E1113,[1]ChatGPT!$1:$1048576,3,FALSE)</f>
        <v>ASB</v>
      </c>
      <c r="I1113" t="str">
        <f>VLOOKUP(E1113,[1]ChatGPT!$1:$1048576,4,FALSE)</f>
        <v>PAYMENT RECEIVED THANK YOU</v>
      </c>
    </row>
    <row r="1114" spans="1:9" x14ac:dyDescent="0.25">
      <c r="A1114" t="s">
        <v>71</v>
      </c>
      <c r="B1114" t="s">
        <v>230</v>
      </c>
      <c r="C1114" t="s">
        <v>229</v>
      </c>
      <c r="D1114" s="1">
        <v>45338</v>
      </c>
      <c r="E1114" t="s">
        <v>108</v>
      </c>
      <c r="F1114">
        <v>19.760000000000002</v>
      </c>
      <c r="G1114" t="str">
        <f>VLOOKUP(E1114,[1]ChatGPT!$1:$1048576,2,FALSE)</f>
        <v>Internal Transactions</v>
      </c>
      <c r="H1114" t="str">
        <f>VLOOKUP(E1114,[1]ChatGPT!$1:$1048576,3,FALSE)</f>
        <v>ASB</v>
      </c>
      <c r="I1114" t="str">
        <f>VLOOKUP(E1114,[1]ChatGPT!$1:$1048576,4,FALSE)</f>
        <v>PAYMENT RECEIVED THANK YOU</v>
      </c>
    </row>
    <row r="1115" spans="1:9" x14ac:dyDescent="0.25">
      <c r="A1115" t="s">
        <v>71</v>
      </c>
      <c r="B1115" t="s">
        <v>230</v>
      </c>
      <c r="C1115" t="s">
        <v>229</v>
      </c>
      <c r="D1115" s="1">
        <v>45338</v>
      </c>
      <c r="E1115" t="s">
        <v>221</v>
      </c>
      <c r="F1115">
        <v>-38.06</v>
      </c>
      <c r="G1115" t="str">
        <f>VLOOKUP(E1115,[1]ChatGPT!$1:$1048576,2,FALSE)</f>
        <v>Recreational &amp; Entertainment</v>
      </c>
      <c r="H1115" t="str">
        <f>VLOOKUP(E1115,[1]ChatGPT!$1:$1048576,3,FALSE)</f>
        <v>Entertainment</v>
      </c>
      <c r="I1115" t="str">
        <f>VLOOKUP(E1115,[1]ChatGPT!$1:$1048576,4,FALSE)</f>
        <v>Event</v>
      </c>
    </row>
    <row r="1116" spans="1:9" x14ac:dyDescent="0.25">
      <c r="A1116" t="s">
        <v>71</v>
      </c>
      <c r="B1116" t="s">
        <v>230</v>
      </c>
      <c r="C1116" t="s">
        <v>229</v>
      </c>
      <c r="D1116" s="1">
        <v>45338</v>
      </c>
      <c r="E1116" t="s">
        <v>116</v>
      </c>
      <c r="F1116">
        <v>-22.82</v>
      </c>
      <c r="G1116" t="str">
        <f>VLOOKUP(E1116,[1]ChatGPT!$1:$1048576,2,FALSE)</f>
        <v>Transport</v>
      </c>
      <c r="H1116" t="str">
        <f>VLOOKUP(E1116,[1]ChatGPT!$1:$1048576,3,FALSE)</f>
        <v xml:space="preserve">Petrol </v>
      </c>
      <c r="I1116" t="str">
        <f>VLOOKUP(E1116,[1]ChatGPT!$1:$1048576,4,FALSE)</f>
        <v>Transport - Parking</v>
      </c>
    </row>
    <row r="1117" spans="1:9" x14ac:dyDescent="0.25">
      <c r="A1117" t="s">
        <v>71</v>
      </c>
      <c r="B1117" t="s">
        <v>230</v>
      </c>
      <c r="C1117" t="s">
        <v>229</v>
      </c>
      <c r="D1117" s="1">
        <v>45338</v>
      </c>
      <c r="E1117" t="s">
        <v>108</v>
      </c>
      <c r="F1117">
        <v>24.77</v>
      </c>
      <c r="G1117" t="str">
        <f>VLOOKUP(E1117,[1]ChatGPT!$1:$1048576,2,FALSE)</f>
        <v>Internal Transactions</v>
      </c>
      <c r="H1117" t="str">
        <f>VLOOKUP(E1117,[1]ChatGPT!$1:$1048576,3,FALSE)</f>
        <v>ASB</v>
      </c>
      <c r="I1117" t="str">
        <f>VLOOKUP(E1117,[1]ChatGPT!$1:$1048576,4,FALSE)</f>
        <v>PAYMENT RECEIVED THANK YOU</v>
      </c>
    </row>
    <row r="1118" spans="1:9" x14ac:dyDescent="0.25">
      <c r="A1118" t="s">
        <v>71</v>
      </c>
      <c r="B1118" t="s">
        <v>230</v>
      </c>
      <c r="C1118" t="s">
        <v>229</v>
      </c>
      <c r="D1118" s="1">
        <v>45340</v>
      </c>
      <c r="E1118" t="s">
        <v>222</v>
      </c>
      <c r="F1118">
        <v>-1.64</v>
      </c>
      <c r="G1118" t="str">
        <f>VLOOKUP(E1118,[1]ChatGPT!$1:$1048576,2,FALSE)</f>
        <v>Groceries</v>
      </c>
      <c r="H1118" t="str">
        <f>VLOOKUP(E1118,[1]ChatGPT!$1:$1048576,3,FALSE)</f>
        <v>Grocery</v>
      </c>
      <c r="I1118" t="str">
        <f>VLOOKUP(E1118,[1]ChatGPT!$1:$1048576,4,FALSE)</f>
        <v>Grocery</v>
      </c>
    </row>
    <row r="1119" spans="1:9" x14ac:dyDescent="0.25">
      <c r="A1119" t="s">
        <v>71</v>
      </c>
      <c r="B1119" t="s">
        <v>230</v>
      </c>
      <c r="C1119" t="s">
        <v>229</v>
      </c>
      <c r="D1119" s="1">
        <v>45340</v>
      </c>
      <c r="E1119" t="s">
        <v>222</v>
      </c>
      <c r="F1119">
        <v>-23.97</v>
      </c>
      <c r="G1119" t="str">
        <f>VLOOKUP(E1119,[1]ChatGPT!$1:$1048576,2,FALSE)</f>
        <v>Groceries</v>
      </c>
      <c r="H1119" t="str">
        <f>VLOOKUP(E1119,[1]ChatGPT!$1:$1048576,3,FALSE)</f>
        <v>Grocery</v>
      </c>
      <c r="I1119" t="str">
        <f>VLOOKUP(E1119,[1]ChatGPT!$1:$1048576,4,FALSE)</f>
        <v>Grocery</v>
      </c>
    </row>
    <row r="1120" spans="1:9" x14ac:dyDescent="0.25">
      <c r="A1120" t="s">
        <v>71</v>
      </c>
      <c r="B1120" t="s">
        <v>230</v>
      </c>
      <c r="C1120" t="s">
        <v>229</v>
      </c>
      <c r="D1120" s="1">
        <v>45340</v>
      </c>
      <c r="E1120" t="s">
        <v>108</v>
      </c>
      <c r="F1120">
        <v>173.08</v>
      </c>
      <c r="G1120" t="str">
        <f>VLOOKUP(E1120,[1]ChatGPT!$1:$1048576,2,FALSE)</f>
        <v>Internal Transactions</v>
      </c>
      <c r="H1120" t="str">
        <f>VLOOKUP(E1120,[1]ChatGPT!$1:$1048576,3,FALSE)</f>
        <v>ASB</v>
      </c>
      <c r="I1120" t="str">
        <f>VLOOKUP(E1120,[1]ChatGPT!$1:$1048576,4,FALSE)</f>
        <v>PAYMENT RECEIVED THANK YOU</v>
      </c>
    </row>
    <row r="1121" spans="1:9" x14ac:dyDescent="0.25">
      <c r="A1121" t="s">
        <v>71</v>
      </c>
      <c r="B1121" t="s">
        <v>230</v>
      </c>
      <c r="C1121" t="s">
        <v>229</v>
      </c>
      <c r="D1121" s="1">
        <v>45340</v>
      </c>
      <c r="E1121" t="s">
        <v>223</v>
      </c>
      <c r="F1121">
        <v>-164.78</v>
      </c>
      <c r="G1121" t="str">
        <f>VLOOKUP(E1121,[1]ChatGPT!$1:$1048576,2,FALSE)</f>
        <v>Transport</v>
      </c>
      <c r="H1121" t="str">
        <f>VLOOKUP(E1121,[1]ChatGPT!$1:$1048576,3,FALSE)</f>
        <v xml:space="preserve">Petrol </v>
      </c>
      <c r="I1121" t="s">
        <v>98</v>
      </c>
    </row>
    <row r="1122" spans="1:9" x14ac:dyDescent="0.25">
      <c r="A1122" t="s">
        <v>71</v>
      </c>
      <c r="B1122" t="s">
        <v>230</v>
      </c>
      <c r="C1122" t="s">
        <v>229</v>
      </c>
      <c r="D1122" s="1">
        <v>45340</v>
      </c>
      <c r="E1122" t="s">
        <v>224</v>
      </c>
      <c r="F1122">
        <v>-13.31</v>
      </c>
      <c r="G1122" t="str">
        <f>VLOOKUP(E1122,[1]ChatGPT!$1:$1048576,2,FALSE)</f>
        <v>Recreational &amp; Entertainment</v>
      </c>
      <c r="H1122" t="str">
        <f>VLOOKUP(E1122,[1]ChatGPT!$1:$1048576,3,FALSE)</f>
        <v xml:space="preserve">Dining Out </v>
      </c>
      <c r="I1122" t="str">
        <f>VLOOKUP(E1122,[1]ChatGPT!$1:$1048576,4,FALSE)</f>
        <v>Dinning</v>
      </c>
    </row>
    <row r="1123" spans="1:9" x14ac:dyDescent="0.25">
      <c r="A1123" t="s">
        <v>71</v>
      </c>
      <c r="B1123" t="s">
        <v>230</v>
      </c>
      <c r="C1123" t="s">
        <v>229</v>
      </c>
      <c r="D1123" s="1">
        <v>45341</v>
      </c>
      <c r="E1123" t="s">
        <v>153</v>
      </c>
      <c r="F1123">
        <v>-98.29</v>
      </c>
      <c r="G1123" t="str">
        <f>VLOOKUP(E1123,[1]ChatGPT!$1:$1048576,2,FALSE)</f>
        <v>Recreational &amp; Entertainment</v>
      </c>
      <c r="H1123" t="str">
        <f>VLOOKUP(E1123,[1]ChatGPT!$1:$1048576,3,FALSE)</f>
        <v>Entertainment</v>
      </c>
      <c r="I1123" t="str">
        <f>VLOOKUP(E1123,[1]ChatGPT!$1:$1048576,4,FALSE)</f>
        <v>Vape</v>
      </c>
    </row>
    <row r="1124" spans="1:9" x14ac:dyDescent="0.25">
      <c r="A1124" t="s">
        <v>71</v>
      </c>
      <c r="B1124" t="s">
        <v>230</v>
      </c>
      <c r="C1124" t="s">
        <v>229</v>
      </c>
      <c r="D1124" s="1">
        <v>45341</v>
      </c>
      <c r="E1124" t="s">
        <v>108</v>
      </c>
      <c r="F1124">
        <v>6.9</v>
      </c>
      <c r="G1124" t="str">
        <f>VLOOKUP(E1124,[1]ChatGPT!$1:$1048576,2,FALSE)</f>
        <v>Internal Transactions</v>
      </c>
      <c r="H1124" t="str">
        <f>VLOOKUP(E1124,[1]ChatGPT!$1:$1048576,3,FALSE)</f>
        <v>ASB</v>
      </c>
      <c r="I1124" t="str">
        <f>VLOOKUP(E1124,[1]ChatGPT!$1:$1048576,4,FALSE)</f>
        <v>PAYMENT RECEIVED THANK YOU</v>
      </c>
    </row>
    <row r="1125" spans="1:9" x14ac:dyDescent="0.25">
      <c r="A1125" t="s">
        <v>71</v>
      </c>
      <c r="B1125" t="s">
        <v>230</v>
      </c>
      <c r="C1125" t="s">
        <v>229</v>
      </c>
      <c r="D1125" s="1">
        <v>45342</v>
      </c>
      <c r="E1125" t="s">
        <v>108</v>
      </c>
      <c r="F1125">
        <v>17.86</v>
      </c>
      <c r="G1125" t="str">
        <f>VLOOKUP(E1125,[1]ChatGPT!$1:$1048576,2,FALSE)</f>
        <v>Internal Transactions</v>
      </c>
      <c r="H1125" t="str">
        <f>VLOOKUP(E1125,[1]ChatGPT!$1:$1048576,3,FALSE)</f>
        <v>ASB</v>
      </c>
      <c r="I1125" t="str">
        <f>VLOOKUP(E1125,[1]ChatGPT!$1:$1048576,4,FALSE)</f>
        <v>PAYMENT RECEIVED THANK YOU</v>
      </c>
    </row>
    <row r="1126" spans="1:9" x14ac:dyDescent="0.25">
      <c r="A1126" t="s">
        <v>71</v>
      </c>
      <c r="B1126" t="s">
        <v>230</v>
      </c>
      <c r="C1126" t="s">
        <v>229</v>
      </c>
      <c r="D1126" s="1">
        <v>45343</v>
      </c>
      <c r="E1126" t="s">
        <v>116</v>
      </c>
      <c r="F1126">
        <v>-27.7</v>
      </c>
      <c r="G1126" t="str">
        <f>VLOOKUP(E1126,[1]ChatGPT!$1:$1048576,2,FALSE)</f>
        <v>Transport</v>
      </c>
      <c r="H1126" t="str">
        <f>VLOOKUP(E1126,[1]ChatGPT!$1:$1048576,3,FALSE)</f>
        <v xml:space="preserve">Petrol </v>
      </c>
      <c r="I1126" t="str">
        <f>VLOOKUP(E1126,[1]ChatGPT!$1:$1048576,4,FALSE)</f>
        <v>Transport - Parking</v>
      </c>
    </row>
    <row r="1127" spans="1:9" x14ac:dyDescent="0.25">
      <c r="A1127" t="s">
        <v>71</v>
      </c>
      <c r="B1127" t="s">
        <v>230</v>
      </c>
      <c r="C1127" t="s">
        <v>229</v>
      </c>
      <c r="D1127" s="1">
        <v>45344</v>
      </c>
      <c r="E1127" t="s">
        <v>108</v>
      </c>
      <c r="F1127">
        <v>3.59</v>
      </c>
      <c r="G1127" t="str">
        <f>VLOOKUP(E1127,[1]ChatGPT!$1:$1048576,2,FALSE)</f>
        <v>Internal Transactions</v>
      </c>
      <c r="H1127" t="str">
        <f>VLOOKUP(E1127,[1]ChatGPT!$1:$1048576,3,FALSE)</f>
        <v>ASB</v>
      </c>
      <c r="I1127" t="str">
        <f>VLOOKUP(E1127,[1]ChatGPT!$1:$1048576,4,FALSE)</f>
        <v>PAYMENT RECEIVED THANK YOU</v>
      </c>
    </row>
    <row r="1128" spans="1:9" x14ac:dyDescent="0.25">
      <c r="A1128" t="s">
        <v>71</v>
      </c>
      <c r="B1128" t="s">
        <v>230</v>
      </c>
      <c r="C1128" t="s">
        <v>229</v>
      </c>
      <c r="D1128" s="1">
        <v>45344</v>
      </c>
      <c r="E1128" t="s">
        <v>108</v>
      </c>
      <c r="F1128">
        <v>39.82</v>
      </c>
      <c r="G1128" t="str">
        <f>VLOOKUP(E1128,[1]ChatGPT!$1:$1048576,2,FALSE)</f>
        <v>Internal Transactions</v>
      </c>
      <c r="H1128" t="str">
        <f>VLOOKUP(E1128,[1]ChatGPT!$1:$1048576,3,FALSE)</f>
        <v>ASB</v>
      </c>
      <c r="I1128" t="str">
        <f>VLOOKUP(E1128,[1]ChatGPT!$1:$1048576,4,FALSE)</f>
        <v>PAYMENT RECEIVED THANK YOU</v>
      </c>
    </row>
    <row r="1129" spans="1:9" x14ac:dyDescent="0.25">
      <c r="A1129" t="s">
        <v>71</v>
      </c>
      <c r="B1129" t="s">
        <v>230</v>
      </c>
      <c r="C1129" t="s">
        <v>229</v>
      </c>
      <c r="D1129" s="1">
        <v>45344</v>
      </c>
      <c r="E1129" t="s">
        <v>189</v>
      </c>
      <c r="F1129">
        <v>-1.05</v>
      </c>
      <c r="G1129" t="str">
        <f>VLOOKUP(E1129,[1]ChatGPT!$1:$1048576,2,FALSE)</f>
        <v>Groceries</v>
      </c>
      <c r="H1129" t="str">
        <f>VLOOKUP(E1129,[1]ChatGPT!$1:$1048576,3,FALSE)</f>
        <v>Grocery</v>
      </c>
      <c r="I1129" t="str">
        <f>VLOOKUP(E1129,[1]ChatGPT!$1:$1048576,4,FALSE)</f>
        <v>Grocery</v>
      </c>
    </row>
    <row r="1130" spans="1:9" x14ac:dyDescent="0.25">
      <c r="A1130" t="s">
        <v>71</v>
      </c>
      <c r="B1130" t="s">
        <v>230</v>
      </c>
      <c r="C1130" t="s">
        <v>229</v>
      </c>
      <c r="D1130" s="1">
        <v>45344</v>
      </c>
      <c r="E1130" t="s">
        <v>225</v>
      </c>
      <c r="F1130">
        <v>-8.3699999999999992</v>
      </c>
      <c r="G1130" t="s">
        <v>68</v>
      </c>
      <c r="H1130" t="s">
        <v>69</v>
      </c>
      <c r="I1130" t="s">
        <v>69</v>
      </c>
    </row>
    <row r="1131" spans="1:9" x14ac:dyDescent="0.25">
      <c r="A1131" t="s">
        <v>71</v>
      </c>
      <c r="B1131" t="s">
        <v>230</v>
      </c>
      <c r="C1131" t="s">
        <v>229</v>
      </c>
      <c r="D1131" s="1">
        <v>45343</v>
      </c>
      <c r="E1131" t="s">
        <v>111</v>
      </c>
      <c r="F1131">
        <v>-7.6</v>
      </c>
      <c r="G1131" t="str">
        <f>VLOOKUP(E1131,[1]ChatGPT!$1:$1048576,2,FALSE)</f>
        <v>Recreational &amp; Entertainment</v>
      </c>
      <c r="H1131" t="str">
        <f>VLOOKUP(E1131,[1]ChatGPT!$1:$1048576,3,FALSE)</f>
        <v xml:space="preserve">Gym </v>
      </c>
      <c r="I1131" t="str">
        <f>VLOOKUP(E1131,[1]ChatGPT!$1:$1048576,4,FALSE)</f>
        <v>GYM</v>
      </c>
    </row>
    <row r="1132" spans="1:9" x14ac:dyDescent="0.25">
      <c r="A1132" t="s">
        <v>71</v>
      </c>
      <c r="B1132" t="s">
        <v>230</v>
      </c>
      <c r="C1132" t="s">
        <v>229</v>
      </c>
      <c r="D1132" s="1">
        <v>45345</v>
      </c>
      <c r="E1132" t="s">
        <v>108</v>
      </c>
      <c r="F1132">
        <v>1.07</v>
      </c>
      <c r="G1132" t="str">
        <f>VLOOKUP(E1132,[1]ChatGPT!$1:$1048576,2,FALSE)</f>
        <v>Internal Transactions</v>
      </c>
      <c r="H1132" t="str">
        <f>VLOOKUP(E1132,[1]ChatGPT!$1:$1048576,3,FALSE)</f>
        <v>ASB</v>
      </c>
      <c r="I1132" t="str">
        <f>VLOOKUP(E1132,[1]ChatGPT!$1:$1048576,4,FALSE)</f>
        <v>PAYMENT RECEIVED THANK YOU</v>
      </c>
    </row>
    <row r="1133" spans="1:9" x14ac:dyDescent="0.25">
      <c r="A1133" t="s">
        <v>71</v>
      </c>
      <c r="B1133" t="s">
        <v>230</v>
      </c>
      <c r="C1133" t="s">
        <v>229</v>
      </c>
      <c r="D1133" s="1">
        <v>45346</v>
      </c>
      <c r="E1133" t="s">
        <v>116</v>
      </c>
      <c r="F1133">
        <v>-4.91</v>
      </c>
      <c r="G1133" t="str">
        <f>VLOOKUP(E1133,[1]ChatGPT!$1:$1048576,2,FALSE)</f>
        <v>Transport</v>
      </c>
      <c r="H1133" t="str">
        <f>VLOOKUP(E1133,[1]ChatGPT!$1:$1048576,3,FALSE)</f>
        <v xml:space="preserve">Petrol </v>
      </c>
      <c r="I1133" t="str">
        <f>VLOOKUP(E1133,[1]ChatGPT!$1:$1048576,4,FALSE)</f>
        <v>Transport - Parking</v>
      </c>
    </row>
    <row r="1134" spans="1:9" x14ac:dyDescent="0.25">
      <c r="A1134" t="s">
        <v>71</v>
      </c>
      <c r="B1134" t="s">
        <v>230</v>
      </c>
      <c r="C1134" t="s">
        <v>229</v>
      </c>
      <c r="D1134" s="1">
        <v>45347</v>
      </c>
      <c r="E1134" t="s">
        <v>108</v>
      </c>
      <c r="F1134">
        <v>16.23</v>
      </c>
      <c r="G1134" t="str">
        <f>VLOOKUP(E1134,[1]ChatGPT!$1:$1048576,2,FALSE)</f>
        <v>Internal Transactions</v>
      </c>
      <c r="H1134" t="str">
        <f>VLOOKUP(E1134,[1]ChatGPT!$1:$1048576,3,FALSE)</f>
        <v>ASB</v>
      </c>
      <c r="I1134" t="str">
        <f>VLOOKUP(E1134,[1]ChatGPT!$1:$1048576,4,FALSE)</f>
        <v>PAYMENT RECEIVED THANK YOU</v>
      </c>
    </row>
    <row r="1135" spans="1:9" x14ac:dyDescent="0.25">
      <c r="A1135" t="s">
        <v>71</v>
      </c>
      <c r="B1135" t="s">
        <v>230</v>
      </c>
      <c r="C1135" t="s">
        <v>229</v>
      </c>
      <c r="D1135" s="1">
        <v>45349</v>
      </c>
      <c r="E1135" t="s">
        <v>108</v>
      </c>
      <c r="F1135">
        <v>4.57</v>
      </c>
      <c r="G1135" t="str">
        <f>VLOOKUP(E1135,[1]ChatGPT!$1:$1048576,2,FALSE)</f>
        <v>Internal Transactions</v>
      </c>
      <c r="H1135" t="str">
        <f>VLOOKUP(E1135,[1]ChatGPT!$1:$1048576,3,FALSE)</f>
        <v>ASB</v>
      </c>
      <c r="I1135" t="str">
        <f>VLOOKUP(E1135,[1]ChatGPT!$1:$1048576,4,FALSE)</f>
        <v>PAYMENT RECEIVED THANK YOU</v>
      </c>
    </row>
    <row r="1136" spans="1:9" x14ac:dyDescent="0.25">
      <c r="A1136" t="s">
        <v>71</v>
      </c>
      <c r="B1136" t="s">
        <v>230</v>
      </c>
      <c r="C1136" t="s">
        <v>229</v>
      </c>
      <c r="D1136" s="1">
        <v>45351</v>
      </c>
      <c r="E1136" t="s">
        <v>108</v>
      </c>
      <c r="F1136">
        <v>10.26</v>
      </c>
      <c r="G1136" t="str">
        <f>VLOOKUP(E1136,[1]ChatGPT!$1:$1048576,2,FALSE)</f>
        <v>Internal Transactions</v>
      </c>
      <c r="H1136" t="str">
        <f>VLOOKUP(E1136,[1]ChatGPT!$1:$1048576,3,FALSE)</f>
        <v>ASB</v>
      </c>
      <c r="I1136" t="str">
        <f>VLOOKUP(E1136,[1]ChatGPT!$1:$1048576,4,FALSE)</f>
        <v>PAYMENT RECEIVED THANK YOU</v>
      </c>
    </row>
    <row r="1137" spans="1:9" x14ac:dyDescent="0.25">
      <c r="A1137" t="s">
        <v>71</v>
      </c>
      <c r="B1137" t="s">
        <v>230</v>
      </c>
      <c r="C1137" t="s">
        <v>229</v>
      </c>
      <c r="D1137" s="1">
        <v>45351</v>
      </c>
      <c r="E1137" t="s">
        <v>108</v>
      </c>
      <c r="F1137">
        <v>56.13</v>
      </c>
      <c r="G1137" t="str">
        <f>VLOOKUP(E1137,[1]ChatGPT!$1:$1048576,2,FALSE)</f>
        <v>Internal Transactions</v>
      </c>
      <c r="H1137" t="str">
        <f>VLOOKUP(E1137,[1]ChatGPT!$1:$1048576,3,FALSE)</f>
        <v>ASB</v>
      </c>
      <c r="I1137" t="str">
        <f>VLOOKUP(E1137,[1]ChatGPT!$1:$1048576,4,FALSE)</f>
        <v>PAYMENT RECEIVED THANK YOU</v>
      </c>
    </row>
    <row r="1138" spans="1:9" x14ac:dyDescent="0.25">
      <c r="A1138" t="s">
        <v>71</v>
      </c>
      <c r="B1138" t="s">
        <v>230</v>
      </c>
      <c r="C1138" t="s">
        <v>229</v>
      </c>
      <c r="D1138" s="1">
        <v>45351</v>
      </c>
      <c r="E1138" t="s">
        <v>226</v>
      </c>
      <c r="F1138">
        <v>-38.29</v>
      </c>
      <c r="G1138" t="str">
        <f>VLOOKUP(E1138,[1]ChatGPT!$1:$1048576,2,FALSE)</f>
        <v>Transport</v>
      </c>
      <c r="H1138" t="str">
        <f>VLOOKUP(E1138,[1]ChatGPT!$1:$1048576,3,FALSE)</f>
        <v xml:space="preserve">Petrol </v>
      </c>
      <c r="I1138" t="str">
        <f>VLOOKUP(E1138,[1]ChatGPT!$1:$1048576,4,FALSE)</f>
        <v>Transport -Taxi - Bus</v>
      </c>
    </row>
    <row r="1139" spans="1:9" x14ac:dyDescent="0.25">
      <c r="A1139" t="s">
        <v>71</v>
      </c>
      <c r="B1139" t="s">
        <v>230</v>
      </c>
      <c r="C1139" t="s">
        <v>229</v>
      </c>
      <c r="D1139" s="1">
        <v>45350</v>
      </c>
      <c r="E1139" t="s">
        <v>111</v>
      </c>
      <c r="F1139">
        <v>-5.01</v>
      </c>
      <c r="G1139" t="str">
        <f>VLOOKUP(E1139,[1]ChatGPT!$1:$1048576,2,FALSE)</f>
        <v>Recreational &amp; Entertainment</v>
      </c>
      <c r="H1139" t="str">
        <f>VLOOKUP(E1139,[1]ChatGPT!$1:$1048576,3,FALSE)</f>
        <v xml:space="preserve">Gym </v>
      </c>
      <c r="I1139" t="str">
        <f>VLOOKUP(E1139,[1]ChatGPT!$1:$1048576,4,FALSE)</f>
        <v>GYM</v>
      </c>
    </row>
    <row r="1140" spans="1:9" x14ac:dyDescent="0.25">
      <c r="A1140" t="s">
        <v>71</v>
      </c>
      <c r="B1140" t="s">
        <v>230</v>
      </c>
      <c r="C1140" t="s">
        <v>229</v>
      </c>
      <c r="D1140" s="1">
        <v>45351</v>
      </c>
      <c r="E1140" t="s">
        <v>153</v>
      </c>
      <c r="F1140">
        <v>-136.25</v>
      </c>
      <c r="G1140" t="str">
        <f>VLOOKUP(E1140,[1]ChatGPT!$1:$1048576,2,FALSE)</f>
        <v>Recreational &amp; Entertainment</v>
      </c>
      <c r="H1140" t="str">
        <f>VLOOKUP(E1140,[1]ChatGPT!$1:$1048576,3,FALSE)</f>
        <v>Entertainment</v>
      </c>
      <c r="I1140" t="str">
        <f>VLOOKUP(E1140,[1]ChatGPT!$1:$1048576,4,FALSE)</f>
        <v>Vape</v>
      </c>
    </row>
    <row r="1141" spans="1:9" x14ac:dyDescent="0.25">
      <c r="A1141" t="s">
        <v>71</v>
      </c>
      <c r="B1141" t="s">
        <v>230</v>
      </c>
      <c r="C1141" t="s">
        <v>229</v>
      </c>
      <c r="D1141" s="1">
        <v>45351</v>
      </c>
      <c r="E1141" t="s">
        <v>116</v>
      </c>
      <c r="F1141">
        <v>-5.4</v>
      </c>
      <c r="G1141" t="str">
        <f>VLOOKUP(E1141,[1]ChatGPT!$1:$1048576,2,FALSE)</f>
        <v>Transport</v>
      </c>
      <c r="H1141" t="str">
        <f>VLOOKUP(E1141,[1]ChatGPT!$1:$1048576,3,FALSE)</f>
        <v xml:space="preserve">Petrol </v>
      </c>
      <c r="I1141" t="str">
        <f>VLOOKUP(E1141,[1]ChatGPT!$1:$1048576,4,FALSE)</f>
        <v>Transport - Parking</v>
      </c>
    </row>
    <row r="1142" spans="1:9" x14ac:dyDescent="0.25">
      <c r="A1142" t="s">
        <v>71</v>
      </c>
      <c r="B1142" t="s">
        <v>230</v>
      </c>
      <c r="C1142" t="s">
        <v>229</v>
      </c>
      <c r="D1142" s="1">
        <v>45351</v>
      </c>
      <c r="E1142" t="s">
        <v>116</v>
      </c>
      <c r="F1142">
        <v>-2.65</v>
      </c>
      <c r="G1142" t="str">
        <f>VLOOKUP(E1142,[1]ChatGPT!$1:$1048576,2,FALSE)</f>
        <v>Transport</v>
      </c>
      <c r="H1142" t="str">
        <f>VLOOKUP(E1142,[1]ChatGPT!$1:$1048576,3,FALSE)</f>
        <v xml:space="preserve">Petrol </v>
      </c>
      <c r="I1142" t="str">
        <f>VLOOKUP(E1142,[1]ChatGPT!$1:$1048576,4,FALSE)</f>
        <v>Transport - Parking</v>
      </c>
    </row>
    <row r="1143" spans="1:9" x14ac:dyDescent="0.25">
      <c r="A1143" t="s">
        <v>71</v>
      </c>
      <c r="B1143" t="s">
        <v>230</v>
      </c>
      <c r="C1143" t="s">
        <v>229</v>
      </c>
      <c r="D1143" s="1">
        <v>45352</v>
      </c>
      <c r="E1143" t="s">
        <v>108</v>
      </c>
      <c r="F1143">
        <v>45.51</v>
      </c>
      <c r="G1143" t="str">
        <f>VLOOKUP(E1143,[1]ChatGPT!$1:$1048576,2,FALSE)</f>
        <v>Internal Transactions</v>
      </c>
      <c r="H1143" t="str">
        <f>VLOOKUP(E1143,[1]ChatGPT!$1:$1048576,3,FALSE)</f>
        <v>ASB</v>
      </c>
      <c r="I1143" t="str">
        <f>VLOOKUP(E1143,[1]ChatGPT!$1:$1048576,4,FALSE)</f>
        <v>PAYMENT RECEIVED THANK YOU</v>
      </c>
    </row>
    <row r="1144" spans="1:9" x14ac:dyDescent="0.25">
      <c r="A1144" t="s">
        <v>71</v>
      </c>
      <c r="B1144" t="s">
        <v>230</v>
      </c>
      <c r="C1144" t="s">
        <v>229</v>
      </c>
      <c r="D1144" s="1">
        <v>45352</v>
      </c>
      <c r="E1144" t="s">
        <v>108</v>
      </c>
      <c r="F1144">
        <v>70.33</v>
      </c>
      <c r="G1144" t="str">
        <f>VLOOKUP(E1144,[1]ChatGPT!$1:$1048576,2,FALSE)</f>
        <v>Internal Transactions</v>
      </c>
      <c r="H1144" t="str">
        <f>VLOOKUP(E1144,[1]ChatGPT!$1:$1048576,3,FALSE)</f>
        <v>ASB</v>
      </c>
      <c r="I1144" t="str">
        <f>VLOOKUP(E1144,[1]ChatGPT!$1:$1048576,4,FALSE)</f>
        <v>PAYMENT RECEIVED THANK YOU</v>
      </c>
    </row>
    <row r="1145" spans="1:9" x14ac:dyDescent="0.25">
      <c r="A1145" t="s">
        <v>71</v>
      </c>
      <c r="B1145" t="s">
        <v>230</v>
      </c>
      <c r="C1145" t="s">
        <v>229</v>
      </c>
      <c r="D1145" s="1">
        <v>45352</v>
      </c>
      <c r="E1145" t="s">
        <v>227</v>
      </c>
      <c r="F1145">
        <v>-3.62</v>
      </c>
      <c r="G1145" t="str">
        <f>VLOOKUP(E1145,[1]ChatGPT!$1:$1048576,2,FALSE)</f>
        <v>Recreational &amp; Entertainment</v>
      </c>
      <c r="H1145" t="str">
        <f>VLOOKUP(E1145,[1]ChatGPT!$1:$1048576,3,FALSE)</f>
        <v>Entertainment</v>
      </c>
      <c r="I1145" t="str">
        <f>VLOOKUP(E1145,[1]ChatGPT!$1:$1048576,4,FALSE)</f>
        <v>Liquor</v>
      </c>
    </row>
    <row r="1146" spans="1:9" x14ac:dyDescent="0.25">
      <c r="A1146" t="s">
        <v>71</v>
      </c>
      <c r="B1146" t="s">
        <v>230</v>
      </c>
      <c r="C1146" t="s">
        <v>229</v>
      </c>
      <c r="D1146" s="1">
        <v>45353</v>
      </c>
      <c r="E1146" t="s">
        <v>108</v>
      </c>
      <c r="F1146">
        <v>26.95</v>
      </c>
      <c r="G1146" t="str">
        <f>VLOOKUP(E1146,[1]ChatGPT!$1:$1048576,2,FALSE)</f>
        <v>Internal Transactions</v>
      </c>
      <c r="H1146" t="str">
        <f>VLOOKUP(E1146,[1]ChatGPT!$1:$1048576,3,FALSE)</f>
        <v>ASB</v>
      </c>
      <c r="I1146" t="str">
        <f>VLOOKUP(E1146,[1]ChatGPT!$1:$1048576,4,FALSE)</f>
        <v>PAYMENT RECEIVED THANK YOU</v>
      </c>
    </row>
    <row r="1147" spans="1:9" x14ac:dyDescent="0.25">
      <c r="A1147" t="s">
        <v>71</v>
      </c>
      <c r="B1147" t="s">
        <v>230</v>
      </c>
      <c r="C1147" t="s">
        <v>229</v>
      </c>
      <c r="D1147" s="1">
        <v>45353</v>
      </c>
      <c r="E1147" t="s">
        <v>108</v>
      </c>
      <c r="F1147">
        <v>2.21</v>
      </c>
      <c r="G1147" t="str">
        <f>VLOOKUP(E1147,[1]ChatGPT!$1:$1048576,2,FALSE)</f>
        <v>Internal Transactions</v>
      </c>
      <c r="H1147" t="str">
        <f>VLOOKUP(E1147,[1]ChatGPT!$1:$1048576,3,FALSE)</f>
        <v>ASB</v>
      </c>
      <c r="I1147" t="str">
        <f>VLOOKUP(E1147,[1]ChatGPT!$1:$1048576,4,FALSE)</f>
        <v>PAYMENT RECEIVED THANK YOU</v>
      </c>
    </row>
    <row r="1148" spans="1:9" x14ac:dyDescent="0.25">
      <c r="A1148" t="s">
        <v>71</v>
      </c>
      <c r="B1148" t="s">
        <v>230</v>
      </c>
      <c r="C1148" t="s">
        <v>229</v>
      </c>
      <c r="D1148" s="1">
        <v>45353</v>
      </c>
      <c r="E1148" t="s">
        <v>135</v>
      </c>
      <c r="F1148">
        <v>-30.4</v>
      </c>
      <c r="G1148" t="str">
        <f>VLOOKUP(E1148,[1]ChatGPT!$1:$1048576,2,FALSE)</f>
        <v>Transport</v>
      </c>
      <c r="H1148" t="str">
        <f>VLOOKUP(E1148,[1]ChatGPT!$1:$1048576,3,FALSE)</f>
        <v xml:space="preserve">Petrol </v>
      </c>
      <c r="I1148" t="s">
        <v>98</v>
      </c>
    </row>
    <row r="1149" spans="1:9" x14ac:dyDescent="0.25">
      <c r="A1149" t="s">
        <v>71</v>
      </c>
      <c r="B1149" t="s">
        <v>230</v>
      </c>
      <c r="C1149" t="s">
        <v>229</v>
      </c>
      <c r="D1149" s="1">
        <v>45355</v>
      </c>
      <c r="E1149" t="s">
        <v>108</v>
      </c>
      <c r="F1149">
        <v>48.26</v>
      </c>
      <c r="G1149" t="str">
        <f>VLOOKUP(E1149,[1]ChatGPT!$1:$1048576,2,FALSE)</f>
        <v>Internal Transactions</v>
      </c>
      <c r="H1149" t="str">
        <f>VLOOKUP(E1149,[1]ChatGPT!$1:$1048576,3,FALSE)</f>
        <v>ASB</v>
      </c>
      <c r="I1149" t="str">
        <f>VLOOKUP(E1149,[1]ChatGPT!$1:$1048576,4,FALSE)</f>
        <v>PAYMENT RECEIVED THANK YOU</v>
      </c>
    </row>
    <row r="1150" spans="1:9" x14ac:dyDescent="0.25">
      <c r="A1150" t="s">
        <v>71</v>
      </c>
      <c r="B1150" t="s">
        <v>230</v>
      </c>
      <c r="C1150" t="s">
        <v>229</v>
      </c>
      <c r="D1150" s="1">
        <v>45358</v>
      </c>
      <c r="E1150" t="s">
        <v>108</v>
      </c>
      <c r="F1150">
        <v>39.24</v>
      </c>
      <c r="G1150" t="str">
        <f>VLOOKUP(E1150,[1]ChatGPT!$1:$1048576,2,FALSE)</f>
        <v>Internal Transactions</v>
      </c>
      <c r="H1150" t="str">
        <f>VLOOKUP(E1150,[1]ChatGPT!$1:$1048576,3,FALSE)</f>
        <v>ASB</v>
      </c>
      <c r="I1150" t="str">
        <f>VLOOKUP(E1150,[1]ChatGPT!$1:$1048576,4,FALSE)</f>
        <v>PAYMENT RECEIVED THANK YOU</v>
      </c>
    </row>
    <row r="1151" spans="1:9" x14ac:dyDescent="0.25">
      <c r="A1151" t="s">
        <v>71</v>
      </c>
      <c r="B1151" t="s">
        <v>230</v>
      </c>
      <c r="C1151" t="s">
        <v>229</v>
      </c>
      <c r="D1151" s="1">
        <v>45358</v>
      </c>
      <c r="E1151" t="s">
        <v>108</v>
      </c>
      <c r="F1151">
        <v>14.42</v>
      </c>
      <c r="G1151" t="str">
        <f>VLOOKUP(E1151,[1]ChatGPT!$1:$1048576,2,FALSE)</f>
        <v>Internal Transactions</v>
      </c>
      <c r="H1151" t="str">
        <f>VLOOKUP(E1151,[1]ChatGPT!$1:$1048576,3,FALSE)</f>
        <v>ASB</v>
      </c>
      <c r="I1151" t="str">
        <f>VLOOKUP(E1151,[1]ChatGPT!$1:$1048576,4,FALSE)</f>
        <v>PAYMENT RECEIVED THANK YOU</v>
      </c>
    </row>
    <row r="1152" spans="1:9" x14ac:dyDescent="0.25">
      <c r="A1152" t="s">
        <v>71</v>
      </c>
      <c r="B1152" t="s">
        <v>230</v>
      </c>
      <c r="C1152" t="s">
        <v>229</v>
      </c>
      <c r="D1152" s="1">
        <v>45357</v>
      </c>
      <c r="E1152" t="s">
        <v>111</v>
      </c>
      <c r="F1152">
        <v>-16.93</v>
      </c>
      <c r="G1152" t="str">
        <f>VLOOKUP(E1152,[1]ChatGPT!$1:$1048576,2,FALSE)</f>
        <v>Recreational &amp; Entertainment</v>
      </c>
      <c r="H1152" t="str">
        <f>VLOOKUP(E1152,[1]ChatGPT!$1:$1048576,3,FALSE)</f>
        <v xml:space="preserve">Gym </v>
      </c>
      <c r="I1152" t="str">
        <f>VLOOKUP(E1152,[1]ChatGPT!$1:$1048576,4,FALSE)</f>
        <v>GYM</v>
      </c>
    </row>
    <row r="1153" spans="1:9" x14ac:dyDescent="0.25">
      <c r="A1153" t="s">
        <v>71</v>
      </c>
      <c r="B1153" t="s">
        <v>230</v>
      </c>
      <c r="C1153" t="s">
        <v>229</v>
      </c>
      <c r="D1153" s="1">
        <v>45359</v>
      </c>
      <c r="E1153" t="s">
        <v>116</v>
      </c>
      <c r="F1153">
        <v>-4.24</v>
      </c>
      <c r="G1153" t="str">
        <f>VLOOKUP(E1153,[1]ChatGPT!$1:$1048576,2,FALSE)</f>
        <v>Transport</v>
      </c>
      <c r="H1153" t="str">
        <f>VLOOKUP(E1153,[1]ChatGPT!$1:$1048576,3,FALSE)</f>
        <v xml:space="preserve">Petrol </v>
      </c>
      <c r="I1153" t="str">
        <f>VLOOKUP(E1153,[1]ChatGPT!$1:$1048576,4,FALSE)</f>
        <v>Transport - Parking</v>
      </c>
    </row>
    <row r="1154" spans="1:9" x14ac:dyDescent="0.25">
      <c r="A1154" t="s">
        <v>71</v>
      </c>
      <c r="B1154" t="s">
        <v>230</v>
      </c>
      <c r="C1154" t="s">
        <v>229</v>
      </c>
      <c r="D1154" s="1">
        <v>45359</v>
      </c>
      <c r="E1154" t="s">
        <v>116</v>
      </c>
      <c r="F1154">
        <v>-3.4</v>
      </c>
      <c r="G1154" t="str">
        <f>VLOOKUP(E1154,[1]ChatGPT!$1:$1048576,2,FALSE)</f>
        <v>Transport</v>
      </c>
      <c r="H1154" t="str">
        <f>VLOOKUP(E1154,[1]ChatGPT!$1:$1048576,3,FALSE)</f>
        <v xml:space="preserve">Petrol </v>
      </c>
      <c r="I1154" t="str">
        <f>VLOOKUP(E1154,[1]ChatGPT!$1:$1048576,4,FALSE)</f>
        <v>Transport - Parking</v>
      </c>
    </row>
    <row r="1155" spans="1:9" x14ac:dyDescent="0.25">
      <c r="A1155" t="s">
        <v>71</v>
      </c>
      <c r="B1155" t="s">
        <v>230</v>
      </c>
      <c r="C1155" t="s">
        <v>229</v>
      </c>
      <c r="D1155" s="1">
        <v>45359</v>
      </c>
      <c r="E1155" t="s">
        <v>108</v>
      </c>
      <c r="F1155">
        <v>46.71</v>
      </c>
      <c r="G1155" t="str">
        <f>VLOOKUP(E1155,[1]ChatGPT!$1:$1048576,2,FALSE)</f>
        <v>Internal Transactions</v>
      </c>
      <c r="H1155" t="str">
        <f>VLOOKUP(E1155,[1]ChatGPT!$1:$1048576,3,FALSE)</f>
        <v>ASB</v>
      </c>
      <c r="I1155" t="str">
        <f>VLOOKUP(E1155,[1]ChatGPT!$1:$1048576,4,FALSE)</f>
        <v>PAYMENT RECEIVED THANK YOU</v>
      </c>
    </row>
    <row r="1156" spans="1:9" x14ac:dyDescent="0.25">
      <c r="A1156" t="s">
        <v>71</v>
      </c>
      <c r="B1156" t="s">
        <v>230</v>
      </c>
      <c r="C1156" t="s">
        <v>229</v>
      </c>
      <c r="D1156" s="1">
        <v>45360</v>
      </c>
      <c r="E1156" t="s">
        <v>108</v>
      </c>
      <c r="F1156">
        <v>45.33</v>
      </c>
      <c r="G1156" t="str">
        <f>VLOOKUP(E1156,[1]ChatGPT!$1:$1048576,2,FALSE)</f>
        <v>Internal Transactions</v>
      </c>
      <c r="H1156" t="str">
        <f>VLOOKUP(E1156,[1]ChatGPT!$1:$1048576,3,FALSE)</f>
        <v>ASB</v>
      </c>
      <c r="I1156" t="str">
        <f>VLOOKUP(E1156,[1]ChatGPT!$1:$1048576,4,FALSE)</f>
        <v>PAYMENT RECEIVED THANK YOU</v>
      </c>
    </row>
    <row r="1157" spans="1:9" x14ac:dyDescent="0.25">
      <c r="A1157" t="s">
        <v>71</v>
      </c>
      <c r="B1157" t="s">
        <v>230</v>
      </c>
      <c r="C1157" t="s">
        <v>229</v>
      </c>
      <c r="D1157" s="1">
        <v>45365</v>
      </c>
      <c r="E1157" t="s">
        <v>111</v>
      </c>
      <c r="F1157">
        <v>-12.79</v>
      </c>
      <c r="G1157" t="str">
        <f>VLOOKUP(E1157,[1]ChatGPT!$1:$1048576,2,FALSE)</f>
        <v>Recreational &amp; Entertainment</v>
      </c>
      <c r="H1157" t="str">
        <f>VLOOKUP(E1157,[1]ChatGPT!$1:$1048576,3,FALSE)</f>
        <v xml:space="preserve">Gym </v>
      </c>
      <c r="I1157" t="str">
        <f>VLOOKUP(E1157,[1]ChatGPT!$1:$1048576,4,FALSE)</f>
        <v>GYM</v>
      </c>
    </row>
    <row r="1158" spans="1:9" x14ac:dyDescent="0.25">
      <c r="A1158" t="s">
        <v>71</v>
      </c>
      <c r="B1158" t="s">
        <v>230</v>
      </c>
      <c r="C1158" t="s">
        <v>229</v>
      </c>
      <c r="D1158" s="1">
        <v>45365</v>
      </c>
      <c r="E1158" t="s">
        <v>108</v>
      </c>
      <c r="F1158">
        <v>0.19</v>
      </c>
      <c r="G1158" t="str">
        <f>VLOOKUP(E1158,[1]ChatGPT!$1:$1048576,2,FALSE)</f>
        <v>Internal Transactions</v>
      </c>
      <c r="H1158" t="str">
        <f>VLOOKUP(E1158,[1]ChatGPT!$1:$1048576,3,FALSE)</f>
        <v>ASB</v>
      </c>
      <c r="I1158" t="str">
        <f>VLOOKUP(E1158,[1]ChatGPT!$1:$1048576,4,FALSE)</f>
        <v>PAYMENT RECEIVED THANK YOU</v>
      </c>
    </row>
    <row r="1159" spans="1:9" x14ac:dyDescent="0.25">
      <c r="A1159" t="s">
        <v>71</v>
      </c>
      <c r="B1159" t="s">
        <v>230</v>
      </c>
      <c r="C1159" t="s">
        <v>229</v>
      </c>
      <c r="D1159" s="1">
        <v>45367</v>
      </c>
      <c r="E1159" t="s">
        <v>116</v>
      </c>
      <c r="F1159">
        <v>-10.47</v>
      </c>
      <c r="G1159" t="str">
        <f>VLOOKUP(E1159,[1]ChatGPT!$1:$1048576,2,FALSE)</f>
        <v>Transport</v>
      </c>
      <c r="H1159" t="str">
        <f>VLOOKUP(E1159,[1]ChatGPT!$1:$1048576,3,FALSE)</f>
        <v xml:space="preserve">Petrol </v>
      </c>
      <c r="I1159" t="str">
        <f>VLOOKUP(E1159,[1]ChatGPT!$1:$1048576,4,FALSE)</f>
        <v>Transport - Parking</v>
      </c>
    </row>
    <row r="1160" spans="1:9" x14ac:dyDescent="0.25">
      <c r="A1160" t="s">
        <v>71</v>
      </c>
      <c r="B1160" t="s">
        <v>230</v>
      </c>
      <c r="C1160" t="s">
        <v>229</v>
      </c>
      <c r="D1160" s="1">
        <v>45369</v>
      </c>
      <c r="E1160" t="s">
        <v>108</v>
      </c>
      <c r="F1160">
        <v>24.1</v>
      </c>
      <c r="G1160" t="str">
        <f>VLOOKUP(E1160,[1]ChatGPT!$1:$1048576,2,FALSE)</f>
        <v>Internal Transactions</v>
      </c>
      <c r="H1160" t="str">
        <f>VLOOKUP(E1160,[1]ChatGPT!$1:$1048576,3,FALSE)</f>
        <v>ASB</v>
      </c>
      <c r="I1160" t="str">
        <f>VLOOKUP(E1160,[1]ChatGPT!$1:$1048576,4,FALSE)</f>
        <v>PAYMENT RECEIVED THANK YOU</v>
      </c>
    </row>
    <row r="1161" spans="1:9" x14ac:dyDescent="0.25">
      <c r="A1161" t="s">
        <v>71</v>
      </c>
      <c r="B1161" t="s">
        <v>230</v>
      </c>
      <c r="C1161" t="s">
        <v>229</v>
      </c>
      <c r="D1161" s="1">
        <v>45369</v>
      </c>
      <c r="E1161" t="s">
        <v>116</v>
      </c>
      <c r="F1161">
        <v>-19.670000000000002</v>
      </c>
      <c r="G1161" t="str">
        <f>VLOOKUP(E1161,[1]ChatGPT!$1:$1048576,2,FALSE)</f>
        <v>Transport</v>
      </c>
      <c r="H1161" t="str">
        <f>VLOOKUP(E1161,[1]ChatGPT!$1:$1048576,3,FALSE)</f>
        <v xml:space="preserve">Petrol </v>
      </c>
      <c r="I1161" t="str">
        <f>VLOOKUP(E1161,[1]ChatGPT!$1:$1048576,4,FALSE)</f>
        <v>Transport - Parking</v>
      </c>
    </row>
    <row r="1162" spans="1:9" x14ac:dyDescent="0.25">
      <c r="A1162" t="s">
        <v>71</v>
      </c>
      <c r="B1162" t="s">
        <v>230</v>
      </c>
      <c r="C1162" t="s">
        <v>229</v>
      </c>
      <c r="D1162" s="1">
        <v>45370</v>
      </c>
      <c r="E1162" t="s">
        <v>108</v>
      </c>
      <c r="F1162">
        <v>123.59</v>
      </c>
      <c r="G1162" t="str">
        <f>VLOOKUP(E1162,[1]ChatGPT!$1:$1048576,2,FALSE)</f>
        <v>Internal Transactions</v>
      </c>
      <c r="H1162" t="str">
        <f>VLOOKUP(E1162,[1]ChatGPT!$1:$1048576,3,FALSE)</f>
        <v>ASB</v>
      </c>
      <c r="I1162" t="str">
        <f>VLOOKUP(E1162,[1]ChatGPT!$1:$1048576,4,FALSE)</f>
        <v>PAYMENT RECEIVED THANK YOU</v>
      </c>
    </row>
    <row r="1163" spans="1:9" x14ac:dyDescent="0.25">
      <c r="A1163" t="s">
        <v>71</v>
      </c>
      <c r="B1163" t="s">
        <v>230</v>
      </c>
      <c r="C1163" t="s">
        <v>229</v>
      </c>
      <c r="D1163" s="1">
        <v>45370</v>
      </c>
      <c r="E1163" t="s">
        <v>108</v>
      </c>
      <c r="F1163">
        <v>23.12</v>
      </c>
      <c r="G1163" t="str">
        <f>VLOOKUP(E1163,[1]ChatGPT!$1:$1048576,2,FALSE)</f>
        <v>Internal Transactions</v>
      </c>
      <c r="H1163" t="str">
        <f>VLOOKUP(E1163,[1]ChatGPT!$1:$1048576,3,FALSE)</f>
        <v>ASB</v>
      </c>
      <c r="I1163" t="str">
        <f>VLOOKUP(E1163,[1]ChatGPT!$1:$1048576,4,FALSE)</f>
        <v>PAYMENT RECEIVED THANK YOU</v>
      </c>
    </row>
    <row r="1164" spans="1:9" x14ac:dyDescent="0.25">
      <c r="A1164" t="s">
        <v>71</v>
      </c>
      <c r="B1164" t="s">
        <v>230</v>
      </c>
      <c r="C1164" t="s">
        <v>229</v>
      </c>
      <c r="D1164" s="1">
        <v>45370</v>
      </c>
      <c r="E1164" t="s">
        <v>228</v>
      </c>
      <c r="F1164">
        <v>-201.13</v>
      </c>
      <c r="G1164" t="str">
        <f>VLOOKUP(E1164,[1]ChatGPT!$1:$1048576,2,FALSE)</f>
        <v>Personal Care</v>
      </c>
      <c r="H1164" t="str">
        <f>VLOOKUP(E1164,[1]ChatGPT!$1:$1048576,3,FALSE)</f>
        <v>Clothing &amp; Footwear</v>
      </c>
      <c r="I1164" t="str">
        <f>VLOOKUP(E1164,[1]ChatGPT!$1:$1048576,4,FALSE)</f>
        <v>Shopping</v>
      </c>
    </row>
    <row r="1165" spans="1:9" x14ac:dyDescent="0.25">
      <c r="A1165" t="s">
        <v>71</v>
      </c>
      <c r="B1165" t="s">
        <v>230</v>
      </c>
      <c r="C1165" t="s">
        <v>229</v>
      </c>
      <c r="D1165" s="1">
        <v>45372</v>
      </c>
      <c r="E1165" t="s">
        <v>116</v>
      </c>
      <c r="F1165">
        <v>-7</v>
      </c>
      <c r="G1165" t="str">
        <f>VLOOKUP(E1165,[1]ChatGPT!$1:$1048576,2,FALSE)</f>
        <v>Transport</v>
      </c>
      <c r="H1165" t="str">
        <f>VLOOKUP(E1165,[1]ChatGPT!$1:$1048576,3,FALSE)</f>
        <v xml:space="preserve">Petrol </v>
      </c>
      <c r="I1165" t="str">
        <f>VLOOKUP(E1165,[1]ChatGPT!$1:$1048576,4,FALSE)</f>
        <v>Transport - Parking</v>
      </c>
    </row>
    <row r="1166" spans="1:9" x14ac:dyDescent="0.25">
      <c r="A1166" t="s">
        <v>71</v>
      </c>
      <c r="B1166" t="s">
        <v>230</v>
      </c>
      <c r="C1166" t="s">
        <v>229</v>
      </c>
      <c r="D1166" s="1">
        <v>45371</v>
      </c>
      <c r="E1166" t="s">
        <v>111</v>
      </c>
      <c r="F1166">
        <v>-13.41</v>
      </c>
      <c r="G1166" t="str">
        <f>VLOOKUP(E1166,[1]ChatGPT!$1:$1048576,2,FALSE)</f>
        <v>Recreational &amp; Entertainment</v>
      </c>
      <c r="H1166" t="str">
        <f>VLOOKUP(E1166,[1]ChatGPT!$1:$1048576,3,FALSE)</f>
        <v xml:space="preserve">Gym </v>
      </c>
      <c r="I1166" t="str">
        <f>VLOOKUP(E1166,[1]ChatGPT!$1:$1048576,4,FALSE)</f>
        <v>GYM</v>
      </c>
    </row>
    <row r="1167" spans="1:9" x14ac:dyDescent="0.25">
      <c r="A1167" t="s">
        <v>71</v>
      </c>
      <c r="B1167" t="s">
        <v>230</v>
      </c>
      <c r="C1167" t="s">
        <v>229</v>
      </c>
      <c r="D1167" s="1">
        <v>45373</v>
      </c>
      <c r="E1167" t="s">
        <v>108</v>
      </c>
      <c r="F1167">
        <v>9.77</v>
      </c>
      <c r="G1167" t="str">
        <f>VLOOKUP(E1167,[1]ChatGPT!$1:$1048576,2,FALSE)</f>
        <v>Internal Transactions</v>
      </c>
      <c r="H1167" t="str">
        <f>VLOOKUP(E1167,[1]ChatGPT!$1:$1048576,3,FALSE)</f>
        <v>ASB</v>
      </c>
      <c r="I1167" t="str">
        <f>VLOOKUP(E1167,[1]ChatGPT!$1:$1048576,4,FALSE)</f>
        <v>PAYMENT RECEIVED THANK YOU</v>
      </c>
    </row>
    <row r="1168" spans="1:9" x14ac:dyDescent="0.25">
      <c r="A1168" t="s">
        <v>71</v>
      </c>
      <c r="B1168" t="s">
        <v>230</v>
      </c>
      <c r="C1168" t="s">
        <v>229</v>
      </c>
      <c r="D1168" s="1">
        <v>45374</v>
      </c>
      <c r="E1168" t="s">
        <v>116</v>
      </c>
      <c r="F1168">
        <v>-9.3699999999999992</v>
      </c>
      <c r="G1168" t="str">
        <f>VLOOKUP(E1168,[1]ChatGPT!$1:$1048576,2,FALSE)</f>
        <v>Transport</v>
      </c>
      <c r="H1168" t="str">
        <f>VLOOKUP(E1168,[1]ChatGPT!$1:$1048576,3,FALSE)</f>
        <v xml:space="preserve">Petrol </v>
      </c>
      <c r="I1168" t="str">
        <f>VLOOKUP(E1168,[1]ChatGPT!$1:$1048576,4,FALSE)</f>
        <v>Transport - Parking</v>
      </c>
    </row>
    <row r="1169" spans="1:9" x14ac:dyDescent="0.25">
      <c r="A1169" t="s">
        <v>71</v>
      </c>
      <c r="B1169" t="s">
        <v>230</v>
      </c>
      <c r="C1169" t="s">
        <v>229</v>
      </c>
      <c r="D1169" s="1">
        <v>45375</v>
      </c>
      <c r="E1169" t="s">
        <v>108</v>
      </c>
      <c r="F1169">
        <v>2.12</v>
      </c>
      <c r="G1169" t="str">
        <f>VLOOKUP(E1169,[1]ChatGPT!$1:$1048576,2,FALSE)</f>
        <v>Internal Transactions</v>
      </c>
      <c r="H1169" t="str">
        <f>VLOOKUP(E1169,[1]ChatGPT!$1:$1048576,3,FALSE)</f>
        <v>ASB</v>
      </c>
      <c r="I1169" t="str">
        <f>VLOOKUP(E1169,[1]ChatGPT!$1:$1048576,4,FALSE)</f>
        <v>PAYMENT RECEIVED THANK YOU</v>
      </c>
    </row>
    <row r="1170" spans="1:9" x14ac:dyDescent="0.25">
      <c r="A1170" t="s">
        <v>71</v>
      </c>
      <c r="B1170" t="s">
        <v>230</v>
      </c>
      <c r="C1170" t="s">
        <v>229</v>
      </c>
      <c r="D1170" s="1">
        <v>45378</v>
      </c>
      <c r="E1170" t="s">
        <v>108</v>
      </c>
      <c r="F1170">
        <v>1.63</v>
      </c>
      <c r="G1170" t="str">
        <f>VLOOKUP(E1170,[1]ChatGPT!$1:$1048576,2,FALSE)</f>
        <v>Internal Transactions</v>
      </c>
      <c r="H1170" t="str">
        <f>VLOOKUP(E1170,[1]ChatGPT!$1:$1048576,3,FALSE)</f>
        <v>ASB</v>
      </c>
      <c r="I1170" t="str">
        <f>VLOOKUP(E1170,[1]ChatGPT!$1:$1048576,4,FALSE)</f>
        <v>PAYMENT RECEIVED THANK YOU</v>
      </c>
    </row>
    <row r="1171" spans="1:9" x14ac:dyDescent="0.25">
      <c r="A1171" t="s">
        <v>71</v>
      </c>
      <c r="B1171" t="s">
        <v>230</v>
      </c>
      <c r="C1171" t="s">
        <v>229</v>
      </c>
      <c r="D1171" s="1">
        <v>45378</v>
      </c>
      <c r="E1171" t="s">
        <v>111</v>
      </c>
      <c r="F1171">
        <v>-7.54</v>
      </c>
      <c r="G1171" t="str">
        <f>VLOOKUP(E1171,[1]ChatGPT!$1:$1048576,2,FALSE)</f>
        <v>Recreational &amp; Entertainment</v>
      </c>
      <c r="H1171" t="str">
        <f>VLOOKUP(E1171,[1]ChatGPT!$1:$1048576,3,FALSE)</f>
        <v xml:space="preserve">Gym </v>
      </c>
      <c r="I1171" t="str">
        <f>VLOOKUP(E1171,[1]ChatGPT!$1:$1048576,4,FALSE)</f>
        <v>GYM</v>
      </c>
    </row>
    <row r="1172" spans="1:9" x14ac:dyDescent="0.25">
      <c r="A1172" t="s">
        <v>71</v>
      </c>
      <c r="B1172" t="s">
        <v>230</v>
      </c>
      <c r="C1172" t="s">
        <v>229</v>
      </c>
      <c r="D1172" s="1">
        <v>45380</v>
      </c>
      <c r="E1172" t="s">
        <v>108</v>
      </c>
      <c r="F1172">
        <v>19.29</v>
      </c>
      <c r="G1172" t="str">
        <f>VLOOKUP(E1172,[1]ChatGPT!$1:$1048576,2,FALSE)</f>
        <v>Internal Transactions</v>
      </c>
      <c r="H1172" t="str">
        <f>VLOOKUP(E1172,[1]ChatGPT!$1:$1048576,3,FALSE)</f>
        <v>ASB</v>
      </c>
      <c r="I1172" t="str">
        <f>VLOOKUP(E1172,[1]ChatGPT!$1:$1048576,4,FALSE)</f>
        <v>PAYMENT RECEIVED THANK YOU</v>
      </c>
    </row>
    <row r="1173" spans="1:9" x14ac:dyDescent="0.25">
      <c r="A1173" t="s">
        <v>71</v>
      </c>
      <c r="B1173" t="s">
        <v>230</v>
      </c>
      <c r="C1173" t="s">
        <v>229</v>
      </c>
      <c r="D1173" s="1">
        <v>45381</v>
      </c>
      <c r="E1173" t="s">
        <v>116</v>
      </c>
      <c r="F1173">
        <v>-28.85</v>
      </c>
      <c r="G1173" t="str">
        <f>VLOOKUP(E1173,[1]ChatGPT!$1:$1048576,2,FALSE)</f>
        <v>Transport</v>
      </c>
      <c r="H1173" t="str">
        <f>VLOOKUP(E1173,[1]ChatGPT!$1:$1048576,3,FALSE)</f>
        <v xml:space="preserve">Petrol </v>
      </c>
      <c r="I1173" t="str">
        <f>VLOOKUP(E1173,[1]ChatGPT!$1:$1048576,4,FALSE)</f>
        <v>Transport - Parking</v>
      </c>
    </row>
    <row r="1174" spans="1:9" x14ac:dyDescent="0.25">
      <c r="A1174" t="s">
        <v>231</v>
      </c>
      <c r="B1174" t="s">
        <v>100</v>
      </c>
      <c r="C1174" t="s">
        <v>789</v>
      </c>
      <c r="D1174" s="1">
        <v>45379</v>
      </c>
      <c r="E1174" t="s">
        <v>790</v>
      </c>
      <c r="F1174" s="2">
        <v>-564.77</v>
      </c>
      <c r="G1174" t="s">
        <v>70</v>
      </c>
      <c r="H1174" t="s">
        <v>231</v>
      </c>
      <c r="I1174" t="s">
        <v>72</v>
      </c>
    </row>
    <row r="1175" spans="1:9" x14ac:dyDescent="0.25">
      <c r="A1175" t="s">
        <v>231</v>
      </c>
      <c r="B1175" t="s">
        <v>100</v>
      </c>
      <c r="C1175" t="s">
        <v>789</v>
      </c>
      <c r="D1175" s="1">
        <v>45379</v>
      </c>
      <c r="E1175" t="s">
        <v>791</v>
      </c>
      <c r="F1175" s="2">
        <v>-281.39999999999998</v>
      </c>
      <c r="G1175" t="s">
        <v>70</v>
      </c>
      <c r="H1175" t="s">
        <v>231</v>
      </c>
      <c r="I1175" t="s">
        <v>72</v>
      </c>
    </row>
    <row r="1176" spans="1:9" x14ac:dyDescent="0.25">
      <c r="A1176" t="s">
        <v>231</v>
      </c>
      <c r="B1176" t="s">
        <v>100</v>
      </c>
      <c r="C1176" t="s">
        <v>789</v>
      </c>
      <c r="D1176" s="1">
        <v>45379</v>
      </c>
      <c r="E1176" t="s">
        <v>792</v>
      </c>
      <c r="F1176" s="2">
        <v>-121.31</v>
      </c>
      <c r="G1176" t="s">
        <v>70</v>
      </c>
      <c r="H1176" t="s">
        <v>231</v>
      </c>
      <c r="I1176" t="s">
        <v>72</v>
      </c>
    </row>
    <row r="1177" spans="1:9" x14ac:dyDescent="0.25">
      <c r="A1177" t="s">
        <v>231</v>
      </c>
      <c r="B1177" t="s">
        <v>100</v>
      </c>
      <c r="C1177" t="s">
        <v>789</v>
      </c>
      <c r="D1177" s="1">
        <v>45378.852511574078</v>
      </c>
      <c r="E1177" t="s">
        <v>234</v>
      </c>
      <c r="F1177" s="2">
        <v>-334.88</v>
      </c>
      <c r="G1177" t="s">
        <v>70</v>
      </c>
      <c r="H1177" t="s">
        <v>231</v>
      </c>
      <c r="I1177" t="s">
        <v>72</v>
      </c>
    </row>
    <row r="1178" spans="1:9" x14ac:dyDescent="0.25">
      <c r="A1178" t="s">
        <v>231</v>
      </c>
      <c r="B1178" t="s">
        <v>100</v>
      </c>
      <c r="C1178" t="s">
        <v>789</v>
      </c>
      <c r="D1178" s="1">
        <v>45378.651018518518</v>
      </c>
      <c r="E1178" t="s">
        <v>236</v>
      </c>
      <c r="F1178" s="2">
        <v>2467</v>
      </c>
      <c r="G1178" t="s">
        <v>74</v>
      </c>
      <c r="H1178" t="s">
        <v>256</v>
      </c>
      <c r="I1178" t="s">
        <v>257</v>
      </c>
    </row>
    <row r="1179" spans="1:9" x14ac:dyDescent="0.25">
      <c r="A1179" t="s">
        <v>231</v>
      </c>
      <c r="B1179" t="s">
        <v>100</v>
      </c>
      <c r="C1179" t="s">
        <v>789</v>
      </c>
      <c r="D1179" s="1">
        <v>45375.172430555554</v>
      </c>
      <c r="E1179" t="s">
        <v>232</v>
      </c>
      <c r="F1179" s="2">
        <v>-21.07</v>
      </c>
      <c r="G1179" t="s">
        <v>70</v>
      </c>
      <c r="H1179" t="s">
        <v>231</v>
      </c>
      <c r="I1179" t="s">
        <v>72</v>
      </c>
    </row>
    <row r="1180" spans="1:9" x14ac:dyDescent="0.25">
      <c r="A1180" t="s">
        <v>231</v>
      </c>
      <c r="B1180" t="s">
        <v>100</v>
      </c>
      <c r="C1180" t="s">
        <v>789</v>
      </c>
      <c r="D1180" s="1">
        <v>45375.172430555554</v>
      </c>
      <c r="E1180" t="s">
        <v>233</v>
      </c>
      <c r="F1180" s="2">
        <v>-18.78</v>
      </c>
      <c r="G1180" t="s">
        <v>70</v>
      </c>
      <c r="H1180" t="s">
        <v>231</v>
      </c>
      <c r="I1180" t="s">
        <v>72</v>
      </c>
    </row>
    <row r="1181" spans="1:9" x14ac:dyDescent="0.25">
      <c r="A1181" t="s">
        <v>231</v>
      </c>
      <c r="B1181" t="s">
        <v>100</v>
      </c>
      <c r="C1181" t="s">
        <v>789</v>
      </c>
      <c r="D1181" s="1">
        <v>45373.198159722226</v>
      </c>
      <c r="E1181" t="s">
        <v>234</v>
      </c>
      <c r="F1181" s="2">
        <v>-1740.22</v>
      </c>
      <c r="G1181" t="s">
        <v>70</v>
      </c>
      <c r="H1181" t="s">
        <v>231</v>
      </c>
      <c r="I1181" t="s">
        <v>72</v>
      </c>
    </row>
    <row r="1182" spans="1:9" x14ac:dyDescent="0.25">
      <c r="A1182" t="s">
        <v>231</v>
      </c>
      <c r="B1182" t="s">
        <v>100</v>
      </c>
      <c r="C1182" t="s">
        <v>789</v>
      </c>
      <c r="D1182" s="1">
        <v>45372</v>
      </c>
      <c r="E1182" t="s">
        <v>790</v>
      </c>
      <c r="F1182" s="2">
        <v>-213.98</v>
      </c>
      <c r="G1182" t="s">
        <v>70</v>
      </c>
      <c r="H1182" t="s">
        <v>231</v>
      </c>
      <c r="I1182" t="s">
        <v>72</v>
      </c>
    </row>
    <row r="1183" spans="1:9" x14ac:dyDescent="0.25">
      <c r="A1183" t="s">
        <v>231</v>
      </c>
      <c r="B1183" t="s">
        <v>100</v>
      </c>
      <c r="C1183" t="s">
        <v>789</v>
      </c>
      <c r="D1183" s="1">
        <v>45372</v>
      </c>
      <c r="E1183" t="s">
        <v>791</v>
      </c>
      <c r="F1183" s="2">
        <v>-88.7</v>
      </c>
      <c r="G1183" t="s">
        <v>70</v>
      </c>
      <c r="H1183" t="s">
        <v>231</v>
      </c>
      <c r="I1183" t="s">
        <v>72</v>
      </c>
    </row>
    <row r="1184" spans="1:9" x14ac:dyDescent="0.25">
      <c r="A1184" t="s">
        <v>231</v>
      </c>
      <c r="B1184" t="s">
        <v>100</v>
      </c>
      <c r="C1184" t="s">
        <v>789</v>
      </c>
      <c r="D1184" s="1">
        <v>45372</v>
      </c>
      <c r="E1184" t="s">
        <v>792</v>
      </c>
      <c r="F1184" s="2">
        <v>-313.13</v>
      </c>
      <c r="G1184" t="s">
        <v>70</v>
      </c>
      <c r="H1184" t="s">
        <v>231</v>
      </c>
      <c r="I1184" t="s">
        <v>72</v>
      </c>
    </row>
    <row r="1185" spans="1:9" x14ac:dyDescent="0.25">
      <c r="A1185" t="s">
        <v>231</v>
      </c>
      <c r="B1185" t="s">
        <v>100</v>
      </c>
      <c r="C1185" t="s">
        <v>789</v>
      </c>
      <c r="D1185" s="1">
        <v>45371.176527777781</v>
      </c>
      <c r="E1185" t="s">
        <v>235</v>
      </c>
      <c r="F1185" s="2">
        <v>-53.98</v>
      </c>
      <c r="G1185" t="s">
        <v>70</v>
      </c>
      <c r="H1185" t="s">
        <v>231</v>
      </c>
      <c r="I1185" t="s">
        <v>72</v>
      </c>
    </row>
    <row r="1186" spans="1:9" x14ac:dyDescent="0.25">
      <c r="A1186" t="s">
        <v>231</v>
      </c>
      <c r="B1186" t="s">
        <v>100</v>
      </c>
      <c r="C1186" t="s">
        <v>789</v>
      </c>
      <c r="D1186" s="1">
        <v>45371.610219907408</v>
      </c>
      <c r="E1186" t="s">
        <v>236</v>
      </c>
      <c r="F1186" s="2">
        <v>2716.76</v>
      </c>
      <c r="G1186" t="s">
        <v>74</v>
      </c>
      <c r="H1186" t="s">
        <v>256</v>
      </c>
      <c r="I1186" t="s">
        <v>257</v>
      </c>
    </row>
    <row r="1187" spans="1:9" x14ac:dyDescent="0.25">
      <c r="A1187" t="s">
        <v>231</v>
      </c>
      <c r="B1187" t="s">
        <v>100</v>
      </c>
      <c r="C1187" t="s">
        <v>789</v>
      </c>
      <c r="D1187" s="1">
        <v>45369.172881944447</v>
      </c>
      <c r="E1187" t="s">
        <v>237</v>
      </c>
      <c r="F1187" s="2">
        <v>-147.25</v>
      </c>
      <c r="G1187" t="s">
        <v>70</v>
      </c>
      <c r="H1187" t="s">
        <v>231</v>
      </c>
      <c r="I1187" t="s">
        <v>72</v>
      </c>
    </row>
    <row r="1188" spans="1:9" x14ac:dyDescent="0.25">
      <c r="A1188" t="s">
        <v>231</v>
      </c>
      <c r="B1188" t="s">
        <v>100</v>
      </c>
      <c r="C1188" t="s">
        <v>789</v>
      </c>
      <c r="D1188" s="1">
        <v>45369.172858796293</v>
      </c>
      <c r="E1188" t="s">
        <v>238</v>
      </c>
      <c r="F1188" s="2">
        <v>-159.11000000000001</v>
      </c>
      <c r="G1188" t="s">
        <v>70</v>
      </c>
      <c r="H1188" t="s">
        <v>231</v>
      </c>
      <c r="I1188" t="s">
        <v>72</v>
      </c>
    </row>
    <row r="1189" spans="1:9" x14ac:dyDescent="0.25">
      <c r="A1189" t="s">
        <v>231</v>
      </c>
      <c r="B1189" t="s">
        <v>100</v>
      </c>
      <c r="C1189" t="s">
        <v>789</v>
      </c>
      <c r="D1189" s="1">
        <v>45369.172847222224</v>
      </c>
      <c r="E1189" t="s">
        <v>239</v>
      </c>
      <c r="F1189" s="2">
        <v>-131.54</v>
      </c>
      <c r="G1189" t="s">
        <v>70</v>
      </c>
      <c r="H1189" t="s">
        <v>231</v>
      </c>
      <c r="I1189" t="s">
        <v>72</v>
      </c>
    </row>
    <row r="1190" spans="1:9" x14ac:dyDescent="0.25">
      <c r="A1190" t="s">
        <v>231</v>
      </c>
      <c r="B1190" t="s">
        <v>100</v>
      </c>
      <c r="C1190" t="s">
        <v>789</v>
      </c>
      <c r="D1190" s="1">
        <v>45366.17260416667</v>
      </c>
      <c r="E1190" t="s">
        <v>240</v>
      </c>
      <c r="F1190" s="2">
        <v>-17.63</v>
      </c>
      <c r="G1190" t="s">
        <v>70</v>
      </c>
      <c r="H1190" t="s">
        <v>231</v>
      </c>
      <c r="I1190" t="s">
        <v>72</v>
      </c>
    </row>
    <row r="1191" spans="1:9" x14ac:dyDescent="0.25">
      <c r="A1191" t="s">
        <v>231</v>
      </c>
      <c r="B1191" t="s">
        <v>100</v>
      </c>
      <c r="C1191" t="s">
        <v>789</v>
      </c>
      <c r="D1191" s="1">
        <v>45365</v>
      </c>
      <c r="E1191" t="s">
        <v>790</v>
      </c>
      <c r="F1191" s="2">
        <v>-538.30999999999995</v>
      </c>
      <c r="G1191" t="s">
        <v>70</v>
      </c>
      <c r="H1191" t="s">
        <v>231</v>
      </c>
      <c r="I1191" t="s">
        <v>72</v>
      </c>
    </row>
    <row r="1192" spans="1:9" x14ac:dyDescent="0.25">
      <c r="A1192" t="s">
        <v>231</v>
      </c>
      <c r="B1192" t="s">
        <v>100</v>
      </c>
      <c r="C1192" t="s">
        <v>789</v>
      </c>
      <c r="D1192" s="1">
        <v>45365</v>
      </c>
      <c r="E1192" t="s">
        <v>791</v>
      </c>
      <c r="F1192" s="2">
        <v>-522.65</v>
      </c>
      <c r="G1192" t="s">
        <v>70</v>
      </c>
      <c r="H1192" t="s">
        <v>231</v>
      </c>
      <c r="I1192" t="s">
        <v>72</v>
      </c>
    </row>
    <row r="1193" spans="1:9" x14ac:dyDescent="0.25">
      <c r="A1193" t="s">
        <v>231</v>
      </c>
      <c r="B1193" t="s">
        <v>100</v>
      </c>
      <c r="C1193" t="s">
        <v>789</v>
      </c>
      <c r="D1193" s="1">
        <v>45365</v>
      </c>
      <c r="E1193" t="s">
        <v>792</v>
      </c>
      <c r="F1193" s="2">
        <v>-274.62</v>
      </c>
      <c r="G1193" t="s">
        <v>70</v>
      </c>
      <c r="H1193" t="s">
        <v>231</v>
      </c>
      <c r="I1193" t="s">
        <v>72</v>
      </c>
    </row>
    <row r="1194" spans="1:9" x14ac:dyDescent="0.25">
      <c r="A1194" t="s">
        <v>231</v>
      </c>
      <c r="B1194" t="s">
        <v>100</v>
      </c>
      <c r="C1194" t="s">
        <v>789</v>
      </c>
      <c r="D1194" s="1">
        <v>45364.181817129633</v>
      </c>
      <c r="E1194" t="s">
        <v>241</v>
      </c>
      <c r="F1194" s="2">
        <v>-108.27</v>
      </c>
      <c r="G1194" t="s">
        <v>70</v>
      </c>
      <c r="H1194" t="s">
        <v>231</v>
      </c>
      <c r="I1194" t="s">
        <v>72</v>
      </c>
    </row>
    <row r="1195" spans="1:9" x14ac:dyDescent="0.25">
      <c r="A1195" t="s">
        <v>231</v>
      </c>
      <c r="B1195" t="s">
        <v>100</v>
      </c>
      <c r="C1195" t="s">
        <v>789</v>
      </c>
      <c r="D1195" s="1">
        <v>45364.910925925928</v>
      </c>
      <c r="E1195" t="s">
        <v>234</v>
      </c>
      <c r="F1195" s="2">
        <v>-794.95</v>
      </c>
      <c r="G1195" t="s">
        <v>70</v>
      </c>
      <c r="H1195" t="s">
        <v>231</v>
      </c>
      <c r="I1195" t="s">
        <v>72</v>
      </c>
    </row>
    <row r="1196" spans="1:9" x14ac:dyDescent="0.25">
      <c r="A1196" t="s">
        <v>231</v>
      </c>
      <c r="B1196" t="s">
        <v>100</v>
      </c>
      <c r="C1196" t="s">
        <v>789</v>
      </c>
      <c r="D1196" s="1">
        <v>45364.567118055558</v>
      </c>
      <c r="E1196" t="s">
        <v>236</v>
      </c>
      <c r="F1196" s="2">
        <v>1223.25</v>
      </c>
      <c r="G1196" t="s">
        <v>74</v>
      </c>
      <c r="H1196" t="s">
        <v>256</v>
      </c>
      <c r="I1196" t="s">
        <v>257</v>
      </c>
    </row>
    <row r="1197" spans="1:9" x14ac:dyDescent="0.25">
      <c r="A1197" t="s">
        <v>231</v>
      </c>
      <c r="B1197" t="s">
        <v>100</v>
      </c>
      <c r="C1197" t="s">
        <v>789</v>
      </c>
      <c r="D1197" s="1">
        <v>45358</v>
      </c>
      <c r="E1197" t="s">
        <v>790</v>
      </c>
      <c r="F1197" s="2">
        <v>-133.38999999999999</v>
      </c>
      <c r="G1197" t="s">
        <v>70</v>
      </c>
      <c r="H1197" t="s">
        <v>231</v>
      </c>
      <c r="I1197" t="s">
        <v>72</v>
      </c>
    </row>
    <row r="1198" spans="1:9" x14ac:dyDescent="0.25">
      <c r="A1198" t="s">
        <v>231</v>
      </c>
      <c r="B1198" t="s">
        <v>100</v>
      </c>
      <c r="C1198" t="s">
        <v>789</v>
      </c>
      <c r="D1198" s="1">
        <v>45358</v>
      </c>
      <c r="E1198" t="s">
        <v>791</v>
      </c>
      <c r="F1198" s="2">
        <v>-303.25</v>
      </c>
      <c r="G1198" t="s">
        <v>70</v>
      </c>
      <c r="H1198" t="s">
        <v>231</v>
      </c>
      <c r="I1198" t="s">
        <v>72</v>
      </c>
    </row>
    <row r="1199" spans="1:9" x14ac:dyDescent="0.25">
      <c r="A1199" t="s">
        <v>231</v>
      </c>
      <c r="B1199" t="s">
        <v>100</v>
      </c>
      <c r="C1199" t="s">
        <v>789</v>
      </c>
      <c r="D1199" s="1">
        <v>45358</v>
      </c>
      <c r="E1199" t="s">
        <v>792</v>
      </c>
      <c r="F1199" s="2">
        <v>-167.27</v>
      </c>
      <c r="G1199" t="s">
        <v>70</v>
      </c>
      <c r="H1199" t="s">
        <v>231</v>
      </c>
      <c r="I1199" t="s">
        <v>72</v>
      </c>
    </row>
    <row r="1200" spans="1:9" x14ac:dyDescent="0.25">
      <c r="A1200" t="s">
        <v>231</v>
      </c>
      <c r="B1200" t="s">
        <v>100</v>
      </c>
      <c r="C1200" t="s">
        <v>789</v>
      </c>
      <c r="D1200" s="1">
        <v>45357.176064814812</v>
      </c>
      <c r="E1200" t="s">
        <v>242</v>
      </c>
      <c r="F1200" s="2">
        <v>-8.57</v>
      </c>
      <c r="G1200" t="s">
        <v>70</v>
      </c>
      <c r="H1200" t="s">
        <v>231</v>
      </c>
      <c r="I1200" t="s">
        <v>72</v>
      </c>
    </row>
    <row r="1201" spans="1:9" x14ac:dyDescent="0.25">
      <c r="A1201" t="s">
        <v>231</v>
      </c>
      <c r="B1201" t="s">
        <v>100</v>
      </c>
      <c r="C1201" t="s">
        <v>789</v>
      </c>
      <c r="D1201" s="1">
        <v>45357.173888888887</v>
      </c>
      <c r="E1201" t="s">
        <v>243</v>
      </c>
      <c r="F1201" s="2">
        <v>-18.63</v>
      </c>
      <c r="G1201" t="s">
        <v>70</v>
      </c>
      <c r="H1201" t="s">
        <v>231</v>
      </c>
      <c r="I1201" t="s">
        <v>72</v>
      </c>
    </row>
    <row r="1202" spans="1:9" x14ac:dyDescent="0.25">
      <c r="A1202" t="s">
        <v>231</v>
      </c>
      <c r="B1202" t="s">
        <v>100</v>
      </c>
      <c r="C1202" t="s">
        <v>789</v>
      </c>
      <c r="D1202" s="1">
        <v>45357.637013888889</v>
      </c>
      <c r="E1202" t="s">
        <v>234</v>
      </c>
      <c r="F1202" s="2">
        <v>-744.69</v>
      </c>
      <c r="G1202" t="s">
        <v>70</v>
      </c>
      <c r="H1202" t="s">
        <v>231</v>
      </c>
      <c r="I1202" t="s">
        <v>72</v>
      </c>
    </row>
    <row r="1203" spans="1:9" x14ac:dyDescent="0.25">
      <c r="A1203" t="s">
        <v>231</v>
      </c>
      <c r="B1203" t="s">
        <v>100</v>
      </c>
      <c r="C1203" t="s">
        <v>789</v>
      </c>
      <c r="D1203" s="1">
        <v>45357.636886574073</v>
      </c>
      <c r="E1203" t="s">
        <v>244</v>
      </c>
      <c r="F1203" s="2">
        <v>-179.22</v>
      </c>
      <c r="G1203" t="s">
        <v>70</v>
      </c>
      <c r="H1203" t="s">
        <v>231</v>
      </c>
      <c r="I1203" t="s">
        <v>72</v>
      </c>
    </row>
    <row r="1204" spans="1:9" x14ac:dyDescent="0.25">
      <c r="A1204" t="s">
        <v>231</v>
      </c>
      <c r="B1204" t="s">
        <v>100</v>
      </c>
      <c r="C1204" t="s">
        <v>789</v>
      </c>
      <c r="D1204" s="1">
        <v>45357.56795138889</v>
      </c>
      <c r="E1204" t="s">
        <v>236</v>
      </c>
      <c r="F1204" s="2">
        <v>1318.59</v>
      </c>
      <c r="G1204" t="s">
        <v>74</v>
      </c>
      <c r="H1204" t="s">
        <v>256</v>
      </c>
      <c r="I1204" t="s">
        <v>257</v>
      </c>
    </row>
    <row r="1205" spans="1:9" x14ac:dyDescent="0.25">
      <c r="A1205" t="s">
        <v>231</v>
      </c>
      <c r="B1205" t="s">
        <v>100</v>
      </c>
      <c r="C1205" t="s">
        <v>789</v>
      </c>
      <c r="D1205" s="1">
        <v>45355.172951388886</v>
      </c>
      <c r="E1205" t="s">
        <v>245</v>
      </c>
      <c r="F1205" s="2">
        <v>-64.44</v>
      </c>
      <c r="G1205" t="s">
        <v>70</v>
      </c>
      <c r="H1205" t="s">
        <v>231</v>
      </c>
      <c r="I1205" t="s">
        <v>72</v>
      </c>
    </row>
    <row r="1206" spans="1:9" x14ac:dyDescent="0.25">
      <c r="A1206" t="s">
        <v>231</v>
      </c>
      <c r="B1206" t="s">
        <v>100</v>
      </c>
      <c r="C1206" t="s">
        <v>789</v>
      </c>
      <c r="D1206" s="1">
        <v>45355.172534722224</v>
      </c>
      <c r="E1206" t="s">
        <v>246</v>
      </c>
      <c r="F1206" s="2">
        <v>-1.66</v>
      </c>
      <c r="G1206" t="s">
        <v>70</v>
      </c>
      <c r="H1206" t="s">
        <v>231</v>
      </c>
      <c r="I1206" t="s">
        <v>72</v>
      </c>
    </row>
    <row r="1207" spans="1:9" x14ac:dyDescent="0.25">
      <c r="A1207" t="s">
        <v>231</v>
      </c>
      <c r="B1207" t="s">
        <v>100</v>
      </c>
      <c r="C1207" t="s">
        <v>789</v>
      </c>
      <c r="D1207" s="1">
        <v>45351</v>
      </c>
      <c r="E1207" t="s">
        <v>790</v>
      </c>
      <c r="F1207" s="2">
        <v>-422.81</v>
      </c>
      <c r="G1207" t="s">
        <v>70</v>
      </c>
      <c r="H1207" t="s">
        <v>231</v>
      </c>
      <c r="I1207" t="s">
        <v>72</v>
      </c>
    </row>
    <row r="1208" spans="1:9" x14ac:dyDescent="0.25">
      <c r="A1208" t="s">
        <v>231</v>
      </c>
      <c r="B1208" t="s">
        <v>100</v>
      </c>
      <c r="C1208" t="s">
        <v>789</v>
      </c>
      <c r="D1208" s="1">
        <v>45351</v>
      </c>
      <c r="E1208" t="s">
        <v>791</v>
      </c>
      <c r="F1208" s="2">
        <v>-9.5500000000000007</v>
      </c>
      <c r="G1208" t="s">
        <v>70</v>
      </c>
      <c r="H1208" t="s">
        <v>231</v>
      </c>
      <c r="I1208" t="s">
        <v>72</v>
      </c>
    </row>
    <row r="1209" spans="1:9" x14ac:dyDescent="0.25">
      <c r="A1209" t="s">
        <v>231</v>
      </c>
      <c r="B1209" t="s">
        <v>100</v>
      </c>
      <c r="C1209" t="s">
        <v>789</v>
      </c>
      <c r="D1209" s="1">
        <v>45351</v>
      </c>
      <c r="E1209" t="s">
        <v>792</v>
      </c>
      <c r="F1209" s="2">
        <v>-148.71</v>
      </c>
      <c r="G1209" t="s">
        <v>70</v>
      </c>
      <c r="H1209" t="s">
        <v>231</v>
      </c>
      <c r="I1209" t="s">
        <v>72</v>
      </c>
    </row>
    <row r="1210" spans="1:9" x14ac:dyDescent="0.25">
      <c r="A1210" t="s">
        <v>231</v>
      </c>
      <c r="B1210" t="s">
        <v>100</v>
      </c>
      <c r="C1210" t="s">
        <v>789</v>
      </c>
      <c r="D1210" s="1">
        <v>45350.716527777775</v>
      </c>
      <c r="E1210" t="s">
        <v>234</v>
      </c>
      <c r="F1210" s="2">
        <v>-1539.5</v>
      </c>
      <c r="G1210" t="s">
        <v>70</v>
      </c>
      <c r="H1210" t="s">
        <v>231</v>
      </c>
      <c r="I1210" t="s">
        <v>72</v>
      </c>
    </row>
    <row r="1211" spans="1:9" x14ac:dyDescent="0.25">
      <c r="A1211" t="s">
        <v>231</v>
      </c>
      <c r="B1211" t="s">
        <v>100</v>
      </c>
      <c r="C1211" t="s">
        <v>789</v>
      </c>
      <c r="D1211" s="1">
        <v>45350.609178240738</v>
      </c>
      <c r="E1211" t="s">
        <v>236</v>
      </c>
      <c r="F1211" s="2">
        <v>341.98</v>
      </c>
      <c r="G1211" t="s">
        <v>74</v>
      </c>
      <c r="H1211" t="s">
        <v>256</v>
      </c>
      <c r="I1211" t="s">
        <v>257</v>
      </c>
    </row>
    <row r="1212" spans="1:9" x14ac:dyDescent="0.25">
      <c r="A1212" t="s">
        <v>231</v>
      </c>
      <c r="B1212" t="s">
        <v>100</v>
      </c>
      <c r="C1212" t="s">
        <v>789</v>
      </c>
      <c r="D1212" s="1">
        <v>45346.173645833333</v>
      </c>
      <c r="E1212" t="s">
        <v>232</v>
      </c>
      <c r="F1212" s="2">
        <v>-6.78</v>
      </c>
      <c r="G1212" t="s">
        <v>70</v>
      </c>
      <c r="H1212" t="s">
        <v>231</v>
      </c>
      <c r="I1212" t="s">
        <v>72</v>
      </c>
    </row>
    <row r="1213" spans="1:9" x14ac:dyDescent="0.25">
      <c r="A1213" t="s">
        <v>231</v>
      </c>
      <c r="B1213" t="s">
        <v>100</v>
      </c>
      <c r="C1213" t="s">
        <v>789</v>
      </c>
      <c r="D1213" s="1">
        <v>45347.171342592592</v>
      </c>
      <c r="E1213" t="s">
        <v>233</v>
      </c>
      <c r="F1213" s="2">
        <v>-17.03</v>
      </c>
      <c r="G1213" t="s">
        <v>70</v>
      </c>
      <c r="H1213" t="s">
        <v>231</v>
      </c>
      <c r="I1213" t="s">
        <v>72</v>
      </c>
    </row>
    <row r="1214" spans="1:9" x14ac:dyDescent="0.25">
      <c r="A1214" t="s">
        <v>231</v>
      </c>
      <c r="B1214" t="s">
        <v>100</v>
      </c>
      <c r="C1214" t="s">
        <v>789</v>
      </c>
      <c r="D1214" s="1">
        <v>45344</v>
      </c>
      <c r="E1214" t="s">
        <v>790</v>
      </c>
      <c r="F1214" s="2">
        <v>-42.84</v>
      </c>
      <c r="G1214" t="s">
        <v>70</v>
      </c>
      <c r="H1214" t="s">
        <v>231</v>
      </c>
      <c r="I1214" t="s">
        <v>72</v>
      </c>
    </row>
    <row r="1215" spans="1:9" x14ac:dyDescent="0.25">
      <c r="A1215" t="s">
        <v>231</v>
      </c>
      <c r="B1215" t="s">
        <v>100</v>
      </c>
      <c r="C1215" t="s">
        <v>789</v>
      </c>
      <c r="D1215" s="1">
        <v>45344</v>
      </c>
      <c r="E1215" t="s">
        <v>791</v>
      </c>
      <c r="F1215" s="2">
        <v>-471.98</v>
      </c>
      <c r="G1215" t="s">
        <v>70</v>
      </c>
      <c r="H1215" t="s">
        <v>231</v>
      </c>
      <c r="I1215" t="s">
        <v>72</v>
      </c>
    </row>
    <row r="1216" spans="1:9" x14ac:dyDescent="0.25">
      <c r="A1216" t="s">
        <v>231</v>
      </c>
      <c r="B1216" t="s">
        <v>100</v>
      </c>
      <c r="C1216" t="s">
        <v>789</v>
      </c>
      <c r="D1216" s="1">
        <v>45344</v>
      </c>
      <c r="E1216" t="s">
        <v>792</v>
      </c>
      <c r="F1216" s="2">
        <v>-99.99</v>
      </c>
      <c r="G1216" t="s">
        <v>70</v>
      </c>
      <c r="H1216" t="s">
        <v>231</v>
      </c>
      <c r="I1216" t="s">
        <v>72</v>
      </c>
    </row>
    <row r="1217" spans="1:9" x14ac:dyDescent="0.25">
      <c r="A1217" t="s">
        <v>231</v>
      </c>
      <c r="B1217" t="s">
        <v>100</v>
      </c>
      <c r="C1217" t="s">
        <v>789</v>
      </c>
      <c r="D1217" s="1">
        <v>45343.701666666668</v>
      </c>
      <c r="E1217" t="s">
        <v>234</v>
      </c>
      <c r="F1217" s="2">
        <v>-1166.93</v>
      </c>
      <c r="G1217" t="s">
        <v>70</v>
      </c>
      <c r="H1217" t="s">
        <v>231</v>
      </c>
      <c r="I1217" t="s">
        <v>72</v>
      </c>
    </row>
    <row r="1218" spans="1:9" x14ac:dyDescent="0.25">
      <c r="A1218" t="s">
        <v>231</v>
      </c>
      <c r="B1218" t="s">
        <v>100</v>
      </c>
      <c r="C1218" t="s">
        <v>789</v>
      </c>
      <c r="D1218" s="1">
        <v>45343.701805555553</v>
      </c>
      <c r="E1218" t="s">
        <v>244</v>
      </c>
      <c r="F1218" s="2">
        <v>-94.74</v>
      </c>
      <c r="G1218" t="s">
        <v>70</v>
      </c>
      <c r="H1218" t="s">
        <v>231</v>
      </c>
      <c r="I1218" t="s">
        <v>72</v>
      </c>
    </row>
    <row r="1219" spans="1:9" x14ac:dyDescent="0.25">
      <c r="A1219" t="s">
        <v>231</v>
      </c>
      <c r="B1219" t="s">
        <v>100</v>
      </c>
      <c r="C1219" t="s">
        <v>789</v>
      </c>
      <c r="D1219" s="1">
        <v>45343.630104166667</v>
      </c>
      <c r="E1219" t="s">
        <v>236</v>
      </c>
      <c r="F1219" s="2">
        <v>3430.83</v>
      </c>
      <c r="G1219" t="s">
        <v>74</v>
      </c>
      <c r="H1219" t="s">
        <v>256</v>
      </c>
      <c r="I1219" t="s">
        <v>257</v>
      </c>
    </row>
    <row r="1220" spans="1:9" x14ac:dyDescent="0.25">
      <c r="A1220" t="s">
        <v>231</v>
      </c>
      <c r="B1220" t="s">
        <v>100</v>
      </c>
      <c r="C1220" t="s">
        <v>789</v>
      </c>
      <c r="D1220" s="1">
        <v>45342.180949074071</v>
      </c>
      <c r="E1220" t="s">
        <v>235</v>
      </c>
      <c r="F1220" s="2">
        <v>-151.12</v>
      </c>
      <c r="G1220" t="s">
        <v>70</v>
      </c>
      <c r="H1220" t="s">
        <v>231</v>
      </c>
      <c r="I1220" t="s">
        <v>72</v>
      </c>
    </row>
    <row r="1221" spans="1:9" x14ac:dyDescent="0.25">
      <c r="A1221" t="s">
        <v>231</v>
      </c>
      <c r="B1221" t="s">
        <v>100</v>
      </c>
      <c r="C1221" t="s">
        <v>789</v>
      </c>
      <c r="D1221" s="1">
        <v>45340.172476851854</v>
      </c>
      <c r="E1221" t="s">
        <v>237</v>
      </c>
      <c r="F1221" s="2">
        <v>-147.24</v>
      </c>
      <c r="G1221" t="s">
        <v>70</v>
      </c>
      <c r="H1221" t="s">
        <v>231</v>
      </c>
      <c r="I1221" t="s">
        <v>72</v>
      </c>
    </row>
    <row r="1222" spans="1:9" x14ac:dyDescent="0.25">
      <c r="A1222" t="s">
        <v>231</v>
      </c>
      <c r="B1222" t="s">
        <v>100</v>
      </c>
      <c r="C1222" t="s">
        <v>789</v>
      </c>
      <c r="D1222" s="1">
        <v>45340.172476851854</v>
      </c>
      <c r="E1222" t="s">
        <v>238</v>
      </c>
      <c r="F1222" s="2">
        <v>-98.7</v>
      </c>
      <c r="G1222" t="s">
        <v>70</v>
      </c>
      <c r="H1222" t="s">
        <v>231</v>
      </c>
      <c r="I1222" t="s">
        <v>72</v>
      </c>
    </row>
    <row r="1223" spans="1:9" x14ac:dyDescent="0.25">
      <c r="A1223" t="s">
        <v>231</v>
      </c>
      <c r="B1223" t="s">
        <v>100</v>
      </c>
      <c r="C1223" t="s">
        <v>789</v>
      </c>
      <c r="D1223" s="1">
        <v>45340.172465277778</v>
      </c>
      <c r="E1223" t="s">
        <v>239</v>
      </c>
      <c r="F1223" s="2">
        <v>-99.15</v>
      </c>
      <c r="G1223" t="s">
        <v>70</v>
      </c>
      <c r="H1223" t="s">
        <v>231</v>
      </c>
      <c r="I1223" t="s">
        <v>72</v>
      </c>
    </row>
    <row r="1224" spans="1:9" x14ac:dyDescent="0.25">
      <c r="A1224" t="s">
        <v>231</v>
      </c>
      <c r="B1224" t="s">
        <v>100</v>
      </c>
      <c r="C1224" t="s">
        <v>789</v>
      </c>
      <c r="D1224" s="1">
        <v>45338.178703703707</v>
      </c>
      <c r="E1224" t="s">
        <v>240</v>
      </c>
      <c r="F1224" s="2">
        <v>-11.79</v>
      </c>
      <c r="G1224" t="s">
        <v>70</v>
      </c>
      <c r="H1224" t="s">
        <v>231</v>
      </c>
      <c r="I1224" t="s">
        <v>72</v>
      </c>
    </row>
    <row r="1225" spans="1:9" x14ac:dyDescent="0.25">
      <c r="A1225" t="s">
        <v>231</v>
      </c>
      <c r="B1225" t="s">
        <v>100</v>
      </c>
      <c r="C1225" t="s">
        <v>789</v>
      </c>
      <c r="D1225" s="1">
        <v>45337</v>
      </c>
      <c r="E1225" t="s">
        <v>790</v>
      </c>
      <c r="F1225" s="2">
        <v>-103.14</v>
      </c>
      <c r="G1225" t="s">
        <v>70</v>
      </c>
      <c r="H1225" t="s">
        <v>231</v>
      </c>
      <c r="I1225" t="s">
        <v>72</v>
      </c>
    </row>
    <row r="1226" spans="1:9" x14ac:dyDescent="0.25">
      <c r="A1226" t="s">
        <v>231</v>
      </c>
      <c r="B1226" t="s">
        <v>100</v>
      </c>
      <c r="C1226" t="s">
        <v>789</v>
      </c>
      <c r="D1226" s="1">
        <v>45337</v>
      </c>
      <c r="E1226" t="s">
        <v>791</v>
      </c>
      <c r="F1226" s="2">
        <v>-474.64</v>
      </c>
      <c r="G1226" t="s">
        <v>70</v>
      </c>
      <c r="H1226" t="s">
        <v>231</v>
      </c>
      <c r="I1226" t="s">
        <v>72</v>
      </c>
    </row>
    <row r="1227" spans="1:9" x14ac:dyDescent="0.25">
      <c r="A1227" t="s">
        <v>231</v>
      </c>
      <c r="B1227" t="s">
        <v>100</v>
      </c>
      <c r="C1227" t="s">
        <v>789</v>
      </c>
      <c r="D1227" s="1">
        <v>45337</v>
      </c>
      <c r="E1227" t="s">
        <v>792</v>
      </c>
      <c r="F1227" s="2">
        <v>-0.33</v>
      </c>
      <c r="G1227" t="s">
        <v>70</v>
      </c>
      <c r="H1227" t="s">
        <v>231</v>
      </c>
      <c r="I1227" t="s">
        <v>72</v>
      </c>
    </row>
    <row r="1228" spans="1:9" x14ac:dyDescent="0.25">
      <c r="A1228" t="s">
        <v>231</v>
      </c>
      <c r="B1228" t="s">
        <v>100</v>
      </c>
      <c r="C1228" t="s">
        <v>789</v>
      </c>
      <c r="D1228" s="1">
        <v>45337.904293981483</v>
      </c>
      <c r="E1228" t="s">
        <v>234</v>
      </c>
      <c r="F1228" s="2">
        <v>-104.15</v>
      </c>
      <c r="G1228" t="s">
        <v>70</v>
      </c>
      <c r="H1228" t="s">
        <v>231</v>
      </c>
      <c r="I1228" t="s">
        <v>72</v>
      </c>
    </row>
    <row r="1229" spans="1:9" x14ac:dyDescent="0.25">
      <c r="A1229" t="s">
        <v>231</v>
      </c>
      <c r="B1229" t="s">
        <v>100</v>
      </c>
      <c r="C1229" t="s">
        <v>789</v>
      </c>
      <c r="D1229" s="1">
        <v>45336.609074074076</v>
      </c>
      <c r="E1229" t="s">
        <v>236</v>
      </c>
      <c r="F1229" s="2">
        <v>600.44000000000005</v>
      </c>
      <c r="G1229" t="s">
        <v>74</v>
      </c>
      <c r="H1229" t="s">
        <v>256</v>
      </c>
      <c r="I1229" t="s">
        <v>257</v>
      </c>
    </row>
    <row r="1230" spans="1:9" x14ac:dyDescent="0.25">
      <c r="A1230" t="s">
        <v>231</v>
      </c>
      <c r="B1230" t="s">
        <v>100</v>
      </c>
      <c r="C1230" t="s">
        <v>789</v>
      </c>
      <c r="D1230" s="1">
        <v>45335.17465277778</v>
      </c>
      <c r="E1230" t="s">
        <v>241</v>
      </c>
      <c r="F1230" s="2">
        <v>-77.290000000000006</v>
      </c>
      <c r="G1230" t="s">
        <v>70</v>
      </c>
      <c r="H1230" t="s">
        <v>231</v>
      </c>
      <c r="I1230" t="s">
        <v>72</v>
      </c>
    </row>
    <row r="1231" spans="1:9" x14ac:dyDescent="0.25">
      <c r="A1231" t="s">
        <v>231</v>
      </c>
      <c r="B1231" t="s">
        <v>100</v>
      </c>
      <c r="C1231" t="s">
        <v>789</v>
      </c>
      <c r="D1231" s="1">
        <v>45330</v>
      </c>
      <c r="E1231" t="s">
        <v>790</v>
      </c>
      <c r="F1231" s="2">
        <v>-395.04</v>
      </c>
      <c r="G1231" t="s">
        <v>70</v>
      </c>
      <c r="H1231" t="s">
        <v>231</v>
      </c>
      <c r="I1231" t="s">
        <v>72</v>
      </c>
    </row>
    <row r="1232" spans="1:9" x14ac:dyDescent="0.25">
      <c r="A1232" t="s">
        <v>231</v>
      </c>
      <c r="B1232" t="s">
        <v>100</v>
      </c>
      <c r="C1232" t="s">
        <v>789</v>
      </c>
      <c r="D1232" s="1">
        <v>45330</v>
      </c>
      <c r="E1232" t="s">
        <v>791</v>
      </c>
      <c r="F1232" s="2">
        <v>-6.25</v>
      </c>
      <c r="G1232" t="s">
        <v>70</v>
      </c>
      <c r="H1232" t="s">
        <v>231</v>
      </c>
      <c r="I1232" t="s">
        <v>72</v>
      </c>
    </row>
    <row r="1233" spans="1:9" x14ac:dyDescent="0.25">
      <c r="A1233" t="s">
        <v>231</v>
      </c>
      <c r="B1233" t="s">
        <v>100</v>
      </c>
      <c r="C1233" t="s">
        <v>789</v>
      </c>
      <c r="D1233" s="1">
        <v>45330</v>
      </c>
      <c r="E1233" t="s">
        <v>792</v>
      </c>
      <c r="F1233" s="2">
        <v>-133.86000000000001</v>
      </c>
      <c r="G1233" t="s">
        <v>70</v>
      </c>
      <c r="H1233" t="s">
        <v>231</v>
      </c>
      <c r="I1233" t="s">
        <v>72</v>
      </c>
    </row>
    <row r="1234" spans="1:9" x14ac:dyDescent="0.25">
      <c r="A1234" t="s">
        <v>231</v>
      </c>
      <c r="B1234" t="s">
        <v>100</v>
      </c>
      <c r="C1234" t="s">
        <v>789</v>
      </c>
      <c r="D1234" s="1">
        <v>45328.175451388888</v>
      </c>
      <c r="E1234" t="s">
        <v>242</v>
      </c>
      <c r="F1234" s="2">
        <v>-92.66</v>
      </c>
      <c r="G1234" t="s">
        <v>70</v>
      </c>
      <c r="H1234" t="s">
        <v>231</v>
      </c>
      <c r="I1234" t="s">
        <v>72</v>
      </c>
    </row>
    <row r="1235" spans="1:9" x14ac:dyDescent="0.25">
      <c r="A1235" t="s">
        <v>231</v>
      </c>
      <c r="B1235" t="s">
        <v>100</v>
      </c>
      <c r="C1235" t="s">
        <v>789</v>
      </c>
      <c r="D1235" s="1">
        <v>45328.174513888887</v>
      </c>
      <c r="E1235" t="s">
        <v>243</v>
      </c>
      <c r="F1235" s="2">
        <v>-20.71</v>
      </c>
      <c r="G1235" t="s">
        <v>70</v>
      </c>
      <c r="H1235" t="s">
        <v>231</v>
      </c>
      <c r="I1235" t="s">
        <v>72</v>
      </c>
    </row>
    <row r="1236" spans="1:9" x14ac:dyDescent="0.25">
      <c r="A1236" t="s">
        <v>231</v>
      </c>
      <c r="B1236" t="s">
        <v>100</v>
      </c>
      <c r="C1236" t="s">
        <v>789</v>
      </c>
      <c r="D1236" s="1">
        <v>45329.683599537035</v>
      </c>
      <c r="E1236" t="s">
        <v>234</v>
      </c>
      <c r="F1236" s="2">
        <v>-297.38</v>
      </c>
      <c r="G1236" t="s">
        <v>70</v>
      </c>
      <c r="H1236" t="s">
        <v>231</v>
      </c>
      <c r="I1236" t="s">
        <v>72</v>
      </c>
    </row>
    <row r="1237" spans="1:9" x14ac:dyDescent="0.25">
      <c r="A1237" t="s">
        <v>231</v>
      </c>
      <c r="B1237" t="s">
        <v>100</v>
      </c>
      <c r="C1237" t="s">
        <v>789</v>
      </c>
      <c r="D1237" s="1">
        <v>45329.567326388889</v>
      </c>
      <c r="E1237" t="s">
        <v>236</v>
      </c>
      <c r="F1237" s="2">
        <v>1535.78</v>
      </c>
      <c r="G1237" t="s">
        <v>74</v>
      </c>
      <c r="H1237" t="s">
        <v>256</v>
      </c>
      <c r="I1237" t="s">
        <v>257</v>
      </c>
    </row>
    <row r="1238" spans="1:9" x14ac:dyDescent="0.25">
      <c r="A1238" t="s">
        <v>231</v>
      </c>
      <c r="B1238" t="s">
        <v>100</v>
      </c>
      <c r="C1238" t="s">
        <v>789</v>
      </c>
      <c r="D1238" s="1">
        <v>45326.171354166669</v>
      </c>
      <c r="E1238" t="s">
        <v>245</v>
      </c>
      <c r="F1238" s="2">
        <v>-11.4</v>
      </c>
      <c r="G1238" t="s">
        <v>70</v>
      </c>
      <c r="H1238" t="s">
        <v>231</v>
      </c>
      <c r="I1238" t="s">
        <v>72</v>
      </c>
    </row>
    <row r="1239" spans="1:9" x14ac:dyDescent="0.25">
      <c r="A1239" t="s">
        <v>231</v>
      </c>
      <c r="B1239" t="s">
        <v>100</v>
      </c>
      <c r="C1239" t="s">
        <v>789</v>
      </c>
      <c r="D1239" s="1">
        <v>45326.171226851853</v>
      </c>
      <c r="E1239" t="s">
        <v>246</v>
      </c>
      <c r="F1239" s="2">
        <v>-18.829999999999998</v>
      </c>
      <c r="G1239" t="s">
        <v>70</v>
      </c>
      <c r="H1239" t="s">
        <v>231</v>
      </c>
      <c r="I1239" t="s">
        <v>72</v>
      </c>
    </row>
    <row r="1240" spans="1:9" x14ac:dyDescent="0.25">
      <c r="A1240" t="s">
        <v>231</v>
      </c>
      <c r="B1240" t="s">
        <v>100</v>
      </c>
      <c r="C1240" t="s">
        <v>789</v>
      </c>
      <c r="D1240" s="1">
        <v>45323</v>
      </c>
      <c r="E1240" t="s">
        <v>790</v>
      </c>
      <c r="F1240" s="2">
        <v>-534.02</v>
      </c>
      <c r="G1240" t="s">
        <v>70</v>
      </c>
      <c r="H1240" t="s">
        <v>231</v>
      </c>
      <c r="I1240" t="s">
        <v>72</v>
      </c>
    </row>
    <row r="1241" spans="1:9" x14ac:dyDescent="0.25">
      <c r="A1241" t="s">
        <v>231</v>
      </c>
      <c r="B1241" t="s">
        <v>100</v>
      </c>
      <c r="C1241" t="s">
        <v>789</v>
      </c>
      <c r="D1241" s="1">
        <v>45323</v>
      </c>
      <c r="E1241" t="s">
        <v>791</v>
      </c>
      <c r="F1241" s="2">
        <v>-492.13</v>
      </c>
      <c r="G1241" t="s">
        <v>70</v>
      </c>
      <c r="H1241" t="s">
        <v>231</v>
      </c>
      <c r="I1241" t="s">
        <v>72</v>
      </c>
    </row>
    <row r="1242" spans="1:9" x14ac:dyDescent="0.25">
      <c r="A1242" t="s">
        <v>231</v>
      </c>
      <c r="B1242" t="s">
        <v>100</v>
      </c>
      <c r="C1242" t="s">
        <v>789</v>
      </c>
      <c r="D1242" s="1">
        <v>45323</v>
      </c>
      <c r="E1242" t="s">
        <v>792</v>
      </c>
      <c r="F1242" s="2">
        <v>-220.01</v>
      </c>
      <c r="G1242" t="s">
        <v>70</v>
      </c>
      <c r="H1242" t="s">
        <v>231</v>
      </c>
      <c r="I1242" t="s">
        <v>72</v>
      </c>
    </row>
    <row r="1243" spans="1:9" x14ac:dyDescent="0.25">
      <c r="A1243" t="s">
        <v>231</v>
      </c>
      <c r="B1243" t="s">
        <v>100</v>
      </c>
      <c r="C1243" t="s">
        <v>789</v>
      </c>
      <c r="D1243" s="1">
        <v>45322.781006944446</v>
      </c>
      <c r="E1243" t="s">
        <v>234</v>
      </c>
      <c r="F1243" s="2">
        <v>-1100.9100000000001</v>
      </c>
      <c r="G1243" t="s">
        <v>70</v>
      </c>
      <c r="H1243" t="s">
        <v>231</v>
      </c>
      <c r="I1243" t="s">
        <v>72</v>
      </c>
    </row>
    <row r="1244" spans="1:9" x14ac:dyDescent="0.25">
      <c r="A1244" t="s">
        <v>231</v>
      </c>
      <c r="B1244" t="s">
        <v>100</v>
      </c>
      <c r="C1244" t="s">
        <v>789</v>
      </c>
      <c r="D1244" s="1">
        <v>45322.780856481484</v>
      </c>
      <c r="E1244" t="s">
        <v>244</v>
      </c>
      <c r="F1244" s="2">
        <v>-170.18</v>
      </c>
      <c r="G1244" t="s">
        <v>70</v>
      </c>
      <c r="H1244" t="s">
        <v>231</v>
      </c>
      <c r="I1244" t="s">
        <v>72</v>
      </c>
    </row>
    <row r="1245" spans="1:9" x14ac:dyDescent="0.25">
      <c r="A1245" t="s">
        <v>231</v>
      </c>
      <c r="B1245" t="s">
        <v>100</v>
      </c>
      <c r="C1245" t="s">
        <v>789</v>
      </c>
      <c r="D1245" s="1">
        <v>45322.567476851851</v>
      </c>
      <c r="E1245" t="s">
        <v>236</v>
      </c>
      <c r="F1245" s="2">
        <v>1691.62</v>
      </c>
      <c r="G1245" t="s">
        <v>74</v>
      </c>
      <c r="H1245" t="s">
        <v>256</v>
      </c>
      <c r="I1245" t="s">
        <v>257</v>
      </c>
    </row>
    <row r="1246" spans="1:9" x14ac:dyDescent="0.25">
      <c r="A1246" t="s">
        <v>231</v>
      </c>
      <c r="B1246" t="s">
        <v>100</v>
      </c>
      <c r="C1246" t="s">
        <v>789</v>
      </c>
      <c r="D1246" s="1">
        <v>45319.172511574077</v>
      </c>
      <c r="E1246" t="s">
        <v>233</v>
      </c>
      <c r="F1246" s="2">
        <v>-13.4</v>
      </c>
      <c r="G1246" t="s">
        <v>70</v>
      </c>
      <c r="H1246" t="s">
        <v>231</v>
      </c>
      <c r="I1246" t="s">
        <v>72</v>
      </c>
    </row>
    <row r="1247" spans="1:9" x14ac:dyDescent="0.25">
      <c r="A1247" t="s">
        <v>231</v>
      </c>
      <c r="B1247" t="s">
        <v>100</v>
      </c>
      <c r="C1247" t="s">
        <v>789</v>
      </c>
      <c r="D1247" s="1">
        <v>45316</v>
      </c>
      <c r="E1247" t="s">
        <v>790</v>
      </c>
      <c r="F1247" s="2">
        <v>-214.97</v>
      </c>
      <c r="G1247" t="s">
        <v>70</v>
      </c>
      <c r="H1247" t="s">
        <v>231</v>
      </c>
      <c r="I1247" t="s">
        <v>72</v>
      </c>
    </row>
    <row r="1248" spans="1:9" x14ac:dyDescent="0.25">
      <c r="A1248" t="s">
        <v>231</v>
      </c>
      <c r="B1248" t="s">
        <v>100</v>
      </c>
      <c r="C1248" t="s">
        <v>789</v>
      </c>
      <c r="D1248" s="1">
        <v>45316</v>
      </c>
      <c r="E1248" t="s">
        <v>791</v>
      </c>
      <c r="F1248" s="2">
        <v>-445.69</v>
      </c>
      <c r="G1248" t="s">
        <v>70</v>
      </c>
      <c r="H1248" t="s">
        <v>231</v>
      </c>
      <c r="I1248" t="s">
        <v>72</v>
      </c>
    </row>
    <row r="1249" spans="1:9" x14ac:dyDescent="0.25">
      <c r="A1249" t="s">
        <v>231</v>
      </c>
      <c r="B1249" t="s">
        <v>100</v>
      </c>
      <c r="C1249" t="s">
        <v>789</v>
      </c>
      <c r="D1249" s="1">
        <v>45316</v>
      </c>
      <c r="E1249" t="s">
        <v>792</v>
      </c>
      <c r="F1249" s="2">
        <v>-341.98</v>
      </c>
      <c r="G1249" t="s">
        <v>70</v>
      </c>
      <c r="H1249" t="s">
        <v>231</v>
      </c>
      <c r="I1249" t="s">
        <v>72</v>
      </c>
    </row>
    <row r="1250" spans="1:9" x14ac:dyDescent="0.25">
      <c r="A1250" t="s">
        <v>231</v>
      </c>
      <c r="B1250" t="s">
        <v>100</v>
      </c>
      <c r="C1250" t="s">
        <v>789</v>
      </c>
      <c r="D1250" s="1">
        <v>45315.172685185185</v>
      </c>
      <c r="E1250" t="s">
        <v>232</v>
      </c>
      <c r="F1250" s="2">
        <v>-16.190000000000001</v>
      </c>
      <c r="G1250" t="s">
        <v>70</v>
      </c>
      <c r="H1250" t="s">
        <v>231</v>
      </c>
      <c r="I1250" t="s">
        <v>72</v>
      </c>
    </row>
    <row r="1251" spans="1:9" x14ac:dyDescent="0.25">
      <c r="A1251" t="s">
        <v>231</v>
      </c>
      <c r="B1251" t="s">
        <v>100</v>
      </c>
      <c r="C1251" t="s">
        <v>789</v>
      </c>
      <c r="D1251" s="1">
        <v>45315.758576388886</v>
      </c>
      <c r="E1251" t="s">
        <v>234</v>
      </c>
      <c r="F1251" s="2">
        <v>-474.44</v>
      </c>
      <c r="G1251" t="s">
        <v>70</v>
      </c>
      <c r="H1251" t="s">
        <v>231</v>
      </c>
      <c r="I1251" t="s">
        <v>72</v>
      </c>
    </row>
    <row r="1252" spans="1:9" x14ac:dyDescent="0.25">
      <c r="A1252" t="s">
        <v>231</v>
      </c>
      <c r="B1252" t="s">
        <v>100</v>
      </c>
      <c r="C1252" t="s">
        <v>789</v>
      </c>
      <c r="D1252" s="1">
        <v>45315.75880787037</v>
      </c>
      <c r="E1252" t="s">
        <v>244</v>
      </c>
      <c r="F1252" s="2">
        <v>-49.35</v>
      </c>
      <c r="G1252" t="s">
        <v>70</v>
      </c>
      <c r="H1252" t="s">
        <v>231</v>
      </c>
      <c r="I1252" t="s">
        <v>72</v>
      </c>
    </row>
    <row r="1253" spans="1:9" x14ac:dyDescent="0.25">
      <c r="A1253" t="s">
        <v>231</v>
      </c>
      <c r="B1253" t="s">
        <v>100</v>
      </c>
      <c r="C1253" t="s">
        <v>789</v>
      </c>
      <c r="D1253" s="1">
        <v>45315.65121527778</v>
      </c>
      <c r="E1253" t="s">
        <v>236</v>
      </c>
      <c r="F1253" s="2">
        <v>2442.5500000000002</v>
      </c>
      <c r="G1253" t="s">
        <v>74</v>
      </c>
      <c r="H1253" t="s">
        <v>256</v>
      </c>
      <c r="I1253" t="s">
        <v>257</v>
      </c>
    </row>
    <row r="1254" spans="1:9" x14ac:dyDescent="0.25">
      <c r="A1254" t="s">
        <v>231</v>
      </c>
      <c r="B1254" t="s">
        <v>100</v>
      </c>
      <c r="C1254" t="s">
        <v>789</v>
      </c>
      <c r="D1254" s="1">
        <v>45311.17386574074</v>
      </c>
      <c r="E1254" t="s">
        <v>235</v>
      </c>
      <c r="F1254" s="2">
        <v>-143.88</v>
      </c>
      <c r="G1254" t="s">
        <v>70</v>
      </c>
      <c r="H1254" t="s">
        <v>231</v>
      </c>
      <c r="I1254" t="s">
        <v>72</v>
      </c>
    </row>
    <row r="1255" spans="1:9" x14ac:dyDescent="0.25">
      <c r="A1255" t="s">
        <v>231</v>
      </c>
      <c r="B1255" t="s">
        <v>100</v>
      </c>
      <c r="C1255" t="s">
        <v>789</v>
      </c>
      <c r="D1255" s="1">
        <v>45310.174212962964</v>
      </c>
      <c r="E1255" t="s">
        <v>240</v>
      </c>
      <c r="F1255" s="2">
        <v>-22.52</v>
      </c>
      <c r="G1255" t="s">
        <v>70</v>
      </c>
      <c r="H1255" t="s">
        <v>231</v>
      </c>
      <c r="I1255" t="s">
        <v>72</v>
      </c>
    </row>
    <row r="1256" spans="1:9" x14ac:dyDescent="0.25">
      <c r="A1256" t="s">
        <v>231</v>
      </c>
      <c r="B1256" t="s">
        <v>100</v>
      </c>
      <c r="C1256" t="s">
        <v>789</v>
      </c>
      <c r="D1256" s="1">
        <v>45309.177511574075</v>
      </c>
      <c r="E1256" t="s">
        <v>237</v>
      </c>
      <c r="F1256" s="2">
        <v>-158.05000000000001</v>
      </c>
      <c r="G1256" t="s">
        <v>70</v>
      </c>
      <c r="H1256" t="s">
        <v>231</v>
      </c>
      <c r="I1256" t="s">
        <v>72</v>
      </c>
    </row>
    <row r="1257" spans="1:9" x14ac:dyDescent="0.25">
      <c r="A1257" t="s">
        <v>231</v>
      </c>
      <c r="B1257" t="s">
        <v>100</v>
      </c>
      <c r="C1257" t="s">
        <v>789</v>
      </c>
      <c r="D1257" s="1">
        <v>45309.177465277775</v>
      </c>
      <c r="E1257" t="s">
        <v>238</v>
      </c>
      <c r="F1257" s="2">
        <v>-83.26</v>
      </c>
      <c r="G1257" t="s">
        <v>70</v>
      </c>
      <c r="H1257" t="s">
        <v>231</v>
      </c>
      <c r="I1257" t="s">
        <v>72</v>
      </c>
    </row>
    <row r="1258" spans="1:9" x14ac:dyDescent="0.25">
      <c r="A1258" t="s">
        <v>231</v>
      </c>
      <c r="B1258" t="s">
        <v>100</v>
      </c>
      <c r="C1258" t="s">
        <v>789</v>
      </c>
      <c r="D1258" s="1">
        <v>45309.177418981482</v>
      </c>
      <c r="E1258" t="s">
        <v>239</v>
      </c>
      <c r="F1258" s="2">
        <v>-129.33000000000001</v>
      </c>
      <c r="G1258" t="s">
        <v>70</v>
      </c>
      <c r="H1258" t="s">
        <v>231</v>
      </c>
      <c r="I1258" t="s">
        <v>72</v>
      </c>
    </row>
    <row r="1259" spans="1:9" x14ac:dyDescent="0.25">
      <c r="A1259" t="s">
        <v>231</v>
      </c>
      <c r="B1259" t="s">
        <v>100</v>
      </c>
      <c r="C1259" t="s">
        <v>789</v>
      </c>
      <c r="D1259" s="1">
        <v>45309</v>
      </c>
      <c r="E1259" t="s">
        <v>790</v>
      </c>
      <c r="F1259" s="2">
        <v>-149.85</v>
      </c>
      <c r="G1259" t="s">
        <v>70</v>
      </c>
      <c r="H1259" t="s">
        <v>231</v>
      </c>
      <c r="I1259" t="s">
        <v>72</v>
      </c>
    </row>
    <row r="1260" spans="1:9" x14ac:dyDescent="0.25">
      <c r="A1260" t="s">
        <v>231</v>
      </c>
      <c r="B1260" t="s">
        <v>100</v>
      </c>
      <c r="C1260" t="s">
        <v>789</v>
      </c>
      <c r="D1260" s="1">
        <v>45309</v>
      </c>
      <c r="E1260" t="s">
        <v>791</v>
      </c>
      <c r="F1260" s="2">
        <v>-49.51</v>
      </c>
      <c r="G1260" t="s">
        <v>70</v>
      </c>
      <c r="H1260" t="s">
        <v>231</v>
      </c>
      <c r="I1260" t="s">
        <v>72</v>
      </c>
    </row>
    <row r="1261" spans="1:9" x14ac:dyDescent="0.25">
      <c r="A1261" t="s">
        <v>231</v>
      </c>
      <c r="B1261" t="s">
        <v>100</v>
      </c>
      <c r="C1261" t="s">
        <v>789</v>
      </c>
      <c r="D1261" s="1">
        <v>45309</v>
      </c>
      <c r="E1261" t="s">
        <v>792</v>
      </c>
      <c r="F1261" s="2">
        <v>-361.62</v>
      </c>
      <c r="G1261" t="s">
        <v>70</v>
      </c>
      <c r="H1261" t="s">
        <v>231</v>
      </c>
      <c r="I1261" t="s">
        <v>72</v>
      </c>
    </row>
    <row r="1262" spans="1:9" x14ac:dyDescent="0.25">
      <c r="A1262" t="s">
        <v>231</v>
      </c>
      <c r="B1262" t="s">
        <v>100</v>
      </c>
      <c r="C1262" t="s">
        <v>789</v>
      </c>
      <c r="D1262" s="1">
        <v>45308.618206018517</v>
      </c>
      <c r="E1262" t="s">
        <v>234</v>
      </c>
      <c r="F1262" s="2">
        <v>-807.55</v>
      </c>
      <c r="G1262" t="s">
        <v>70</v>
      </c>
      <c r="H1262" t="s">
        <v>231</v>
      </c>
      <c r="I1262" t="s">
        <v>72</v>
      </c>
    </row>
    <row r="1263" spans="1:9" x14ac:dyDescent="0.25">
      <c r="A1263" t="s">
        <v>231</v>
      </c>
      <c r="B1263" t="s">
        <v>100</v>
      </c>
      <c r="C1263" t="s">
        <v>789</v>
      </c>
      <c r="D1263" s="1">
        <v>45308.609027777777</v>
      </c>
      <c r="E1263" t="s">
        <v>236</v>
      </c>
      <c r="F1263" s="2">
        <v>2611.19</v>
      </c>
      <c r="G1263" t="s">
        <v>74</v>
      </c>
      <c r="H1263" t="s">
        <v>256</v>
      </c>
      <c r="I1263" t="s">
        <v>257</v>
      </c>
    </row>
    <row r="1264" spans="1:9" x14ac:dyDescent="0.25">
      <c r="A1264" t="s">
        <v>231</v>
      </c>
      <c r="B1264" t="s">
        <v>100</v>
      </c>
      <c r="C1264" t="s">
        <v>789</v>
      </c>
      <c r="D1264" s="1">
        <v>45304.171956018516</v>
      </c>
      <c r="E1264" t="s">
        <v>241</v>
      </c>
      <c r="F1264" s="2">
        <v>-8.51</v>
      </c>
      <c r="G1264" t="s">
        <v>70</v>
      </c>
      <c r="H1264" t="s">
        <v>231</v>
      </c>
      <c r="I1264" t="s">
        <v>72</v>
      </c>
    </row>
    <row r="1265" spans="1:9" x14ac:dyDescent="0.25">
      <c r="A1265" t="s">
        <v>231</v>
      </c>
      <c r="B1265" t="s">
        <v>100</v>
      </c>
      <c r="C1265" t="s">
        <v>789</v>
      </c>
      <c r="D1265" s="1">
        <v>45302</v>
      </c>
      <c r="E1265" t="s">
        <v>790</v>
      </c>
      <c r="F1265" s="2">
        <v>-86.2</v>
      </c>
      <c r="G1265" t="s">
        <v>70</v>
      </c>
      <c r="H1265" t="s">
        <v>231</v>
      </c>
      <c r="I1265" t="s">
        <v>72</v>
      </c>
    </row>
    <row r="1266" spans="1:9" x14ac:dyDescent="0.25">
      <c r="A1266" t="s">
        <v>231</v>
      </c>
      <c r="B1266" t="s">
        <v>100</v>
      </c>
      <c r="C1266" t="s">
        <v>789</v>
      </c>
      <c r="D1266" s="1">
        <v>45302</v>
      </c>
      <c r="E1266" t="s">
        <v>791</v>
      </c>
      <c r="F1266" s="2">
        <v>-168.75</v>
      </c>
      <c r="G1266" t="s">
        <v>70</v>
      </c>
      <c r="H1266" t="s">
        <v>231</v>
      </c>
      <c r="I1266" t="s">
        <v>72</v>
      </c>
    </row>
    <row r="1267" spans="1:9" x14ac:dyDescent="0.25">
      <c r="A1267" t="s">
        <v>231</v>
      </c>
      <c r="B1267" t="s">
        <v>100</v>
      </c>
      <c r="C1267" t="s">
        <v>789</v>
      </c>
      <c r="D1267" s="1">
        <v>45302</v>
      </c>
      <c r="E1267" t="s">
        <v>792</v>
      </c>
      <c r="F1267" s="2">
        <v>-133.99</v>
      </c>
      <c r="G1267" t="s">
        <v>70</v>
      </c>
      <c r="H1267" t="s">
        <v>231</v>
      </c>
      <c r="I1267" t="s">
        <v>72</v>
      </c>
    </row>
    <row r="1268" spans="1:9" x14ac:dyDescent="0.25">
      <c r="A1268" t="s">
        <v>231</v>
      </c>
      <c r="B1268" t="s">
        <v>100</v>
      </c>
      <c r="C1268" t="s">
        <v>789</v>
      </c>
      <c r="D1268" s="1">
        <v>45302.478275462963</v>
      </c>
      <c r="E1268" t="s">
        <v>234</v>
      </c>
      <c r="F1268" s="2">
        <v>-192.03</v>
      </c>
      <c r="G1268" t="s">
        <v>70</v>
      </c>
      <c r="H1268" t="s">
        <v>231</v>
      </c>
      <c r="I1268" t="s">
        <v>72</v>
      </c>
    </row>
    <row r="1269" spans="1:9" x14ac:dyDescent="0.25">
      <c r="A1269" t="s">
        <v>231</v>
      </c>
      <c r="B1269" t="s">
        <v>100</v>
      </c>
      <c r="C1269" t="s">
        <v>789</v>
      </c>
      <c r="D1269" s="1">
        <v>45302.478750000002</v>
      </c>
      <c r="E1269" t="s">
        <v>244</v>
      </c>
      <c r="F1269" s="2">
        <v>-381.73</v>
      </c>
      <c r="G1269" t="s">
        <v>70</v>
      </c>
      <c r="H1269" t="s">
        <v>231</v>
      </c>
      <c r="I1269" t="s">
        <v>72</v>
      </c>
    </row>
    <row r="1270" spans="1:9" x14ac:dyDescent="0.25">
      <c r="A1270" t="s">
        <v>231</v>
      </c>
      <c r="B1270" t="s">
        <v>100</v>
      </c>
      <c r="C1270" t="s">
        <v>789</v>
      </c>
      <c r="D1270" s="1">
        <v>45301.671342592592</v>
      </c>
      <c r="E1270" t="s">
        <v>236</v>
      </c>
      <c r="F1270" s="2">
        <v>3203.62</v>
      </c>
      <c r="G1270" t="s">
        <v>74</v>
      </c>
      <c r="H1270" t="s">
        <v>256</v>
      </c>
      <c r="I1270" t="s">
        <v>257</v>
      </c>
    </row>
    <row r="1271" spans="1:9" x14ac:dyDescent="0.25">
      <c r="A1271" t="s">
        <v>231</v>
      </c>
      <c r="B1271" t="s">
        <v>100</v>
      </c>
      <c r="C1271" t="s">
        <v>789</v>
      </c>
      <c r="D1271" s="1">
        <v>45297.171967592592</v>
      </c>
      <c r="E1271" t="s">
        <v>242</v>
      </c>
      <c r="F1271" s="2">
        <v>-128.84</v>
      </c>
      <c r="G1271" t="s">
        <v>70</v>
      </c>
      <c r="H1271" t="s">
        <v>231</v>
      </c>
      <c r="I1271" t="s">
        <v>72</v>
      </c>
    </row>
    <row r="1272" spans="1:9" x14ac:dyDescent="0.25">
      <c r="A1272" t="s">
        <v>231</v>
      </c>
      <c r="B1272" t="s">
        <v>100</v>
      </c>
      <c r="C1272" t="s">
        <v>789</v>
      </c>
      <c r="D1272" s="1">
        <v>45297.171782407408</v>
      </c>
      <c r="E1272" t="s">
        <v>243</v>
      </c>
      <c r="F1272" s="2">
        <v>-15.7</v>
      </c>
      <c r="G1272" t="s">
        <v>70</v>
      </c>
      <c r="H1272" t="s">
        <v>231</v>
      </c>
      <c r="I1272" t="s">
        <v>72</v>
      </c>
    </row>
    <row r="1273" spans="1:9" x14ac:dyDescent="0.25">
      <c r="A1273" t="s">
        <v>231</v>
      </c>
      <c r="B1273" t="s">
        <v>100</v>
      </c>
      <c r="C1273" t="s">
        <v>789</v>
      </c>
      <c r="D1273" s="1">
        <v>45295.176770833335</v>
      </c>
      <c r="E1273" t="s">
        <v>245</v>
      </c>
      <c r="F1273" s="2">
        <v>-17.25</v>
      </c>
      <c r="G1273" t="s">
        <v>70</v>
      </c>
      <c r="H1273" t="s">
        <v>231</v>
      </c>
      <c r="I1273" t="s">
        <v>72</v>
      </c>
    </row>
    <row r="1274" spans="1:9" x14ac:dyDescent="0.25">
      <c r="A1274" t="s">
        <v>231</v>
      </c>
      <c r="B1274" t="s">
        <v>100</v>
      </c>
      <c r="C1274" t="s">
        <v>789</v>
      </c>
      <c r="D1274" s="1">
        <v>45295.175347222219</v>
      </c>
      <c r="E1274" t="s">
        <v>246</v>
      </c>
      <c r="F1274" s="2">
        <v>-25.28</v>
      </c>
      <c r="G1274" t="s">
        <v>70</v>
      </c>
      <c r="H1274" t="s">
        <v>231</v>
      </c>
      <c r="I1274" t="s">
        <v>72</v>
      </c>
    </row>
    <row r="1275" spans="1:9" x14ac:dyDescent="0.25">
      <c r="A1275" t="s">
        <v>231</v>
      </c>
      <c r="B1275" t="s">
        <v>100</v>
      </c>
      <c r="C1275" t="s">
        <v>789</v>
      </c>
      <c r="D1275" s="1">
        <v>45295</v>
      </c>
      <c r="E1275" t="s">
        <v>790</v>
      </c>
      <c r="F1275" s="2">
        <v>-67.73</v>
      </c>
      <c r="G1275" t="s">
        <v>70</v>
      </c>
      <c r="H1275" t="s">
        <v>231</v>
      </c>
      <c r="I1275" t="s">
        <v>72</v>
      </c>
    </row>
    <row r="1276" spans="1:9" x14ac:dyDescent="0.25">
      <c r="A1276" t="s">
        <v>231</v>
      </c>
      <c r="B1276" t="s">
        <v>100</v>
      </c>
      <c r="C1276" t="s">
        <v>789</v>
      </c>
      <c r="D1276" s="1">
        <v>45295</v>
      </c>
      <c r="E1276" t="s">
        <v>791</v>
      </c>
      <c r="F1276" s="2">
        <v>-63.51</v>
      </c>
      <c r="G1276" t="s">
        <v>70</v>
      </c>
      <c r="H1276" t="s">
        <v>231</v>
      </c>
      <c r="I1276" t="s">
        <v>72</v>
      </c>
    </row>
    <row r="1277" spans="1:9" x14ac:dyDescent="0.25">
      <c r="A1277" t="s">
        <v>231</v>
      </c>
      <c r="B1277" t="s">
        <v>100</v>
      </c>
      <c r="C1277" t="s">
        <v>789</v>
      </c>
      <c r="D1277" s="1">
        <v>45295</v>
      </c>
      <c r="E1277" t="s">
        <v>792</v>
      </c>
      <c r="F1277" s="2">
        <v>-131.38</v>
      </c>
      <c r="G1277" t="s">
        <v>70</v>
      </c>
      <c r="H1277" t="s">
        <v>231</v>
      </c>
      <c r="I1277" t="s">
        <v>72</v>
      </c>
    </row>
    <row r="1278" spans="1:9" x14ac:dyDescent="0.25">
      <c r="A1278" t="s">
        <v>231</v>
      </c>
      <c r="B1278" t="s">
        <v>100</v>
      </c>
      <c r="C1278" t="s">
        <v>789</v>
      </c>
      <c r="D1278" s="1">
        <v>45291.173206018517</v>
      </c>
      <c r="E1278" t="s">
        <v>233</v>
      </c>
      <c r="F1278" s="2">
        <v>-0.65</v>
      </c>
      <c r="G1278" t="s">
        <v>70</v>
      </c>
      <c r="H1278" t="s">
        <v>231</v>
      </c>
      <c r="I1278" t="s">
        <v>72</v>
      </c>
    </row>
    <row r="1279" spans="1:9" x14ac:dyDescent="0.25">
      <c r="A1279" t="s">
        <v>231</v>
      </c>
      <c r="B1279" t="s">
        <v>100</v>
      </c>
      <c r="C1279" t="s">
        <v>789</v>
      </c>
      <c r="D1279" s="1">
        <v>45290.362256944441</v>
      </c>
      <c r="E1279" t="s">
        <v>234</v>
      </c>
      <c r="F1279" s="2">
        <v>-1295.83</v>
      </c>
      <c r="G1279" t="s">
        <v>70</v>
      </c>
      <c r="H1279" t="s">
        <v>231</v>
      </c>
      <c r="I1279" t="s">
        <v>72</v>
      </c>
    </row>
    <row r="1280" spans="1:9" x14ac:dyDescent="0.25">
      <c r="A1280" t="s">
        <v>231</v>
      </c>
      <c r="B1280" t="s">
        <v>100</v>
      </c>
      <c r="C1280" t="s">
        <v>789</v>
      </c>
      <c r="D1280" s="1">
        <v>45294.712222222224</v>
      </c>
      <c r="E1280" t="s">
        <v>234</v>
      </c>
      <c r="F1280" s="2">
        <v>-89.63</v>
      </c>
      <c r="G1280" t="s">
        <v>70</v>
      </c>
      <c r="H1280" t="s">
        <v>231</v>
      </c>
      <c r="I1280" t="s">
        <v>72</v>
      </c>
    </row>
    <row r="1281" spans="1:9" x14ac:dyDescent="0.25">
      <c r="A1281" t="s">
        <v>231</v>
      </c>
      <c r="B1281" t="s">
        <v>100</v>
      </c>
      <c r="C1281" t="s">
        <v>789</v>
      </c>
      <c r="D1281" s="1">
        <v>45294.712071759262</v>
      </c>
      <c r="E1281" t="s">
        <v>244</v>
      </c>
      <c r="F1281" s="2">
        <v>-153.43</v>
      </c>
      <c r="G1281" t="s">
        <v>70</v>
      </c>
      <c r="H1281" t="s">
        <v>231</v>
      </c>
      <c r="I1281" t="s">
        <v>72</v>
      </c>
    </row>
    <row r="1282" spans="1:9" x14ac:dyDescent="0.25">
      <c r="A1282" t="s">
        <v>231</v>
      </c>
      <c r="B1282" t="s">
        <v>100</v>
      </c>
      <c r="C1282" t="s">
        <v>789</v>
      </c>
      <c r="D1282" s="1">
        <v>45291.398865740739</v>
      </c>
      <c r="E1282" t="s">
        <v>234</v>
      </c>
      <c r="F1282" s="2">
        <v>-36.880000000000003</v>
      </c>
      <c r="G1282" t="s">
        <v>70</v>
      </c>
      <c r="H1282" t="s">
        <v>231</v>
      </c>
      <c r="I1282" t="s">
        <v>72</v>
      </c>
    </row>
    <row r="1283" spans="1:9" x14ac:dyDescent="0.25">
      <c r="A1283" t="s">
        <v>231</v>
      </c>
      <c r="B1283" t="s">
        <v>100</v>
      </c>
      <c r="C1283" t="s">
        <v>789</v>
      </c>
      <c r="D1283" s="1">
        <v>45294.65042824074</v>
      </c>
      <c r="E1283" t="s">
        <v>236</v>
      </c>
      <c r="F1283" s="2">
        <v>1955.35</v>
      </c>
      <c r="G1283" t="s">
        <v>74</v>
      </c>
      <c r="H1283" t="s">
        <v>256</v>
      </c>
      <c r="I1283" t="s">
        <v>257</v>
      </c>
    </row>
    <row r="1284" spans="1:9" x14ac:dyDescent="0.25">
      <c r="A1284" t="s">
        <v>231</v>
      </c>
      <c r="B1284" t="s">
        <v>100</v>
      </c>
      <c r="C1284" t="s">
        <v>789</v>
      </c>
      <c r="D1284" s="1">
        <v>45288</v>
      </c>
      <c r="E1284" t="s">
        <v>790</v>
      </c>
      <c r="F1284" s="2">
        <v>-16.03</v>
      </c>
      <c r="G1284" t="s">
        <v>70</v>
      </c>
      <c r="H1284" t="s">
        <v>231</v>
      </c>
      <c r="I1284" t="s">
        <v>72</v>
      </c>
    </row>
    <row r="1285" spans="1:9" x14ac:dyDescent="0.25">
      <c r="A1285" t="s">
        <v>231</v>
      </c>
      <c r="B1285" t="s">
        <v>100</v>
      </c>
      <c r="C1285" t="s">
        <v>789</v>
      </c>
      <c r="D1285" s="1">
        <v>45288</v>
      </c>
      <c r="E1285" t="s">
        <v>791</v>
      </c>
      <c r="F1285" s="2">
        <v>-171.56</v>
      </c>
      <c r="G1285" t="s">
        <v>70</v>
      </c>
      <c r="H1285" t="s">
        <v>231</v>
      </c>
      <c r="I1285" t="s">
        <v>72</v>
      </c>
    </row>
    <row r="1286" spans="1:9" x14ac:dyDescent="0.25">
      <c r="A1286" t="s">
        <v>231</v>
      </c>
      <c r="B1286" t="s">
        <v>100</v>
      </c>
      <c r="C1286" t="s">
        <v>789</v>
      </c>
      <c r="D1286" s="1">
        <v>45288</v>
      </c>
      <c r="E1286" t="s">
        <v>792</v>
      </c>
      <c r="F1286" s="2">
        <v>-238.75</v>
      </c>
      <c r="G1286" t="s">
        <v>70</v>
      </c>
      <c r="H1286" t="s">
        <v>231</v>
      </c>
      <c r="I1286" t="s">
        <v>72</v>
      </c>
    </row>
    <row r="1287" spans="1:9" x14ac:dyDescent="0.25">
      <c r="A1287" t="s">
        <v>231</v>
      </c>
      <c r="B1287" t="s">
        <v>100</v>
      </c>
      <c r="C1287" t="s">
        <v>789</v>
      </c>
      <c r="D1287" s="1">
        <v>45284.171307870369</v>
      </c>
      <c r="E1287" t="s">
        <v>232</v>
      </c>
      <c r="F1287" s="2">
        <v>-8.2899999999999991</v>
      </c>
      <c r="G1287" t="s">
        <v>70</v>
      </c>
      <c r="H1287" t="s">
        <v>231</v>
      </c>
      <c r="I1287" t="s">
        <v>72</v>
      </c>
    </row>
    <row r="1288" spans="1:9" x14ac:dyDescent="0.25">
      <c r="A1288" t="s">
        <v>231</v>
      </c>
      <c r="B1288" t="s">
        <v>100</v>
      </c>
      <c r="C1288" t="s">
        <v>789</v>
      </c>
      <c r="D1288" s="1">
        <v>45287.588101851848</v>
      </c>
      <c r="E1288" t="s">
        <v>236</v>
      </c>
      <c r="F1288" s="2">
        <v>1511.63</v>
      </c>
      <c r="G1288" t="s">
        <v>74</v>
      </c>
      <c r="H1288" t="s">
        <v>256</v>
      </c>
      <c r="I1288" t="s">
        <v>257</v>
      </c>
    </row>
    <row r="1289" spans="1:9" x14ac:dyDescent="0.25">
      <c r="A1289" t="s">
        <v>231</v>
      </c>
      <c r="B1289" t="s">
        <v>100</v>
      </c>
      <c r="C1289" t="s">
        <v>789</v>
      </c>
      <c r="D1289" s="1">
        <v>45282.174479166664</v>
      </c>
      <c r="E1289" t="s">
        <v>240</v>
      </c>
      <c r="F1289" s="2">
        <v>-3.37</v>
      </c>
      <c r="G1289" t="s">
        <v>70</v>
      </c>
      <c r="H1289" t="s">
        <v>231</v>
      </c>
      <c r="I1289" t="s">
        <v>72</v>
      </c>
    </row>
    <row r="1290" spans="1:9" x14ac:dyDescent="0.25">
      <c r="A1290" t="s">
        <v>231</v>
      </c>
      <c r="B1290" t="s">
        <v>100</v>
      </c>
      <c r="C1290" t="s">
        <v>789</v>
      </c>
      <c r="D1290" s="1">
        <v>45281</v>
      </c>
      <c r="E1290" t="s">
        <v>790</v>
      </c>
      <c r="F1290" s="2">
        <v>-360.14</v>
      </c>
      <c r="G1290" t="s">
        <v>70</v>
      </c>
      <c r="H1290" t="s">
        <v>231</v>
      </c>
      <c r="I1290" t="s">
        <v>72</v>
      </c>
    </row>
    <row r="1291" spans="1:9" x14ac:dyDescent="0.25">
      <c r="A1291" t="s">
        <v>231</v>
      </c>
      <c r="B1291" t="s">
        <v>100</v>
      </c>
      <c r="C1291" t="s">
        <v>789</v>
      </c>
      <c r="D1291" s="1">
        <v>45281</v>
      </c>
      <c r="E1291" t="s">
        <v>791</v>
      </c>
      <c r="F1291" s="2">
        <v>-279.31</v>
      </c>
      <c r="G1291" t="s">
        <v>70</v>
      </c>
      <c r="H1291" t="s">
        <v>231</v>
      </c>
      <c r="I1291" t="s">
        <v>72</v>
      </c>
    </row>
    <row r="1292" spans="1:9" x14ac:dyDescent="0.25">
      <c r="A1292" t="s">
        <v>231</v>
      </c>
      <c r="B1292" t="s">
        <v>100</v>
      </c>
      <c r="C1292" t="s">
        <v>789</v>
      </c>
      <c r="D1292" s="1">
        <v>45281</v>
      </c>
      <c r="E1292" t="s">
        <v>792</v>
      </c>
      <c r="F1292" s="2">
        <v>-329.28</v>
      </c>
      <c r="G1292" t="s">
        <v>70</v>
      </c>
      <c r="H1292" t="s">
        <v>231</v>
      </c>
      <c r="I1292" t="s">
        <v>72</v>
      </c>
    </row>
    <row r="1293" spans="1:9" x14ac:dyDescent="0.25">
      <c r="A1293" t="s">
        <v>231</v>
      </c>
      <c r="B1293" t="s">
        <v>100</v>
      </c>
      <c r="C1293" t="s">
        <v>789</v>
      </c>
      <c r="D1293" s="1">
        <v>45280.177002314813</v>
      </c>
      <c r="E1293" t="s">
        <v>235</v>
      </c>
      <c r="F1293" s="2">
        <v>-138.37</v>
      </c>
      <c r="G1293" t="s">
        <v>70</v>
      </c>
      <c r="H1293" t="s">
        <v>231</v>
      </c>
      <c r="I1293" t="s">
        <v>72</v>
      </c>
    </row>
    <row r="1294" spans="1:9" x14ac:dyDescent="0.25">
      <c r="A1294" t="s">
        <v>231</v>
      </c>
      <c r="B1294" t="s">
        <v>100</v>
      </c>
      <c r="C1294" t="s">
        <v>789</v>
      </c>
      <c r="D1294" s="1">
        <v>45280.652662037035</v>
      </c>
      <c r="E1294" t="s">
        <v>234</v>
      </c>
      <c r="F1294" s="2">
        <v>-723.29</v>
      </c>
      <c r="G1294" t="s">
        <v>70</v>
      </c>
      <c r="H1294" t="s">
        <v>231</v>
      </c>
      <c r="I1294" t="s">
        <v>72</v>
      </c>
    </row>
    <row r="1295" spans="1:9" x14ac:dyDescent="0.25">
      <c r="A1295" t="s">
        <v>231</v>
      </c>
      <c r="B1295" t="s">
        <v>100</v>
      </c>
      <c r="C1295" t="s">
        <v>789</v>
      </c>
      <c r="D1295" s="1">
        <v>45280.630219907405</v>
      </c>
      <c r="E1295" t="s">
        <v>236</v>
      </c>
      <c r="F1295" s="2">
        <v>1803.09</v>
      </c>
      <c r="G1295" t="s">
        <v>74</v>
      </c>
      <c r="H1295" t="s">
        <v>256</v>
      </c>
      <c r="I1295" t="s">
        <v>257</v>
      </c>
    </row>
    <row r="1296" spans="1:9" x14ac:dyDescent="0.25">
      <c r="A1296" t="s">
        <v>231</v>
      </c>
      <c r="B1296" t="s">
        <v>100</v>
      </c>
      <c r="C1296" t="s">
        <v>789</v>
      </c>
      <c r="D1296" s="1">
        <v>45278.174062500002</v>
      </c>
      <c r="E1296" t="s">
        <v>237</v>
      </c>
      <c r="F1296" s="2">
        <v>-81.87</v>
      </c>
      <c r="G1296" t="s">
        <v>70</v>
      </c>
      <c r="H1296" t="s">
        <v>231</v>
      </c>
      <c r="I1296" t="s">
        <v>72</v>
      </c>
    </row>
    <row r="1297" spans="1:9" x14ac:dyDescent="0.25">
      <c r="A1297" t="s">
        <v>231</v>
      </c>
      <c r="B1297" t="s">
        <v>100</v>
      </c>
      <c r="C1297" t="s">
        <v>789</v>
      </c>
      <c r="D1297" s="1">
        <v>45278.174039351848</v>
      </c>
      <c r="E1297" t="s">
        <v>238</v>
      </c>
      <c r="F1297" s="2">
        <v>-110.71</v>
      </c>
      <c r="G1297" t="s">
        <v>70</v>
      </c>
      <c r="H1297" t="s">
        <v>231</v>
      </c>
      <c r="I1297" t="s">
        <v>72</v>
      </c>
    </row>
    <row r="1298" spans="1:9" x14ac:dyDescent="0.25">
      <c r="A1298" t="s">
        <v>231</v>
      </c>
      <c r="B1298" t="s">
        <v>100</v>
      </c>
      <c r="C1298" t="s">
        <v>789</v>
      </c>
      <c r="D1298" s="1">
        <v>45278.174027777779</v>
      </c>
      <c r="E1298" t="s">
        <v>239</v>
      </c>
      <c r="F1298" s="2">
        <v>-108.69</v>
      </c>
      <c r="G1298" t="s">
        <v>70</v>
      </c>
      <c r="H1298" t="s">
        <v>231</v>
      </c>
      <c r="I1298" t="s">
        <v>72</v>
      </c>
    </row>
    <row r="1299" spans="1:9" x14ac:dyDescent="0.25">
      <c r="A1299" t="s">
        <v>231</v>
      </c>
      <c r="B1299" t="s">
        <v>100</v>
      </c>
      <c r="C1299" t="s">
        <v>789</v>
      </c>
      <c r="D1299" s="1">
        <v>45275.611898148149</v>
      </c>
      <c r="E1299" t="s">
        <v>234</v>
      </c>
      <c r="F1299" s="2">
        <v>-2465.5500000000002</v>
      </c>
      <c r="G1299" t="s">
        <v>70</v>
      </c>
      <c r="H1299" t="s">
        <v>231</v>
      </c>
      <c r="I1299" t="s">
        <v>72</v>
      </c>
    </row>
    <row r="1300" spans="1:9" x14ac:dyDescent="0.25">
      <c r="A1300" t="s">
        <v>231</v>
      </c>
      <c r="B1300" t="s">
        <v>100</v>
      </c>
      <c r="C1300" t="s">
        <v>789</v>
      </c>
      <c r="D1300" s="1">
        <v>45275.587835648148</v>
      </c>
      <c r="E1300" t="s">
        <v>236</v>
      </c>
      <c r="F1300" s="2">
        <v>26.57</v>
      </c>
      <c r="G1300" t="s">
        <v>74</v>
      </c>
      <c r="H1300" t="s">
        <v>256</v>
      </c>
      <c r="I1300" t="s">
        <v>257</v>
      </c>
    </row>
    <row r="1301" spans="1:9" x14ac:dyDescent="0.25">
      <c r="A1301" t="s">
        <v>231</v>
      </c>
      <c r="B1301" t="s">
        <v>100</v>
      </c>
      <c r="C1301" t="s">
        <v>789</v>
      </c>
      <c r="D1301" s="1">
        <v>45274</v>
      </c>
      <c r="E1301" t="s">
        <v>790</v>
      </c>
      <c r="F1301" s="2">
        <v>-357.54</v>
      </c>
      <c r="G1301" t="s">
        <v>70</v>
      </c>
      <c r="H1301" t="s">
        <v>231</v>
      </c>
      <c r="I1301" t="s">
        <v>72</v>
      </c>
    </row>
    <row r="1302" spans="1:9" x14ac:dyDescent="0.25">
      <c r="A1302" t="s">
        <v>231</v>
      </c>
      <c r="B1302" t="s">
        <v>100</v>
      </c>
      <c r="C1302" t="s">
        <v>789</v>
      </c>
      <c r="D1302" s="1">
        <v>45274</v>
      </c>
      <c r="E1302" t="s">
        <v>791</v>
      </c>
      <c r="F1302" s="2">
        <v>-564.77</v>
      </c>
      <c r="G1302" t="s">
        <v>70</v>
      </c>
      <c r="H1302" t="s">
        <v>231</v>
      </c>
      <c r="I1302" t="s">
        <v>72</v>
      </c>
    </row>
    <row r="1303" spans="1:9" x14ac:dyDescent="0.25">
      <c r="A1303" t="s">
        <v>231</v>
      </c>
      <c r="B1303" t="s">
        <v>100</v>
      </c>
      <c r="C1303" t="s">
        <v>789</v>
      </c>
      <c r="D1303" s="1">
        <v>45274</v>
      </c>
      <c r="E1303" t="s">
        <v>792</v>
      </c>
      <c r="F1303" s="2">
        <v>-24.52</v>
      </c>
      <c r="G1303" t="s">
        <v>70</v>
      </c>
      <c r="H1303" t="s">
        <v>231</v>
      </c>
      <c r="I1303" t="s">
        <v>72</v>
      </c>
    </row>
    <row r="1304" spans="1:9" x14ac:dyDescent="0.25">
      <c r="A1304" t="s">
        <v>231</v>
      </c>
      <c r="B1304" t="s">
        <v>100</v>
      </c>
      <c r="C1304" t="s">
        <v>789</v>
      </c>
      <c r="D1304" s="1">
        <v>45273.175000000003</v>
      </c>
      <c r="E1304" t="s">
        <v>241</v>
      </c>
      <c r="F1304" s="2">
        <v>-39.090000000000003</v>
      </c>
      <c r="G1304" t="s">
        <v>70</v>
      </c>
      <c r="H1304" t="s">
        <v>231</v>
      </c>
      <c r="I1304" t="s">
        <v>72</v>
      </c>
    </row>
    <row r="1305" spans="1:9" x14ac:dyDescent="0.25">
      <c r="A1305" t="s">
        <v>231</v>
      </c>
      <c r="B1305" t="s">
        <v>100</v>
      </c>
      <c r="C1305" t="s">
        <v>789</v>
      </c>
      <c r="D1305" s="1">
        <v>45273.639351851853</v>
      </c>
      <c r="E1305" t="s">
        <v>234</v>
      </c>
      <c r="F1305" s="2">
        <v>-1222.8900000000001</v>
      </c>
      <c r="G1305" t="s">
        <v>70</v>
      </c>
      <c r="H1305" t="s">
        <v>231</v>
      </c>
      <c r="I1305" t="s">
        <v>72</v>
      </c>
    </row>
    <row r="1306" spans="1:9" x14ac:dyDescent="0.25">
      <c r="A1306" t="s">
        <v>231</v>
      </c>
      <c r="B1306" t="s">
        <v>100</v>
      </c>
      <c r="C1306" t="s">
        <v>789</v>
      </c>
      <c r="D1306" s="1">
        <v>45273.629872685182</v>
      </c>
      <c r="E1306" t="s">
        <v>236</v>
      </c>
      <c r="F1306" s="2">
        <v>2834.5</v>
      </c>
      <c r="G1306" t="s">
        <v>74</v>
      </c>
      <c r="H1306" t="s">
        <v>256</v>
      </c>
      <c r="I1306" t="s">
        <v>257</v>
      </c>
    </row>
    <row r="1307" spans="1:9" x14ac:dyDescent="0.25">
      <c r="A1307" t="s">
        <v>231</v>
      </c>
      <c r="B1307" t="s">
        <v>100</v>
      </c>
      <c r="C1307" t="s">
        <v>789</v>
      </c>
      <c r="D1307" s="1">
        <v>45267</v>
      </c>
      <c r="E1307" t="s">
        <v>790</v>
      </c>
      <c r="F1307" s="2">
        <v>-513.67999999999995</v>
      </c>
      <c r="G1307" t="s">
        <v>70</v>
      </c>
      <c r="H1307" t="s">
        <v>231</v>
      </c>
      <c r="I1307" t="s">
        <v>72</v>
      </c>
    </row>
    <row r="1308" spans="1:9" x14ac:dyDescent="0.25">
      <c r="A1308" t="s">
        <v>231</v>
      </c>
      <c r="B1308" t="s">
        <v>100</v>
      </c>
      <c r="C1308" t="s">
        <v>789</v>
      </c>
      <c r="D1308" s="1">
        <v>45267</v>
      </c>
      <c r="E1308" t="s">
        <v>791</v>
      </c>
      <c r="F1308" s="2">
        <v>-173.94</v>
      </c>
      <c r="G1308" t="s">
        <v>70</v>
      </c>
      <c r="H1308" t="s">
        <v>231</v>
      </c>
      <c r="I1308" t="s">
        <v>72</v>
      </c>
    </row>
    <row r="1309" spans="1:9" x14ac:dyDescent="0.25">
      <c r="A1309" t="s">
        <v>231</v>
      </c>
      <c r="B1309" t="s">
        <v>100</v>
      </c>
      <c r="C1309" t="s">
        <v>789</v>
      </c>
      <c r="D1309" s="1">
        <v>45267</v>
      </c>
      <c r="E1309" t="s">
        <v>792</v>
      </c>
      <c r="F1309" s="2">
        <v>-211.89</v>
      </c>
      <c r="G1309" t="s">
        <v>70</v>
      </c>
      <c r="H1309" t="s">
        <v>231</v>
      </c>
      <c r="I1309" t="s">
        <v>72</v>
      </c>
    </row>
    <row r="1310" spans="1:9" x14ac:dyDescent="0.25">
      <c r="A1310" t="s">
        <v>231</v>
      </c>
      <c r="B1310" t="s">
        <v>100</v>
      </c>
      <c r="C1310" t="s">
        <v>789</v>
      </c>
      <c r="D1310" s="1">
        <v>45266.174432870372</v>
      </c>
      <c r="E1310" t="s">
        <v>242</v>
      </c>
      <c r="F1310" s="2">
        <v>-9.08</v>
      </c>
      <c r="G1310" t="s">
        <v>70</v>
      </c>
      <c r="H1310" t="s">
        <v>231</v>
      </c>
      <c r="I1310" t="s">
        <v>72</v>
      </c>
    </row>
    <row r="1311" spans="1:9" x14ac:dyDescent="0.25">
      <c r="A1311" t="s">
        <v>231</v>
      </c>
      <c r="B1311" t="s">
        <v>100</v>
      </c>
      <c r="C1311" t="s">
        <v>789</v>
      </c>
      <c r="D1311" s="1">
        <v>45266.172268518516</v>
      </c>
      <c r="E1311" t="s">
        <v>243</v>
      </c>
      <c r="F1311" s="2">
        <v>-10.94</v>
      </c>
      <c r="G1311" t="s">
        <v>70</v>
      </c>
      <c r="H1311" t="s">
        <v>231</v>
      </c>
      <c r="I1311" t="s">
        <v>72</v>
      </c>
    </row>
    <row r="1312" spans="1:9" x14ac:dyDescent="0.25">
      <c r="A1312" t="s">
        <v>231</v>
      </c>
      <c r="B1312" t="s">
        <v>100</v>
      </c>
      <c r="C1312" t="s">
        <v>789</v>
      </c>
      <c r="D1312" s="1">
        <v>45266.886944444443</v>
      </c>
      <c r="E1312" t="s">
        <v>234</v>
      </c>
      <c r="F1312" s="2">
        <v>-777.36</v>
      </c>
      <c r="G1312" t="s">
        <v>70</v>
      </c>
      <c r="H1312" t="s">
        <v>231</v>
      </c>
      <c r="I1312" t="s">
        <v>72</v>
      </c>
    </row>
    <row r="1313" spans="1:9" x14ac:dyDescent="0.25">
      <c r="A1313" t="s">
        <v>231</v>
      </c>
      <c r="B1313" t="s">
        <v>100</v>
      </c>
      <c r="C1313" t="s">
        <v>789</v>
      </c>
      <c r="D1313" s="1">
        <v>45266.681643518517</v>
      </c>
      <c r="E1313" t="s">
        <v>236</v>
      </c>
      <c r="F1313" s="2">
        <v>1505.64</v>
      </c>
      <c r="G1313" t="s">
        <v>74</v>
      </c>
      <c r="H1313" t="s">
        <v>256</v>
      </c>
      <c r="I1313" t="s">
        <v>257</v>
      </c>
    </row>
    <row r="1314" spans="1:9" x14ac:dyDescent="0.25">
      <c r="A1314" t="s">
        <v>231</v>
      </c>
      <c r="B1314" t="s">
        <v>100</v>
      </c>
      <c r="C1314" t="s">
        <v>789</v>
      </c>
      <c r="D1314" s="1">
        <v>45264.173726851855</v>
      </c>
      <c r="E1314" t="s">
        <v>245</v>
      </c>
      <c r="F1314" s="2">
        <v>-47.78</v>
      </c>
      <c r="G1314" t="s">
        <v>70</v>
      </c>
      <c r="H1314" t="s">
        <v>231</v>
      </c>
      <c r="I1314" t="s">
        <v>72</v>
      </c>
    </row>
    <row r="1315" spans="1:9" x14ac:dyDescent="0.25">
      <c r="A1315" t="s">
        <v>231</v>
      </c>
      <c r="B1315" t="s">
        <v>100</v>
      </c>
      <c r="C1315" t="s">
        <v>789</v>
      </c>
      <c r="D1315" s="1">
        <v>45263.172361111108</v>
      </c>
      <c r="E1315" t="s">
        <v>233</v>
      </c>
      <c r="F1315" s="2">
        <v>-22.5</v>
      </c>
      <c r="G1315" t="s">
        <v>70</v>
      </c>
      <c r="H1315" t="s">
        <v>231</v>
      </c>
      <c r="I1315" t="s">
        <v>72</v>
      </c>
    </row>
    <row r="1316" spans="1:9" x14ac:dyDescent="0.25">
      <c r="A1316" t="s">
        <v>231</v>
      </c>
      <c r="B1316" t="s">
        <v>100</v>
      </c>
      <c r="C1316" t="s">
        <v>789</v>
      </c>
      <c r="D1316" s="1">
        <v>45264.173321759263</v>
      </c>
      <c r="E1316" t="s">
        <v>246</v>
      </c>
      <c r="F1316" s="2">
        <v>-7.55</v>
      </c>
      <c r="G1316" t="s">
        <v>70</v>
      </c>
      <c r="H1316" t="s">
        <v>231</v>
      </c>
      <c r="I1316" t="s">
        <v>72</v>
      </c>
    </row>
    <row r="1317" spans="1:9" x14ac:dyDescent="0.25">
      <c r="A1317" t="s">
        <v>231</v>
      </c>
      <c r="B1317" t="s">
        <v>100</v>
      </c>
      <c r="C1317" t="s">
        <v>789</v>
      </c>
      <c r="D1317" s="1">
        <v>45260</v>
      </c>
      <c r="E1317" t="s">
        <v>790</v>
      </c>
      <c r="F1317" s="2">
        <v>-306.02</v>
      </c>
      <c r="G1317" t="s">
        <v>70</v>
      </c>
      <c r="H1317" t="s">
        <v>231</v>
      </c>
      <c r="I1317" t="s">
        <v>72</v>
      </c>
    </row>
    <row r="1318" spans="1:9" x14ac:dyDescent="0.25">
      <c r="A1318" t="s">
        <v>231</v>
      </c>
      <c r="B1318" t="s">
        <v>100</v>
      </c>
      <c r="C1318" t="s">
        <v>789</v>
      </c>
      <c r="D1318" s="1">
        <v>45260</v>
      </c>
      <c r="E1318" t="s">
        <v>791</v>
      </c>
      <c r="F1318" s="2">
        <v>-102.42</v>
      </c>
      <c r="G1318" t="s">
        <v>70</v>
      </c>
      <c r="H1318" t="s">
        <v>231</v>
      </c>
      <c r="I1318" t="s">
        <v>72</v>
      </c>
    </row>
    <row r="1319" spans="1:9" x14ac:dyDescent="0.25">
      <c r="A1319" t="s">
        <v>231</v>
      </c>
      <c r="B1319" t="s">
        <v>100</v>
      </c>
      <c r="C1319" t="s">
        <v>789</v>
      </c>
      <c r="D1319" s="1">
        <v>45260</v>
      </c>
      <c r="E1319" t="s">
        <v>792</v>
      </c>
      <c r="F1319" s="2">
        <v>-172.98</v>
      </c>
      <c r="G1319" t="s">
        <v>70</v>
      </c>
      <c r="H1319" t="s">
        <v>231</v>
      </c>
      <c r="I1319" t="s">
        <v>72</v>
      </c>
    </row>
    <row r="1320" spans="1:9" x14ac:dyDescent="0.25">
      <c r="A1320" t="s">
        <v>231</v>
      </c>
      <c r="B1320" t="s">
        <v>100</v>
      </c>
      <c r="C1320" t="s">
        <v>789</v>
      </c>
      <c r="D1320" s="1">
        <v>45259.707627314812</v>
      </c>
      <c r="E1320" t="s">
        <v>234</v>
      </c>
      <c r="F1320" s="2">
        <v>-892.63</v>
      </c>
      <c r="G1320" t="s">
        <v>70</v>
      </c>
      <c r="H1320" t="s">
        <v>231</v>
      </c>
      <c r="I1320" t="s">
        <v>72</v>
      </c>
    </row>
    <row r="1321" spans="1:9" x14ac:dyDescent="0.25">
      <c r="A1321" t="s">
        <v>231</v>
      </c>
      <c r="B1321" t="s">
        <v>100</v>
      </c>
      <c r="C1321" t="s">
        <v>789</v>
      </c>
      <c r="D1321" s="1">
        <v>45259.707488425927</v>
      </c>
      <c r="E1321" t="s">
        <v>244</v>
      </c>
      <c r="F1321" s="2">
        <v>-93.56</v>
      </c>
      <c r="G1321" t="s">
        <v>70</v>
      </c>
      <c r="H1321" t="s">
        <v>231</v>
      </c>
      <c r="I1321" t="s">
        <v>72</v>
      </c>
    </row>
    <row r="1322" spans="1:9" x14ac:dyDescent="0.25">
      <c r="A1322" t="s">
        <v>231</v>
      </c>
      <c r="B1322" t="s">
        <v>100</v>
      </c>
      <c r="C1322" t="s">
        <v>789</v>
      </c>
      <c r="D1322" s="1">
        <v>45259.65053240741</v>
      </c>
      <c r="E1322" t="s">
        <v>236</v>
      </c>
      <c r="F1322" s="2">
        <v>3170.23</v>
      </c>
      <c r="G1322" t="s">
        <v>74</v>
      </c>
      <c r="H1322" t="s">
        <v>256</v>
      </c>
      <c r="I1322" t="s">
        <v>257</v>
      </c>
    </row>
    <row r="1323" spans="1:9" x14ac:dyDescent="0.25">
      <c r="A1323" t="s">
        <v>231</v>
      </c>
      <c r="B1323" t="s">
        <v>100</v>
      </c>
      <c r="C1323" t="s">
        <v>789</v>
      </c>
      <c r="D1323" s="1">
        <v>45254.173784722225</v>
      </c>
      <c r="E1323" t="s">
        <v>232</v>
      </c>
      <c r="F1323" s="2">
        <v>-2.15</v>
      </c>
      <c r="G1323" t="s">
        <v>70</v>
      </c>
      <c r="H1323" t="s">
        <v>231</v>
      </c>
      <c r="I1323" t="s">
        <v>72</v>
      </c>
    </row>
    <row r="1324" spans="1:9" x14ac:dyDescent="0.25">
      <c r="A1324" t="s">
        <v>231</v>
      </c>
      <c r="B1324" t="s">
        <v>100</v>
      </c>
      <c r="C1324" t="s">
        <v>789</v>
      </c>
      <c r="D1324" s="1">
        <v>45254.173773148148</v>
      </c>
      <c r="E1324" t="s">
        <v>240</v>
      </c>
      <c r="F1324" s="2">
        <v>-7.0000000000000007E-2</v>
      </c>
      <c r="G1324" t="s">
        <v>70</v>
      </c>
      <c r="H1324" t="s">
        <v>231</v>
      </c>
      <c r="I1324" t="s">
        <v>72</v>
      </c>
    </row>
    <row r="1325" spans="1:9" x14ac:dyDescent="0.25">
      <c r="A1325" t="s">
        <v>231</v>
      </c>
      <c r="B1325" t="s">
        <v>100</v>
      </c>
      <c r="C1325" t="s">
        <v>789</v>
      </c>
      <c r="D1325" s="1">
        <v>45253</v>
      </c>
      <c r="E1325" t="s">
        <v>790</v>
      </c>
      <c r="F1325" s="2">
        <v>-33.14</v>
      </c>
      <c r="G1325" t="s">
        <v>70</v>
      </c>
      <c r="H1325" t="s">
        <v>231</v>
      </c>
      <c r="I1325" t="s">
        <v>72</v>
      </c>
    </row>
    <row r="1326" spans="1:9" x14ac:dyDescent="0.25">
      <c r="A1326" t="s">
        <v>231</v>
      </c>
      <c r="B1326" t="s">
        <v>100</v>
      </c>
      <c r="C1326" t="s">
        <v>789</v>
      </c>
      <c r="D1326" s="1">
        <v>45253</v>
      </c>
      <c r="E1326" t="s">
        <v>791</v>
      </c>
      <c r="F1326" s="2">
        <v>-311.31</v>
      </c>
      <c r="G1326" t="s">
        <v>70</v>
      </c>
      <c r="H1326" t="s">
        <v>231</v>
      </c>
      <c r="I1326" t="s">
        <v>72</v>
      </c>
    </row>
    <row r="1327" spans="1:9" x14ac:dyDescent="0.25">
      <c r="A1327" t="s">
        <v>231</v>
      </c>
      <c r="B1327" t="s">
        <v>100</v>
      </c>
      <c r="C1327" t="s">
        <v>789</v>
      </c>
      <c r="D1327" s="1">
        <v>45253</v>
      </c>
      <c r="E1327" t="s">
        <v>792</v>
      </c>
      <c r="F1327" s="2">
        <v>-215.73</v>
      </c>
      <c r="G1327" t="s">
        <v>70</v>
      </c>
      <c r="H1327" t="s">
        <v>231</v>
      </c>
      <c r="I1327" t="s">
        <v>72</v>
      </c>
    </row>
    <row r="1328" spans="1:9" x14ac:dyDescent="0.25">
      <c r="A1328" t="s">
        <v>231</v>
      </c>
      <c r="B1328" t="s">
        <v>100</v>
      </c>
      <c r="C1328" t="s">
        <v>789</v>
      </c>
      <c r="D1328" s="1">
        <v>45252.724953703706</v>
      </c>
      <c r="E1328" t="s">
        <v>234</v>
      </c>
      <c r="F1328" s="2">
        <v>-112.53</v>
      </c>
      <c r="G1328" t="s">
        <v>70</v>
      </c>
      <c r="H1328" t="s">
        <v>231</v>
      </c>
      <c r="I1328" t="s">
        <v>72</v>
      </c>
    </row>
    <row r="1329" spans="1:9" x14ac:dyDescent="0.25">
      <c r="A1329" t="s">
        <v>231</v>
      </c>
      <c r="B1329" t="s">
        <v>100</v>
      </c>
      <c r="C1329" t="s">
        <v>789</v>
      </c>
      <c r="D1329" s="1">
        <v>45252.724756944444</v>
      </c>
      <c r="E1329" t="s">
        <v>244</v>
      </c>
      <c r="F1329" s="2">
        <v>-349.43</v>
      </c>
      <c r="G1329" t="s">
        <v>70</v>
      </c>
      <c r="H1329" t="s">
        <v>231</v>
      </c>
      <c r="I1329" t="s">
        <v>72</v>
      </c>
    </row>
    <row r="1330" spans="1:9" x14ac:dyDescent="0.25">
      <c r="A1330" t="s">
        <v>231</v>
      </c>
      <c r="B1330" t="s">
        <v>100</v>
      </c>
      <c r="C1330" t="s">
        <v>789</v>
      </c>
      <c r="D1330" s="1">
        <v>45252.713125000002</v>
      </c>
      <c r="E1330" t="s">
        <v>236</v>
      </c>
      <c r="F1330" s="2">
        <v>3172.12</v>
      </c>
      <c r="G1330" t="s">
        <v>74</v>
      </c>
      <c r="H1330" t="s">
        <v>256</v>
      </c>
      <c r="I1330" t="s">
        <v>257</v>
      </c>
    </row>
    <row r="1331" spans="1:9" x14ac:dyDescent="0.25">
      <c r="A1331" t="s">
        <v>231</v>
      </c>
      <c r="B1331" t="s">
        <v>100</v>
      </c>
      <c r="C1331" t="s">
        <v>789</v>
      </c>
      <c r="D1331" s="1">
        <v>45250.173437500001</v>
      </c>
      <c r="E1331" t="s">
        <v>235</v>
      </c>
      <c r="F1331" s="2">
        <v>-31.87</v>
      </c>
      <c r="G1331" t="s">
        <v>70</v>
      </c>
      <c r="H1331" t="s">
        <v>231</v>
      </c>
      <c r="I1331" t="s">
        <v>72</v>
      </c>
    </row>
    <row r="1332" spans="1:9" x14ac:dyDescent="0.25">
      <c r="A1332" t="s">
        <v>231</v>
      </c>
      <c r="B1332" t="s">
        <v>100</v>
      </c>
      <c r="C1332" t="s">
        <v>789</v>
      </c>
      <c r="D1332" s="1">
        <v>45248.171759259261</v>
      </c>
      <c r="E1332" t="s">
        <v>237</v>
      </c>
      <c r="F1332" s="2">
        <v>-98.92</v>
      </c>
      <c r="G1332" t="s">
        <v>70</v>
      </c>
      <c r="H1332" t="s">
        <v>231</v>
      </c>
      <c r="I1332" t="s">
        <v>72</v>
      </c>
    </row>
    <row r="1333" spans="1:9" x14ac:dyDescent="0.25">
      <c r="A1333" t="s">
        <v>231</v>
      </c>
      <c r="B1333" t="s">
        <v>100</v>
      </c>
      <c r="C1333" t="s">
        <v>789</v>
      </c>
      <c r="D1333" s="1">
        <v>45248.171759259261</v>
      </c>
      <c r="E1333" t="s">
        <v>238</v>
      </c>
      <c r="F1333" s="2">
        <v>-75.849999999999994</v>
      </c>
      <c r="G1333" t="s">
        <v>70</v>
      </c>
      <c r="H1333" t="s">
        <v>231</v>
      </c>
      <c r="I1333" t="s">
        <v>72</v>
      </c>
    </row>
    <row r="1334" spans="1:9" x14ac:dyDescent="0.25">
      <c r="A1334" t="s">
        <v>231</v>
      </c>
      <c r="B1334" t="s">
        <v>100</v>
      </c>
      <c r="C1334" t="s">
        <v>789</v>
      </c>
      <c r="D1334" s="1">
        <v>45248.171759259261</v>
      </c>
      <c r="E1334" t="s">
        <v>239</v>
      </c>
      <c r="F1334" s="2">
        <v>-128.93</v>
      </c>
      <c r="G1334" t="s">
        <v>70</v>
      </c>
      <c r="H1334" t="s">
        <v>231</v>
      </c>
      <c r="I1334" t="s">
        <v>72</v>
      </c>
    </row>
    <row r="1335" spans="1:9" x14ac:dyDescent="0.25">
      <c r="A1335" t="s">
        <v>231</v>
      </c>
      <c r="B1335" t="s">
        <v>100</v>
      </c>
      <c r="C1335" t="s">
        <v>789</v>
      </c>
      <c r="D1335" s="1">
        <v>45248.161296296297</v>
      </c>
      <c r="E1335" t="s">
        <v>234</v>
      </c>
      <c r="F1335" s="2">
        <v>-28.07</v>
      </c>
      <c r="G1335" t="s">
        <v>70</v>
      </c>
      <c r="H1335" t="s">
        <v>231</v>
      </c>
      <c r="I1335" t="s">
        <v>72</v>
      </c>
    </row>
    <row r="1336" spans="1:9" x14ac:dyDescent="0.25">
      <c r="A1336" t="s">
        <v>231</v>
      </c>
      <c r="B1336" t="s">
        <v>100</v>
      </c>
      <c r="C1336" t="s">
        <v>789</v>
      </c>
      <c r="D1336" s="1">
        <v>45247.650196759256</v>
      </c>
      <c r="E1336" t="s">
        <v>236</v>
      </c>
      <c r="F1336" s="2">
        <v>42.72</v>
      </c>
      <c r="G1336" t="s">
        <v>74</v>
      </c>
      <c r="H1336" t="s">
        <v>256</v>
      </c>
      <c r="I1336" t="s">
        <v>257</v>
      </c>
    </row>
    <row r="1337" spans="1:9" x14ac:dyDescent="0.25">
      <c r="A1337" t="s">
        <v>231</v>
      </c>
      <c r="B1337" t="s">
        <v>100</v>
      </c>
      <c r="C1337" t="s">
        <v>789</v>
      </c>
      <c r="D1337" s="1">
        <v>45246</v>
      </c>
      <c r="E1337" t="s">
        <v>790</v>
      </c>
      <c r="F1337" s="2">
        <v>-11.59</v>
      </c>
      <c r="G1337" t="s">
        <v>70</v>
      </c>
      <c r="H1337" t="s">
        <v>231</v>
      </c>
      <c r="I1337" t="s">
        <v>72</v>
      </c>
    </row>
    <row r="1338" spans="1:9" x14ac:dyDescent="0.25">
      <c r="A1338" t="s">
        <v>231</v>
      </c>
      <c r="B1338" t="s">
        <v>100</v>
      </c>
      <c r="C1338" t="s">
        <v>789</v>
      </c>
      <c r="D1338" s="1">
        <v>45246</v>
      </c>
      <c r="E1338" t="s">
        <v>791</v>
      </c>
      <c r="F1338" s="2">
        <v>-133.13999999999999</v>
      </c>
      <c r="G1338" t="s">
        <v>70</v>
      </c>
      <c r="H1338" t="s">
        <v>231</v>
      </c>
      <c r="I1338" t="s">
        <v>72</v>
      </c>
    </row>
    <row r="1339" spans="1:9" x14ac:dyDescent="0.25">
      <c r="A1339" t="s">
        <v>231</v>
      </c>
      <c r="B1339" t="s">
        <v>100</v>
      </c>
      <c r="C1339" t="s">
        <v>789</v>
      </c>
      <c r="D1339" s="1">
        <v>45246</v>
      </c>
      <c r="E1339" t="s">
        <v>792</v>
      </c>
      <c r="F1339" s="2">
        <v>-191.47</v>
      </c>
      <c r="G1339" t="s">
        <v>70</v>
      </c>
      <c r="H1339" t="s">
        <v>231</v>
      </c>
      <c r="I1339" t="s">
        <v>72</v>
      </c>
    </row>
    <row r="1340" spans="1:9" x14ac:dyDescent="0.25">
      <c r="A1340" t="s">
        <v>231</v>
      </c>
      <c r="B1340" t="s">
        <v>100</v>
      </c>
      <c r="C1340" t="s">
        <v>789</v>
      </c>
      <c r="D1340" s="1">
        <v>45245.667083333334</v>
      </c>
      <c r="E1340" t="s">
        <v>234</v>
      </c>
      <c r="F1340" s="2">
        <v>-67.569999999999993</v>
      </c>
      <c r="G1340" t="s">
        <v>70</v>
      </c>
      <c r="H1340" t="s">
        <v>231</v>
      </c>
      <c r="I1340" t="s">
        <v>72</v>
      </c>
    </row>
    <row r="1341" spans="1:9" x14ac:dyDescent="0.25">
      <c r="A1341" t="s">
        <v>231</v>
      </c>
      <c r="B1341" t="s">
        <v>100</v>
      </c>
      <c r="C1341" t="s">
        <v>789</v>
      </c>
      <c r="D1341" s="1">
        <v>45245.667233796295</v>
      </c>
      <c r="E1341" t="s">
        <v>244</v>
      </c>
      <c r="F1341" s="2">
        <v>-126.02</v>
      </c>
      <c r="G1341" t="s">
        <v>70</v>
      </c>
      <c r="H1341" t="s">
        <v>231</v>
      </c>
      <c r="I1341" t="s">
        <v>72</v>
      </c>
    </row>
    <row r="1342" spans="1:9" x14ac:dyDescent="0.25">
      <c r="A1342" t="s">
        <v>231</v>
      </c>
      <c r="B1342" t="s">
        <v>100</v>
      </c>
      <c r="C1342" t="s">
        <v>789</v>
      </c>
      <c r="D1342" s="1">
        <v>45245.650972222225</v>
      </c>
      <c r="E1342" t="s">
        <v>236</v>
      </c>
      <c r="F1342" s="2">
        <v>3070.03</v>
      </c>
      <c r="G1342" t="s">
        <v>74</v>
      </c>
      <c r="H1342" t="s">
        <v>256</v>
      </c>
      <c r="I1342" t="s">
        <v>257</v>
      </c>
    </row>
    <row r="1343" spans="1:9" x14ac:dyDescent="0.25">
      <c r="A1343" t="s">
        <v>231</v>
      </c>
      <c r="B1343" t="s">
        <v>100</v>
      </c>
      <c r="C1343" t="s">
        <v>789</v>
      </c>
      <c r="D1343" s="1">
        <v>45243.171793981484</v>
      </c>
      <c r="E1343" t="s">
        <v>241</v>
      </c>
      <c r="F1343" s="2">
        <v>-25.83</v>
      </c>
      <c r="G1343" t="s">
        <v>70</v>
      </c>
      <c r="H1343" t="s">
        <v>231</v>
      </c>
      <c r="I1343" t="s">
        <v>72</v>
      </c>
    </row>
    <row r="1344" spans="1:9" x14ac:dyDescent="0.25">
      <c r="A1344" t="s">
        <v>231</v>
      </c>
      <c r="B1344" t="s">
        <v>100</v>
      </c>
      <c r="C1344" t="s">
        <v>789</v>
      </c>
      <c r="D1344" s="1">
        <v>45239</v>
      </c>
      <c r="E1344" t="s">
        <v>790</v>
      </c>
      <c r="F1344" s="2">
        <v>-562.02</v>
      </c>
      <c r="G1344" t="s">
        <v>70</v>
      </c>
      <c r="H1344" t="s">
        <v>231</v>
      </c>
      <c r="I1344" t="s">
        <v>72</v>
      </c>
    </row>
    <row r="1345" spans="1:9" x14ac:dyDescent="0.25">
      <c r="A1345" t="s">
        <v>231</v>
      </c>
      <c r="B1345" t="s">
        <v>100</v>
      </c>
      <c r="C1345" t="s">
        <v>789</v>
      </c>
      <c r="D1345" s="1">
        <v>45239</v>
      </c>
      <c r="E1345" t="s">
        <v>791</v>
      </c>
      <c r="F1345" s="2">
        <v>-228.14</v>
      </c>
      <c r="G1345" t="s">
        <v>70</v>
      </c>
      <c r="H1345" t="s">
        <v>231</v>
      </c>
      <c r="I1345" t="s">
        <v>72</v>
      </c>
    </row>
    <row r="1346" spans="1:9" x14ac:dyDescent="0.25">
      <c r="A1346" t="s">
        <v>231</v>
      </c>
      <c r="B1346" t="s">
        <v>100</v>
      </c>
      <c r="C1346" t="s">
        <v>789</v>
      </c>
      <c r="D1346" s="1">
        <v>45239</v>
      </c>
      <c r="E1346" t="s">
        <v>792</v>
      </c>
      <c r="F1346" s="2">
        <v>-293.89999999999998</v>
      </c>
      <c r="G1346" t="s">
        <v>70</v>
      </c>
      <c r="H1346" t="s">
        <v>231</v>
      </c>
      <c r="I1346" t="s">
        <v>72</v>
      </c>
    </row>
    <row r="1347" spans="1:9" x14ac:dyDescent="0.25">
      <c r="A1347" t="s">
        <v>231</v>
      </c>
      <c r="B1347" t="s">
        <v>100</v>
      </c>
      <c r="C1347" t="s">
        <v>789</v>
      </c>
      <c r="D1347" s="1">
        <v>45238.747766203705</v>
      </c>
      <c r="E1347" t="s">
        <v>234</v>
      </c>
      <c r="F1347" s="2">
        <v>-801.48</v>
      </c>
      <c r="G1347" t="s">
        <v>70</v>
      </c>
      <c r="H1347" t="s">
        <v>231</v>
      </c>
      <c r="I1347" t="s">
        <v>72</v>
      </c>
    </row>
    <row r="1348" spans="1:9" x14ac:dyDescent="0.25">
      <c r="A1348" t="s">
        <v>231</v>
      </c>
      <c r="B1348" t="s">
        <v>100</v>
      </c>
      <c r="C1348" t="s">
        <v>789</v>
      </c>
      <c r="D1348" s="1">
        <v>45238.650671296295</v>
      </c>
      <c r="E1348" t="s">
        <v>236</v>
      </c>
      <c r="F1348" s="2">
        <v>2937.9</v>
      </c>
      <c r="G1348" t="s">
        <v>74</v>
      </c>
      <c r="H1348" t="s">
        <v>256</v>
      </c>
      <c r="I1348" t="s">
        <v>257</v>
      </c>
    </row>
    <row r="1349" spans="1:9" x14ac:dyDescent="0.25">
      <c r="A1349" t="s">
        <v>231</v>
      </c>
      <c r="B1349" t="s">
        <v>100</v>
      </c>
      <c r="C1349" t="s">
        <v>789</v>
      </c>
      <c r="D1349" s="1">
        <v>45236.173703703702</v>
      </c>
      <c r="E1349" t="s">
        <v>242</v>
      </c>
      <c r="F1349" s="2">
        <v>-75.72</v>
      </c>
      <c r="G1349" t="s">
        <v>70</v>
      </c>
      <c r="H1349" t="s">
        <v>231</v>
      </c>
      <c r="I1349" t="s">
        <v>72</v>
      </c>
    </row>
    <row r="1350" spans="1:9" x14ac:dyDescent="0.25">
      <c r="A1350" t="s">
        <v>231</v>
      </c>
      <c r="B1350" t="s">
        <v>100</v>
      </c>
      <c r="C1350" t="s">
        <v>789</v>
      </c>
      <c r="D1350" s="1">
        <v>45234.171979166669</v>
      </c>
      <c r="E1350" t="s">
        <v>245</v>
      </c>
      <c r="F1350" s="2">
        <v>-37.75</v>
      </c>
      <c r="G1350" t="s">
        <v>70</v>
      </c>
      <c r="H1350" t="s">
        <v>231</v>
      </c>
      <c r="I1350" t="s">
        <v>72</v>
      </c>
    </row>
    <row r="1351" spans="1:9" x14ac:dyDescent="0.25">
      <c r="A1351" t="s">
        <v>231</v>
      </c>
      <c r="B1351" t="s">
        <v>100</v>
      </c>
      <c r="C1351" t="s">
        <v>789</v>
      </c>
      <c r="D1351" s="1">
        <v>45235.171041666668</v>
      </c>
      <c r="E1351" t="s">
        <v>233</v>
      </c>
      <c r="F1351" s="2">
        <v>-15.58</v>
      </c>
      <c r="G1351" t="s">
        <v>70</v>
      </c>
      <c r="H1351" t="s">
        <v>231</v>
      </c>
      <c r="I1351" t="s">
        <v>72</v>
      </c>
    </row>
    <row r="1352" spans="1:9" x14ac:dyDescent="0.25">
      <c r="A1352" t="s">
        <v>231</v>
      </c>
      <c r="B1352" t="s">
        <v>100</v>
      </c>
      <c r="C1352" t="s">
        <v>789</v>
      </c>
      <c r="D1352" s="1">
        <v>45234.171863425923</v>
      </c>
      <c r="E1352" t="s">
        <v>246</v>
      </c>
      <c r="F1352" s="2">
        <v>-23.01</v>
      </c>
      <c r="G1352" t="s">
        <v>70</v>
      </c>
      <c r="H1352" t="s">
        <v>231</v>
      </c>
      <c r="I1352" t="s">
        <v>72</v>
      </c>
    </row>
    <row r="1353" spans="1:9" x14ac:dyDescent="0.25">
      <c r="A1353" t="s">
        <v>231</v>
      </c>
      <c r="B1353" t="s">
        <v>100</v>
      </c>
      <c r="C1353" t="s">
        <v>789</v>
      </c>
      <c r="D1353" s="1">
        <v>45236.173078703701</v>
      </c>
      <c r="E1353" t="s">
        <v>243</v>
      </c>
      <c r="F1353" s="2">
        <v>-10.79</v>
      </c>
      <c r="G1353" t="s">
        <v>70</v>
      </c>
      <c r="H1353" t="s">
        <v>231</v>
      </c>
      <c r="I1353" t="s">
        <v>72</v>
      </c>
    </row>
    <row r="1354" spans="1:9" x14ac:dyDescent="0.25">
      <c r="A1354" t="s">
        <v>231</v>
      </c>
      <c r="B1354" t="s">
        <v>100</v>
      </c>
      <c r="C1354" t="s">
        <v>789</v>
      </c>
      <c r="D1354" s="1">
        <v>45233.629351851851</v>
      </c>
      <c r="E1354" t="s">
        <v>236</v>
      </c>
      <c r="F1354" s="2">
        <v>92.74</v>
      </c>
      <c r="G1354" t="s">
        <v>74</v>
      </c>
      <c r="H1354" t="s">
        <v>256</v>
      </c>
      <c r="I1354" t="s">
        <v>257</v>
      </c>
    </row>
    <row r="1355" spans="1:9" x14ac:dyDescent="0.25">
      <c r="A1355" t="s">
        <v>231</v>
      </c>
      <c r="B1355" t="s">
        <v>100</v>
      </c>
      <c r="C1355" t="s">
        <v>789</v>
      </c>
      <c r="D1355" s="1">
        <v>45232</v>
      </c>
      <c r="E1355" t="s">
        <v>790</v>
      </c>
      <c r="F1355" s="2">
        <v>-192.89</v>
      </c>
      <c r="G1355" t="s">
        <v>70</v>
      </c>
      <c r="H1355" t="s">
        <v>231</v>
      </c>
      <c r="I1355" t="s">
        <v>72</v>
      </c>
    </row>
    <row r="1356" spans="1:9" x14ac:dyDescent="0.25">
      <c r="A1356" t="s">
        <v>231</v>
      </c>
      <c r="B1356" t="s">
        <v>100</v>
      </c>
      <c r="C1356" t="s">
        <v>789</v>
      </c>
      <c r="D1356" s="1">
        <v>45232</v>
      </c>
      <c r="E1356" t="s">
        <v>791</v>
      </c>
      <c r="F1356" s="2">
        <v>-92.67</v>
      </c>
      <c r="G1356" t="s">
        <v>70</v>
      </c>
      <c r="H1356" t="s">
        <v>231</v>
      </c>
      <c r="I1356" t="s">
        <v>72</v>
      </c>
    </row>
    <row r="1357" spans="1:9" x14ac:dyDescent="0.25">
      <c r="A1357" t="s">
        <v>231</v>
      </c>
      <c r="B1357" t="s">
        <v>100</v>
      </c>
      <c r="C1357" t="s">
        <v>789</v>
      </c>
      <c r="D1357" s="1">
        <v>45232</v>
      </c>
      <c r="E1357" t="s">
        <v>792</v>
      </c>
      <c r="F1357" s="2">
        <v>-173.01</v>
      </c>
      <c r="G1357" t="s">
        <v>70</v>
      </c>
      <c r="H1357" t="s">
        <v>231</v>
      </c>
      <c r="I1357" t="s">
        <v>72</v>
      </c>
    </row>
    <row r="1358" spans="1:9" x14ac:dyDescent="0.25">
      <c r="A1358" t="s">
        <v>231</v>
      </c>
      <c r="B1358" t="s">
        <v>100</v>
      </c>
      <c r="C1358" t="s">
        <v>789</v>
      </c>
      <c r="D1358" s="1">
        <v>45231.786296296297</v>
      </c>
      <c r="E1358" t="s">
        <v>244</v>
      </c>
      <c r="F1358" s="2">
        <v>-669.83</v>
      </c>
      <c r="G1358" t="s">
        <v>70</v>
      </c>
      <c r="H1358" t="s">
        <v>231</v>
      </c>
      <c r="I1358" t="s">
        <v>72</v>
      </c>
    </row>
    <row r="1359" spans="1:9" x14ac:dyDescent="0.25">
      <c r="A1359" t="s">
        <v>231</v>
      </c>
      <c r="B1359" t="s">
        <v>100</v>
      </c>
      <c r="C1359" t="s">
        <v>789</v>
      </c>
      <c r="D1359" s="1">
        <v>45231.786435185182</v>
      </c>
      <c r="E1359" t="s">
        <v>234</v>
      </c>
      <c r="F1359" s="2">
        <v>-574.54</v>
      </c>
      <c r="G1359" t="s">
        <v>70</v>
      </c>
      <c r="H1359" t="s">
        <v>231</v>
      </c>
      <c r="I1359" t="s">
        <v>72</v>
      </c>
    </row>
    <row r="1360" spans="1:9" x14ac:dyDescent="0.25">
      <c r="A1360" t="s">
        <v>231</v>
      </c>
      <c r="B1360" t="s">
        <v>100</v>
      </c>
      <c r="C1360" t="s">
        <v>789</v>
      </c>
      <c r="D1360" s="1">
        <v>45231.755358796298</v>
      </c>
      <c r="E1360" t="s">
        <v>236</v>
      </c>
      <c r="F1360" s="2">
        <v>3079.78</v>
      </c>
      <c r="G1360" t="s">
        <v>74</v>
      </c>
      <c r="H1360" t="s">
        <v>256</v>
      </c>
      <c r="I1360" t="s">
        <v>257</v>
      </c>
    </row>
    <row r="1361" spans="1:9" x14ac:dyDescent="0.25">
      <c r="A1361" t="s">
        <v>231</v>
      </c>
      <c r="B1361" t="s">
        <v>100</v>
      </c>
      <c r="C1361" t="s">
        <v>789</v>
      </c>
      <c r="D1361" s="1">
        <v>45226.174699074072</v>
      </c>
      <c r="E1361" t="s">
        <v>240</v>
      </c>
      <c r="F1361" s="2">
        <v>-3.82</v>
      </c>
      <c r="G1361" t="s">
        <v>70</v>
      </c>
      <c r="H1361" t="s">
        <v>231</v>
      </c>
      <c r="I1361" t="s">
        <v>72</v>
      </c>
    </row>
    <row r="1362" spans="1:9" x14ac:dyDescent="0.25">
      <c r="A1362" t="s">
        <v>231</v>
      </c>
      <c r="B1362" t="s">
        <v>100</v>
      </c>
      <c r="C1362" t="s">
        <v>789</v>
      </c>
      <c r="D1362" s="1">
        <v>45225</v>
      </c>
      <c r="E1362" t="s">
        <v>790</v>
      </c>
      <c r="F1362" s="2">
        <v>-52.26</v>
      </c>
      <c r="G1362" t="s">
        <v>70</v>
      </c>
      <c r="H1362" t="s">
        <v>231</v>
      </c>
      <c r="I1362" t="s">
        <v>72</v>
      </c>
    </row>
    <row r="1363" spans="1:9" x14ac:dyDescent="0.25">
      <c r="A1363" t="s">
        <v>231</v>
      </c>
      <c r="B1363" t="s">
        <v>100</v>
      </c>
      <c r="C1363" t="s">
        <v>789</v>
      </c>
      <c r="D1363" s="1">
        <v>45225</v>
      </c>
      <c r="E1363" t="s">
        <v>791</v>
      </c>
      <c r="F1363" s="2">
        <v>-240.17</v>
      </c>
      <c r="G1363" t="s">
        <v>70</v>
      </c>
      <c r="H1363" t="s">
        <v>231</v>
      </c>
      <c r="I1363" t="s">
        <v>72</v>
      </c>
    </row>
    <row r="1364" spans="1:9" x14ac:dyDescent="0.25">
      <c r="A1364" t="s">
        <v>231</v>
      </c>
      <c r="B1364" t="s">
        <v>100</v>
      </c>
      <c r="C1364" t="s">
        <v>789</v>
      </c>
      <c r="D1364" s="1">
        <v>45225</v>
      </c>
      <c r="E1364" t="s">
        <v>792</v>
      </c>
      <c r="F1364" s="2">
        <v>-164.19</v>
      </c>
      <c r="G1364" t="s">
        <v>70</v>
      </c>
      <c r="H1364" t="s">
        <v>231</v>
      </c>
      <c r="I1364" t="s">
        <v>72</v>
      </c>
    </row>
    <row r="1365" spans="1:9" x14ac:dyDescent="0.25">
      <c r="A1365" t="s">
        <v>231</v>
      </c>
      <c r="B1365" t="s">
        <v>100</v>
      </c>
      <c r="C1365" t="s">
        <v>789</v>
      </c>
      <c r="D1365" s="1">
        <v>45224.710694444446</v>
      </c>
      <c r="E1365" t="s">
        <v>234</v>
      </c>
      <c r="F1365" s="2">
        <v>-694.48</v>
      </c>
      <c r="G1365" t="s">
        <v>70</v>
      </c>
      <c r="H1365" t="s">
        <v>231</v>
      </c>
      <c r="I1365" t="s">
        <v>72</v>
      </c>
    </row>
    <row r="1366" spans="1:9" x14ac:dyDescent="0.25">
      <c r="A1366" t="s">
        <v>231</v>
      </c>
      <c r="B1366" t="s">
        <v>100</v>
      </c>
      <c r="C1366" t="s">
        <v>789</v>
      </c>
      <c r="D1366" s="1">
        <v>45224.710509259261</v>
      </c>
      <c r="E1366" t="s">
        <v>244</v>
      </c>
      <c r="F1366" s="2">
        <v>-462.19</v>
      </c>
      <c r="G1366" t="s">
        <v>70</v>
      </c>
      <c r="H1366" t="s">
        <v>231</v>
      </c>
      <c r="I1366" t="s">
        <v>72</v>
      </c>
    </row>
    <row r="1367" spans="1:9" x14ac:dyDescent="0.25">
      <c r="A1367" t="s">
        <v>231</v>
      </c>
      <c r="B1367" t="s">
        <v>100</v>
      </c>
      <c r="C1367" t="s">
        <v>789</v>
      </c>
      <c r="D1367" s="1">
        <v>45224.629583333335</v>
      </c>
      <c r="E1367" t="s">
        <v>236</v>
      </c>
      <c r="F1367" s="2">
        <v>3076.64</v>
      </c>
      <c r="G1367" t="s">
        <v>74</v>
      </c>
      <c r="H1367" t="s">
        <v>256</v>
      </c>
      <c r="I1367" t="s">
        <v>257</v>
      </c>
    </row>
    <row r="1368" spans="1:9" x14ac:dyDescent="0.25">
      <c r="A1368" t="s">
        <v>231</v>
      </c>
      <c r="B1368" t="s">
        <v>100</v>
      </c>
      <c r="C1368" t="s">
        <v>789</v>
      </c>
      <c r="D1368" s="1">
        <v>45223.173090277778</v>
      </c>
      <c r="E1368" t="s">
        <v>232</v>
      </c>
      <c r="F1368" s="2">
        <v>-18.989999999999998</v>
      </c>
      <c r="G1368" t="s">
        <v>70</v>
      </c>
      <c r="H1368" t="s">
        <v>231</v>
      </c>
      <c r="I1368" t="s">
        <v>72</v>
      </c>
    </row>
    <row r="1369" spans="1:9" x14ac:dyDescent="0.25">
      <c r="A1369" t="s">
        <v>231</v>
      </c>
      <c r="B1369" t="s">
        <v>100</v>
      </c>
      <c r="C1369" t="s">
        <v>789</v>
      </c>
      <c r="D1369" s="1">
        <v>45219.181307870371</v>
      </c>
      <c r="E1369" t="s">
        <v>235</v>
      </c>
      <c r="F1369" s="2">
        <v>-192.11</v>
      </c>
      <c r="G1369" t="s">
        <v>70</v>
      </c>
      <c r="H1369" t="s">
        <v>231</v>
      </c>
      <c r="I1369" t="s">
        <v>72</v>
      </c>
    </row>
    <row r="1370" spans="1:9" x14ac:dyDescent="0.25">
      <c r="A1370" t="s">
        <v>231</v>
      </c>
      <c r="B1370" t="s">
        <v>100</v>
      </c>
      <c r="C1370" t="s">
        <v>789</v>
      </c>
      <c r="D1370" s="1">
        <v>45218</v>
      </c>
      <c r="E1370" t="s">
        <v>790</v>
      </c>
      <c r="F1370" s="2">
        <v>-272.02</v>
      </c>
      <c r="G1370" t="s">
        <v>70</v>
      </c>
      <c r="H1370" t="s">
        <v>231</v>
      </c>
      <c r="I1370" t="s">
        <v>72</v>
      </c>
    </row>
    <row r="1371" spans="1:9" x14ac:dyDescent="0.25">
      <c r="A1371" t="s">
        <v>231</v>
      </c>
      <c r="B1371" t="s">
        <v>100</v>
      </c>
      <c r="C1371" t="s">
        <v>789</v>
      </c>
      <c r="D1371" s="1">
        <v>45218</v>
      </c>
      <c r="E1371" t="s">
        <v>791</v>
      </c>
      <c r="F1371" s="2">
        <v>-157.91</v>
      </c>
      <c r="G1371" t="s">
        <v>70</v>
      </c>
      <c r="H1371" t="s">
        <v>231</v>
      </c>
      <c r="I1371" t="s">
        <v>72</v>
      </c>
    </row>
    <row r="1372" spans="1:9" x14ac:dyDescent="0.25">
      <c r="A1372" t="s">
        <v>231</v>
      </c>
      <c r="B1372" t="s">
        <v>100</v>
      </c>
      <c r="C1372" t="s">
        <v>789</v>
      </c>
      <c r="D1372" s="1">
        <v>45218</v>
      </c>
      <c r="E1372" t="s">
        <v>792</v>
      </c>
      <c r="F1372" s="2">
        <v>-71.66</v>
      </c>
      <c r="G1372" t="s">
        <v>70</v>
      </c>
      <c r="H1372" t="s">
        <v>231</v>
      </c>
      <c r="I1372" t="s">
        <v>72</v>
      </c>
    </row>
    <row r="1373" spans="1:9" x14ac:dyDescent="0.25">
      <c r="A1373" t="s">
        <v>231</v>
      </c>
      <c r="B1373" t="s">
        <v>100</v>
      </c>
      <c r="C1373" t="s">
        <v>789</v>
      </c>
      <c r="D1373" s="1">
        <v>45218.41337962963</v>
      </c>
      <c r="E1373" t="s">
        <v>244</v>
      </c>
      <c r="F1373" s="2">
        <v>-98.54</v>
      </c>
      <c r="G1373" t="s">
        <v>70</v>
      </c>
      <c r="H1373" t="s">
        <v>231</v>
      </c>
      <c r="I1373" t="s">
        <v>72</v>
      </c>
    </row>
    <row r="1374" spans="1:9" x14ac:dyDescent="0.25">
      <c r="A1374" t="s">
        <v>231</v>
      </c>
      <c r="B1374" t="s">
        <v>100</v>
      </c>
      <c r="C1374" t="s">
        <v>789</v>
      </c>
      <c r="D1374" s="1">
        <v>45217.177048611113</v>
      </c>
      <c r="E1374" t="s">
        <v>237</v>
      </c>
      <c r="F1374" s="2">
        <v>-81.34</v>
      </c>
      <c r="G1374" t="s">
        <v>70</v>
      </c>
      <c r="H1374" t="s">
        <v>231</v>
      </c>
      <c r="I1374" t="s">
        <v>72</v>
      </c>
    </row>
    <row r="1375" spans="1:9" x14ac:dyDescent="0.25">
      <c r="A1375" t="s">
        <v>231</v>
      </c>
      <c r="B1375" t="s">
        <v>100</v>
      </c>
      <c r="C1375" t="s">
        <v>789</v>
      </c>
      <c r="D1375" s="1">
        <v>45217.17701388889</v>
      </c>
      <c r="E1375" t="s">
        <v>238</v>
      </c>
      <c r="F1375" s="2">
        <v>-40.19</v>
      </c>
      <c r="G1375" t="s">
        <v>70</v>
      </c>
      <c r="H1375" t="s">
        <v>231</v>
      </c>
      <c r="I1375" t="s">
        <v>72</v>
      </c>
    </row>
    <row r="1376" spans="1:9" x14ac:dyDescent="0.25">
      <c r="A1376" t="s">
        <v>231</v>
      </c>
      <c r="B1376" t="s">
        <v>100</v>
      </c>
      <c r="C1376" t="s">
        <v>789</v>
      </c>
      <c r="D1376" s="1">
        <v>45217.176979166667</v>
      </c>
      <c r="E1376" t="s">
        <v>239</v>
      </c>
      <c r="F1376" s="2">
        <v>-140.96</v>
      </c>
      <c r="G1376" t="s">
        <v>70</v>
      </c>
      <c r="H1376" t="s">
        <v>231</v>
      </c>
      <c r="I1376" t="s">
        <v>72</v>
      </c>
    </row>
    <row r="1377" spans="1:9" x14ac:dyDescent="0.25">
      <c r="A1377" t="s">
        <v>231</v>
      </c>
      <c r="B1377" t="s">
        <v>100</v>
      </c>
      <c r="C1377" t="s">
        <v>789</v>
      </c>
      <c r="D1377" s="1">
        <v>45217.681527777779</v>
      </c>
      <c r="E1377" t="s">
        <v>236</v>
      </c>
      <c r="F1377" s="2">
        <v>2420.2800000000002</v>
      </c>
      <c r="G1377" t="s">
        <v>74</v>
      </c>
      <c r="H1377" t="s">
        <v>256</v>
      </c>
      <c r="I1377" t="s">
        <v>257</v>
      </c>
    </row>
    <row r="1378" spans="1:9" x14ac:dyDescent="0.25">
      <c r="A1378" t="s">
        <v>231</v>
      </c>
      <c r="B1378" t="s">
        <v>100</v>
      </c>
      <c r="C1378" t="s">
        <v>789</v>
      </c>
      <c r="D1378" s="1">
        <v>45212.175717592596</v>
      </c>
      <c r="E1378" t="s">
        <v>241</v>
      </c>
      <c r="F1378" s="2">
        <v>-15.41</v>
      </c>
      <c r="G1378" t="s">
        <v>70</v>
      </c>
      <c r="H1378" t="s">
        <v>231</v>
      </c>
      <c r="I1378" t="s">
        <v>72</v>
      </c>
    </row>
    <row r="1379" spans="1:9" x14ac:dyDescent="0.25">
      <c r="A1379" t="s">
        <v>231</v>
      </c>
      <c r="B1379" t="s">
        <v>100</v>
      </c>
      <c r="C1379" t="s">
        <v>789</v>
      </c>
      <c r="D1379" s="1">
        <v>45211</v>
      </c>
      <c r="E1379" t="s">
        <v>790</v>
      </c>
      <c r="F1379" s="2">
        <v>-547.63</v>
      </c>
      <c r="G1379" t="s">
        <v>70</v>
      </c>
      <c r="H1379" t="s">
        <v>231</v>
      </c>
      <c r="I1379" t="s">
        <v>72</v>
      </c>
    </row>
    <row r="1380" spans="1:9" x14ac:dyDescent="0.25">
      <c r="A1380" t="s">
        <v>231</v>
      </c>
      <c r="B1380" t="s">
        <v>100</v>
      </c>
      <c r="C1380" t="s">
        <v>789</v>
      </c>
      <c r="D1380" s="1">
        <v>45211</v>
      </c>
      <c r="E1380" t="s">
        <v>791</v>
      </c>
      <c r="F1380" s="2">
        <v>-312.11</v>
      </c>
      <c r="G1380" t="s">
        <v>70</v>
      </c>
      <c r="H1380" t="s">
        <v>231</v>
      </c>
      <c r="I1380" t="s">
        <v>72</v>
      </c>
    </row>
    <row r="1381" spans="1:9" x14ac:dyDescent="0.25">
      <c r="A1381" t="s">
        <v>231</v>
      </c>
      <c r="B1381" t="s">
        <v>100</v>
      </c>
      <c r="C1381" t="s">
        <v>789</v>
      </c>
      <c r="D1381" s="1">
        <v>45211</v>
      </c>
      <c r="E1381" t="s">
        <v>792</v>
      </c>
      <c r="F1381" s="2">
        <v>-281.11</v>
      </c>
      <c r="G1381" t="s">
        <v>70</v>
      </c>
      <c r="H1381" t="s">
        <v>231</v>
      </c>
      <c r="I1381" t="s">
        <v>72</v>
      </c>
    </row>
    <row r="1382" spans="1:9" x14ac:dyDescent="0.25">
      <c r="A1382" t="s">
        <v>231</v>
      </c>
      <c r="B1382" t="s">
        <v>100</v>
      </c>
      <c r="C1382" t="s">
        <v>789</v>
      </c>
      <c r="D1382" s="1">
        <v>45210.751747685186</v>
      </c>
      <c r="E1382" t="s">
        <v>234</v>
      </c>
      <c r="F1382" s="2">
        <v>-180.72</v>
      </c>
      <c r="G1382" t="s">
        <v>70</v>
      </c>
      <c r="H1382" t="s">
        <v>231</v>
      </c>
      <c r="I1382" t="s">
        <v>72</v>
      </c>
    </row>
    <row r="1383" spans="1:9" x14ac:dyDescent="0.25">
      <c r="A1383" t="s">
        <v>231</v>
      </c>
      <c r="B1383" t="s">
        <v>100</v>
      </c>
      <c r="C1383" t="s">
        <v>789</v>
      </c>
      <c r="D1383" s="1">
        <v>45210.629629629628</v>
      </c>
      <c r="E1383" t="s">
        <v>236</v>
      </c>
      <c r="F1383" s="2">
        <v>1857.64</v>
      </c>
      <c r="G1383" t="s">
        <v>74</v>
      </c>
      <c r="H1383" t="s">
        <v>256</v>
      </c>
      <c r="I1383" t="s">
        <v>257</v>
      </c>
    </row>
    <row r="1384" spans="1:9" x14ac:dyDescent="0.25">
      <c r="A1384" t="s">
        <v>231</v>
      </c>
      <c r="B1384" t="s">
        <v>100</v>
      </c>
      <c r="C1384" t="s">
        <v>789</v>
      </c>
      <c r="D1384" s="1">
        <v>45207.171076388891</v>
      </c>
      <c r="E1384" t="s">
        <v>233</v>
      </c>
      <c r="F1384" s="2">
        <v>-5.66</v>
      </c>
      <c r="G1384" t="s">
        <v>70</v>
      </c>
      <c r="H1384" t="s">
        <v>231</v>
      </c>
      <c r="I1384" t="s">
        <v>72</v>
      </c>
    </row>
    <row r="1385" spans="1:9" x14ac:dyDescent="0.25">
      <c r="A1385" t="s">
        <v>231</v>
      </c>
      <c r="B1385" t="s">
        <v>100</v>
      </c>
      <c r="C1385" t="s">
        <v>789</v>
      </c>
      <c r="D1385" s="1">
        <v>45205.175706018519</v>
      </c>
      <c r="E1385" t="s">
        <v>242</v>
      </c>
      <c r="F1385" s="2">
        <v>-42.59</v>
      </c>
      <c r="G1385" t="s">
        <v>70</v>
      </c>
      <c r="H1385" t="s">
        <v>231</v>
      </c>
      <c r="I1385" t="s">
        <v>72</v>
      </c>
    </row>
    <row r="1386" spans="1:9" x14ac:dyDescent="0.25">
      <c r="A1386" t="s">
        <v>231</v>
      </c>
      <c r="B1386" t="s">
        <v>100</v>
      </c>
      <c r="C1386" t="s">
        <v>789</v>
      </c>
      <c r="D1386" s="1">
        <v>45205.174351851849</v>
      </c>
      <c r="E1386" t="s">
        <v>243</v>
      </c>
      <c r="F1386" s="2">
        <v>-4.7699999999999996</v>
      </c>
      <c r="G1386" t="s">
        <v>70</v>
      </c>
      <c r="H1386" t="s">
        <v>231</v>
      </c>
      <c r="I1386" t="s">
        <v>72</v>
      </c>
    </row>
    <row r="1387" spans="1:9" x14ac:dyDescent="0.25">
      <c r="A1387" t="s">
        <v>231</v>
      </c>
      <c r="B1387" t="s">
        <v>100</v>
      </c>
      <c r="C1387" t="s">
        <v>789</v>
      </c>
      <c r="D1387" s="1">
        <v>45204</v>
      </c>
      <c r="E1387" t="s">
        <v>790</v>
      </c>
      <c r="F1387" s="2">
        <v>-263.08999999999997</v>
      </c>
      <c r="G1387" t="s">
        <v>70</v>
      </c>
      <c r="H1387" t="s">
        <v>231</v>
      </c>
      <c r="I1387" t="s">
        <v>72</v>
      </c>
    </row>
    <row r="1388" spans="1:9" x14ac:dyDescent="0.25">
      <c r="A1388" t="s">
        <v>231</v>
      </c>
      <c r="B1388" t="s">
        <v>100</v>
      </c>
      <c r="C1388" t="s">
        <v>789</v>
      </c>
      <c r="D1388" s="1">
        <v>45204</v>
      </c>
      <c r="E1388" t="s">
        <v>791</v>
      </c>
      <c r="F1388" s="2">
        <v>-107.05</v>
      </c>
      <c r="G1388" t="s">
        <v>70</v>
      </c>
      <c r="H1388" t="s">
        <v>231</v>
      </c>
      <c r="I1388" t="s">
        <v>72</v>
      </c>
    </row>
    <row r="1389" spans="1:9" x14ac:dyDescent="0.25">
      <c r="A1389" t="s">
        <v>231</v>
      </c>
      <c r="B1389" t="s">
        <v>100</v>
      </c>
      <c r="C1389" t="s">
        <v>789</v>
      </c>
      <c r="D1389" s="1">
        <v>45204</v>
      </c>
      <c r="E1389" t="s">
        <v>792</v>
      </c>
      <c r="F1389" s="2">
        <v>-321.54000000000002</v>
      </c>
      <c r="G1389" t="s">
        <v>70</v>
      </c>
      <c r="H1389" t="s">
        <v>231</v>
      </c>
      <c r="I1389" t="s">
        <v>72</v>
      </c>
    </row>
    <row r="1390" spans="1:9" x14ac:dyDescent="0.25">
      <c r="A1390" t="s">
        <v>231</v>
      </c>
      <c r="B1390" t="s">
        <v>100</v>
      </c>
      <c r="C1390" t="s">
        <v>789</v>
      </c>
      <c r="D1390" s="1">
        <v>45203.17454861111</v>
      </c>
      <c r="E1390" t="s">
        <v>245</v>
      </c>
      <c r="F1390" s="2">
        <v>-16.27</v>
      </c>
      <c r="G1390" t="s">
        <v>70</v>
      </c>
      <c r="H1390" t="s">
        <v>231</v>
      </c>
      <c r="I1390" t="s">
        <v>72</v>
      </c>
    </row>
    <row r="1391" spans="1:9" x14ac:dyDescent="0.25">
      <c r="A1391" t="s">
        <v>231</v>
      </c>
      <c r="B1391" t="s">
        <v>100</v>
      </c>
      <c r="C1391" t="s">
        <v>789</v>
      </c>
      <c r="D1391" s="1">
        <v>45203.173310185186</v>
      </c>
      <c r="E1391" t="s">
        <v>246</v>
      </c>
      <c r="F1391" s="2">
        <v>-7.97</v>
      </c>
      <c r="G1391" t="s">
        <v>70</v>
      </c>
      <c r="H1391" t="s">
        <v>231</v>
      </c>
      <c r="I1391" t="s">
        <v>72</v>
      </c>
    </row>
    <row r="1392" spans="1:9" x14ac:dyDescent="0.25">
      <c r="A1392" t="s">
        <v>231</v>
      </c>
      <c r="B1392" t="s">
        <v>100</v>
      </c>
      <c r="C1392" t="s">
        <v>789</v>
      </c>
      <c r="D1392" s="1">
        <v>45203.716145833336</v>
      </c>
      <c r="E1392" t="s">
        <v>244</v>
      </c>
      <c r="F1392" s="2">
        <v>-1179.47</v>
      </c>
      <c r="G1392" t="s">
        <v>70</v>
      </c>
      <c r="H1392" t="s">
        <v>231</v>
      </c>
      <c r="I1392" t="s">
        <v>72</v>
      </c>
    </row>
    <row r="1393" spans="1:9" x14ac:dyDescent="0.25">
      <c r="A1393" t="s">
        <v>231</v>
      </c>
      <c r="B1393" t="s">
        <v>100</v>
      </c>
      <c r="C1393" t="s">
        <v>789</v>
      </c>
      <c r="D1393" s="1">
        <v>45203.713043981479</v>
      </c>
      <c r="E1393" t="s">
        <v>236</v>
      </c>
      <c r="F1393" s="2">
        <v>2714.13</v>
      </c>
      <c r="G1393" t="s">
        <v>74</v>
      </c>
      <c r="H1393" t="s">
        <v>256</v>
      </c>
      <c r="I1393" t="s">
        <v>257</v>
      </c>
    </row>
    <row r="1394" spans="1:9" x14ac:dyDescent="0.25">
      <c r="A1394" t="s">
        <v>231</v>
      </c>
      <c r="B1394" t="s">
        <v>100</v>
      </c>
      <c r="C1394" t="s">
        <v>789</v>
      </c>
      <c r="D1394" s="1">
        <v>45198.178796296299</v>
      </c>
      <c r="E1394" t="s">
        <v>240</v>
      </c>
      <c r="F1394" s="2">
        <v>-22.14</v>
      </c>
      <c r="G1394" t="s">
        <v>70</v>
      </c>
      <c r="H1394" t="s">
        <v>231</v>
      </c>
      <c r="I1394" t="s">
        <v>72</v>
      </c>
    </row>
    <row r="1395" spans="1:9" x14ac:dyDescent="0.25">
      <c r="A1395" t="s">
        <v>231</v>
      </c>
      <c r="B1395" t="s">
        <v>100</v>
      </c>
      <c r="C1395" t="s">
        <v>789</v>
      </c>
      <c r="D1395" s="1">
        <v>45197</v>
      </c>
      <c r="E1395" t="s">
        <v>790</v>
      </c>
      <c r="F1395" s="2">
        <v>-51.87</v>
      </c>
      <c r="G1395" t="s">
        <v>70</v>
      </c>
      <c r="H1395" t="s">
        <v>231</v>
      </c>
      <c r="I1395" t="s">
        <v>72</v>
      </c>
    </row>
    <row r="1396" spans="1:9" x14ac:dyDescent="0.25">
      <c r="A1396" t="s">
        <v>231</v>
      </c>
      <c r="B1396" t="s">
        <v>100</v>
      </c>
      <c r="C1396" t="s">
        <v>789</v>
      </c>
      <c r="D1396" s="1">
        <v>45197</v>
      </c>
      <c r="E1396" t="s">
        <v>791</v>
      </c>
      <c r="F1396" s="2">
        <v>-193.57</v>
      </c>
      <c r="G1396" t="s">
        <v>70</v>
      </c>
      <c r="H1396" t="s">
        <v>231</v>
      </c>
      <c r="I1396" t="s">
        <v>72</v>
      </c>
    </row>
    <row r="1397" spans="1:9" x14ac:dyDescent="0.25">
      <c r="A1397" t="s">
        <v>231</v>
      </c>
      <c r="B1397" t="s">
        <v>100</v>
      </c>
      <c r="C1397" t="s">
        <v>789</v>
      </c>
      <c r="D1397" s="1">
        <v>45197</v>
      </c>
      <c r="E1397" t="s">
        <v>792</v>
      </c>
      <c r="F1397" s="2">
        <v>-190.92</v>
      </c>
      <c r="G1397" t="s">
        <v>70</v>
      </c>
      <c r="H1397" t="s">
        <v>231</v>
      </c>
      <c r="I1397" t="s">
        <v>72</v>
      </c>
    </row>
    <row r="1398" spans="1:9" x14ac:dyDescent="0.25">
      <c r="A1398" t="s">
        <v>231</v>
      </c>
      <c r="B1398" t="s">
        <v>100</v>
      </c>
      <c r="C1398" t="s">
        <v>789</v>
      </c>
      <c r="D1398" s="1">
        <v>45196.683622685188</v>
      </c>
      <c r="E1398" t="s">
        <v>234</v>
      </c>
      <c r="F1398" s="2">
        <v>-1388.2</v>
      </c>
      <c r="G1398" t="s">
        <v>70</v>
      </c>
      <c r="H1398" t="s">
        <v>231</v>
      </c>
      <c r="I1398" t="s">
        <v>72</v>
      </c>
    </row>
    <row r="1399" spans="1:9" x14ac:dyDescent="0.25">
      <c r="A1399" t="s">
        <v>231</v>
      </c>
      <c r="B1399" t="s">
        <v>100</v>
      </c>
      <c r="C1399" t="s">
        <v>789</v>
      </c>
      <c r="D1399" s="1">
        <v>45196.681516203702</v>
      </c>
      <c r="E1399" t="s">
        <v>236</v>
      </c>
      <c r="F1399" s="2">
        <v>2744.31</v>
      </c>
      <c r="G1399" t="s">
        <v>74</v>
      </c>
      <c r="H1399" t="s">
        <v>256</v>
      </c>
      <c r="I1399" t="s">
        <v>257</v>
      </c>
    </row>
    <row r="1400" spans="1:9" x14ac:dyDescent="0.25">
      <c r="A1400" t="s">
        <v>231</v>
      </c>
      <c r="B1400" t="s">
        <v>100</v>
      </c>
      <c r="C1400" t="s">
        <v>789</v>
      </c>
      <c r="D1400" s="1">
        <v>45193.172268518516</v>
      </c>
      <c r="E1400" t="s">
        <v>232</v>
      </c>
      <c r="F1400" s="2">
        <v>-14.65</v>
      </c>
      <c r="G1400" t="s">
        <v>70</v>
      </c>
      <c r="H1400" t="s">
        <v>231</v>
      </c>
      <c r="I1400" t="s">
        <v>72</v>
      </c>
    </row>
    <row r="1401" spans="1:9" x14ac:dyDescent="0.25">
      <c r="A1401" t="s">
        <v>231</v>
      </c>
      <c r="B1401" t="s">
        <v>100</v>
      </c>
      <c r="C1401" t="s">
        <v>789</v>
      </c>
      <c r="D1401" s="1">
        <v>45190</v>
      </c>
      <c r="E1401" t="s">
        <v>790</v>
      </c>
      <c r="F1401" s="2">
        <v>-538.98</v>
      </c>
      <c r="G1401" t="s">
        <v>70</v>
      </c>
      <c r="H1401" t="s">
        <v>231</v>
      </c>
      <c r="I1401" t="s">
        <v>72</v>
      </c>
    </row>
    <row r="1402" spans="1:9" x14ac:dyDescent="0.25">
      <c r="A1402" t="s">
        <v>231</v>
      </c>
      <c r="B1402" t="s">
        <v>100</v>
      </c>
      <c r="C1402" t="s">
        <v>789</v>
      </c>
      <c r="D1402" s="1">
        <v>45190</v>
      </c>
      <c r="E1402" t="s">
        <v>791</v>
      </c>
      <c r="F1402" s="2">
        <v>-122.41</v>
      </c>
      <c r="G1402" t="s">
        <v>70</v>
      </c>
      <c r="H1402" t="s">
        <v>231</v>
      </c>
      <c r="I1402" t="s">
        <v>72</v>
      </c>
    </row>
    <row r="1403" spans="1:9" x14ac:dyDescent="0.25">
      <c r="A1403" t="s">
        <v>231</v>
      </c>
      <c r="B1403" t="s">
        <v>100</v>
      </c>
      <c r="C1403" t="s">
        <v>789</v>
      </c>
      <c r="D1403" s="1">
        <v>45190</v>
      </c>
      <c r="E1403" t="s">
        <v>792</v>
      </c>
      <c r="F1403" s="2">
        <v>-293.29000000000002</v>
      </c>
      <c r="G1403" t="s">
        <v>70</v>
      </c>
      <c r="H1403" t="s">
        <v>231</v>
      </c>
      <c r="I1403" t="s">
        <v>72</v>
      </c>
    </row>
    <row r="1404" spans="1:9" x14ac:dyDescent="0.25">
      <c r="A1404" t="s">
        <v>231</v>
      </c>
      <c r="B1404" t="s">
        <v>100</v>
      </c>
      <c r="C1404" t="s">
        <v>789</v>
      </c>
      <c r="D1404" s="1">
        <v>45190.397465277776</v>
      </c>
      <c r="E1404" t="s">
        <v>234</v>
      </c>
      <c r="F1404" s="2">
        <v>-694.59</v>
      </c>
      <c r="G1404" t="s">
        <v>70</v>
      </c>
      <c r="H1404" t="s">
        <v>231</v>
      </c>
      <c r="I1404" t="s">
        <v>72</v>
      </c>
    </row>
    <row r="1405" spans="1:9" x14ac:dyDescent="0.25">
      <c r="A1405" t="s">
        <v>231</v>
      </c>
      <c r="B1405" t="s">
        <v>100</v>
      </c>
      <c r="C1405" t="s">
        <v>789</v>
      </c>
      <c r="D1405" s="1">
        <v>45189.176932870374</v>
      </c>
      <c r="E1405" t="s">
        <v>235</v>
      </c>
      <c r="F1405" s="2">
        <v>-148.93</v>
      </c>
      <c r="G1405" t="s">
        <v>70</v>
      </c>
      <c r="H1405" t="s">
        <v>231</v>
      </c>
      <c r="I1405" t="s">
        <v>72</v>
      </c>
    </row>
    <row r="1406" spans="1:9" x14ac:dyDescent="0.25">
      <c r="A1406" t="s">
        <v>231</v>
      </c>
      <c r="B1406" t="s">
        <v>100</v>
      </c>
      <c r="C1406" t="s">
        <v>789</v>
      </c>
      <c r="D1406" s="1">
        <v>45189.671909722223</v>
      </c>
      <c r="E1406" t="s">
        <v>236</v>
      </c>
      <c r="F1406" s="2">
        <v>2496.63</v>
      </c>
      <c r="G1406" t="s">
        <v>74</v>
      </c>
      <c r="H1406" t="s">
        <v>256</v>
      </c>
      <c r="I1406" t="s">
        <v>257</v>
      </c>
    </row>
    <row r="1407" spans="1:9" x14ac:dyDescent="0.25">
      <c r="A1407" t="s">
        <v>231</v>
      </c>
      <c r="B1407" t="s">
        <v>100</v>
      </c>
      <c r="C1407" t="s">
        <v>789</v>
      </c>
      <c r="D1407" s="1">
        <v>45187.171851851854</v>
      </c>
      <c r="E1407" t="s">
        <v>237</v>
      </c>
      <c r="F1407" s="2">
        <v>-1.44</v>
      </c>
      <c r="G1407" t="s">
        <v>70</v>
      </c>
      <c r="H1407" t="s">
        <v>231</v>
      </c>
      <c r="I1407" t="s">
        <v>72</v>
      </c>
    </row>
    <row r="1408" spans="1:9" x14ac:dyDescent="0.25">
      <c r="A1408" t="s">
        <v>231</v>
      </c>
      <c r="B1408" t="s">
        <v>100</v>
      </c>
      <c r="C1408" t="s">
        <v>789</v>
      </c>
      <c r="D1408" s="1">
        <v>45187.171840277777</v>
      </c>
      <c r="E1408" t="s">
        <v>238</v>
      </c>
      <c r="F1408" s="2">
        <v>-10.220000000000001</v>
      </c>
      <c r="G1408" t="s">
        <v>70</v>
      </c>
      <c r="H1408" t="s">
        <v>231</v>
      </c>
      <c r="I1408" t="s">
        <v>72</v>
      </c>
    </row>
    <row r="1409" spans="1:9" x14ac:dyDescent="0.25">
      <c r="A1409" t="s">
        <v>231</v>
      </c>
      <c r="B1409" t="s">
        <v>100</v>
      </c>
      <c r="C1409" t="s">
        <v>789</v>
      </c>
      <c r="D1409" s="1">
        <v>45187.171817129631</v>
      </c>
      <c r="E1409" t="s">
        <v>239</v>
      </c>
      <c r="F1409" s="2">
        <v>-27.46</v>
      </c>
      <c r="G1409" t="s">
        <v>70</v>
      </c>
      <c r="H1409" t="s">
        <v>231</v>
      </c>
      <c r="I1409" t="s">
        <v>72</v>
      </c>
    </row>
    <row r="1410" spans="1:9" x14ac:dyDescent="0.25">
      <c r="A1410" t="s">
        <v>231</v>
      </c>
      <c r="B1410" t="s">
        <v>100</v>
      </c>
      <c r="C1410" t="s">
        <v>789</v>
      </c>
      <c r="D1410" s="1">
        <v>45183</v>
      </c>
      <c r="E1410" t="s">
        <v>790</v>
      </c>
      <c r="F1410" s="2">
        <v>-401.76</v>
      </c>
      <c r="G1410" t="s">
        <v>70</v>
      </c>
      <c r="H1410" t="s">
        <v>231</v>
      </c>
      <c r="I1410" t="s">
        <v>72</v>
      </c>
    </row>
    <row r="1411" spans="1:9" x14ac:dyDescent="0.25">
      <c r="A1411" t="s">
        <v>231</v>
      </c>
      <c r="B1411" t="s">
        <v>100</v>
      </c>
      <c r="C1411" t="s">
        <v>789</v>
      </c>
      <c r="D1411" s="1">
        <v>45183</v>
      </c>
      <c r="E1411" t="s">
        <v>791</v>
      </c>
      <c r="F1411" s="2">
        <v>-356.15</v>
      </c>
      <c r="G1411" t="s">
        <v>70</v>
      </c>
      <c r="H1411" t="s">
        <v>231</v>
      </c>
      <c r="I1411" t="s">
        <v>72</v>
      </c>
    </row>
    <row r="1412" spans="1:9" x14ac:dyDescent="0.25">
      <c r="A1412" t="s">
        <v>231</v>
      </c>
      <c r="B1412" t="s">
        <v>100</v>
      </c>
      <c r="C1412" t="s">
        <v>789</v>
      </c>
      <c r="D1412" s="1">
        <v>45183</v>
      </c>
      <c r="E1412" t="s">
        <v>792</v>
      </c>
      <c r="F1412" s="2">
        <v>-281.22000000000003</v>
      </c>
      <c r="G1412" t="s">
        <v>70</v>
      </c>
      <c r="H1412" t="s">
        <v>231</v>
      </c>
      <c r="I1412" t="s">
        <v>72</v>
      </c>
    </row>
    <row r="1413" spans="1:9" x14ac:dyDescent="0.25">
      <c r="A1413" t="s">
        <v>231</v>
      </c>
      <c r="B1413" t="s">
        <v>100</v>
      </c>
      <c r="C1413" t="s">
        <v>789</v>
      </c>
      <c r="D1413" s="1">
        <v>45182.176701388889</v>
      </c>
      <c r="E1413" t="s">
        <v>241</v>
      </c>
      <c r="F1413" s="2">
        <v>-88.9</v>
      </c>
      <c r="G1413" t="s">
        <v>70</v>
      </c>
      <c r="H1413" t="s">
        <v>231</v>
      </c>
      <c r="I1413" t="s">
        <v>72</v>
      </c>
    </row>
    <row r="1414" spans="1:9" x14ac:dyDescent="0.25">
      <c r="A1414" t="s">
        <v>231</v>
      </c>
      <c r="B1414" t="s">
        <v>100</v>
      </c>
      <c r="C1414" t="s">
        <v>789</v>
      </c>
      <c r="D1414" s="1">
        <v>45182.674675925926</v>
      </c>
      <c r="E1414" t="s">
        <v>234</v>
      </c>
      <c r="F1414" s="2">
        <v>-1122.07</v>
      </c>
      <c r="G1414" t="s">
        <v>70</v>
      </c>
      <c r="H1414" t="s">
        <v>231</v>
      </c>
      <c r="I1414" t="s">
        <v>72</v>
      </c>
    </row>
    <row r="1415" spans="1:9" x14ac:dyDescent="0.25">
      <c r="A1415" t="s">
        <v>231</v>
      </c>
      <c r="B1415" t="s">
        <v>100</v>
      </c>
      <c r="C1415" t="s">
        <v>789</v>
      </c>
      <c r="D1415" s="1">
        <v>45182.650833333333</v>
      </c>
      <c r="E1415" t="s">
        <v>236</v>
      </c>
      <c r="F1415" s="2">
        <v>461.57</v>
      </c>
      <c r="G1415" t="s">
        <v>74</v>
      </c>
      <c r="H1415" t="s">
        <v>256</v>
      </c>
      <c r="I1415" t="s">
        <v>257</v>
      </c>
    </row>
    <row r="1416" spans="1:9" x14ac:dyDescent="0.25">
      <c r="A1416" t="s">
        <v>231</v>
      </c>
      <c r="B1416" t="s">
        <v>100</v>
      </c>
      <c r="C1416" t="s">
        <v>789</v>
      </c>
      <c r="D1416" s="1">
        <v>45179.172199074077</v>
      </c>
      <c r="E1416" t="s">
        <v>233</v>
      </c>
      <c r="F1416" s="2">
        <v>-13.63</v>
      </c>
      <c r="G1416" t="s">
        <v>70</v>
      </c>
      <c r="H1416" t="s">
        <v>231</v>
      </c>
      <c r="I1416" t="s">
        <v>72</v>
      </c>
    </row>
    <row r="1417" spans="1:9" x14ac:dyDescent="0.25">
      <c r="A1417" t="s">
        <v>231</v>
      </c>
      <c r="B1417" t="s">
        <v>100</v>
      </c>
      <c r="C1417" t="s">
        <v>789</v>
      </c>
      <c r="D1417" s="1">
        <v>45176</v>
      </c>
      <c r="E1417" t="s">
        <v>790</v>
      </c>
      <c r="F1417" s="2">
        <v>-270.19</v>
      </c>
      <c r="G1417" t="s">
        <v>70</v>
      </c>
      <c r="H1417" t="s">
        <v>231</v>
      </c>
      <c r="I1417" t="s">
        <v>72</v>
      </c>
    </row>
    <row r="1418" spans="1:9" x14ac:dyDescent="0.25">
      <c r="A1418" t="s">
        <v>231</v>
      </c>
      <c r="B1418" t="s">
        <v>100</v>
      </c>
      <c r="C1418" t="s">
        <v>789</v>
      </c>
      <c r="D1418" s="1">
        <v>45176</v>
      </c>
      <c r="E1418" t="s">
        <v>791</v>
      </c>
      <c r="F1418" s="2">
        <v>-140.66999999999999</v>
      </c>
      <c r="G1418" t="s">
        <v>70</v>
      </c>
      <c r="H1418" t="s">
        <v>231</v>
      </c>
      <c r="I1418" t="s">
        <v>72</v>
      </c>
    </row>
    <row r="1419" spans="1:9" x14ac:dyDescent="0.25">
      <c r="A1419" t="s">
        <v>231</v>
      </c>
      <c r="B1419" t="s">
        <v>100</v>
      </c>
      <c r="C1419" t="s">
        <v>789</v>
      </c>
      <c r="D1419" s="1">
        <v>45176</v>
      </c>
      <c r="E1419" t="s">
        <v>792</v>
      </c>
      <c r="F1419" s="2">
        <v>-264.05</v>
      </c>
      <c r="G1419" t="s">
        <v>70</v>
      </c>
      <c r="H1419" t="s">
        <v>231</v>
      </c>
      <c r="I1419" t="s">
        <v>72</v>
      </c>
    </row>
    <row r="1420" spans="1:9" x14ac:dyDescent="0.25">
      <c r="A1420" t="s">
        <v>231</v>
      </c>
      <c r="B1420" t="s">
        <v>100</v>
      </c>
      <c r="C1420" t="s">
        <v>789</v>
      </c>
      <c r="D1420" s="1">
        <v>45176.895995370367</v>
      </c>
      <c r="E1420" t="s">
        <v>234</v>
      </c>
      <c r="F1420" s="2">
        <v>-1256.3699999999999</v>
      </c>
      <c r="G1420" t="s">
        <v>70</v>
      </c>
      <c r="H1420" t="s">
        <v>231</v>
      </c>
      <c r="I1420" t="s">
        <v>72</v>
      </c>
    </row>
    <row r="1421" spans="1:9" x14ac:dyDescent="0.25">
      <c r="A1421" t="s">
        <v>231</v>
      </c>
      <c r="B1421" t="s">
        <v>100</v>
      </c>
      <c r="C1421" t="s">
        <v>789</v>
      </c>
      <c r="D1421" s="1">
        <v>45176.896180555559</v>
      </c>
      <c r="E1421" t="s">
        <v>244</v>
      </c>
      <c r="F1421" s="2">
        <v>-168.5</v>
      </c>
      <c r="G1421" t="s">
        <v>70</v>
      </c>
      <c r="H1421" t="s">
        <v>231</v>
      </c>
      <c r="I1421" t="s">
        <v>72</v>
      </c>
    </row>
    <row r="1422" spans="1:9" x14ac:dyDescent="0.25">
      <c r="A1422" t="s">
        <v>231</v>
      </c>
      <c r="B1422" t="s">
        <v>100</v>
      </c>
      <c r="C1422" t="s">
        <v>789</v>
      </c>
      <c r="D1422" s="1">
        <v>45175.17527777778</v>
      </c>
      <c r="E1422" t="s">
        <v>242</v>
      </c>
      <c r="F1422" s="2">
        <v>-145.72999999999999</v>
      </c>
      <c r="G1422" t="s">
        <v>70</v>
      </c>
      <c r="H1422" t="s">
        <v>231</v>
      </c>
      <c r="I1422" t="s">
        <v>72</v>
      </c>
    </row>
    <row r="1423" spans="1:9" x14ac:dyDescent="0.25">
      <c r="A1423" t="s">
        <v>231</v>
      </c>
      <c r="B1423" t="s">
        <v>100</v>
      </c>
      <c r="C1423" t="s">
        <v>789</v>
      </c>
      <c r="D1423" s="1">
        <v>45175.17328703704</v>
      </c>
      <c r="E1423" t="s">
        <v>243</v>
      </c>
      <c r="F1423" s="2">
        <v>-16.989999999999998</v>
      </c>
      <c r="G1423" t="s">
        <v>70</v>
      </c>
      <c r="H1423" t="s">
        <v>231</v>
      </c>
      <c r="I1423" t="s">
        <v>72</v>
      </c>
    </row>
    <row r="1424" spans="1:9" x14ac:dyDescent="0.25">
      <c r="A1424" t="s">
        <v>231</v>
      </c>
      <c r="B1424" t="s">
        <v>100</v>
      </c>
      <c r="C1424" t="s">
        <v>789</v>
      </c>
      <c r="D1424" s="1">
        <v>45175.650787037041</v>
      </c>
      <c r="E1424" t="s">
        <v>236</v>
      </c>
      <c r="F1424" s="2">
        <v>3286.28</v>
      </c>
      <c r="G1424" t="s">
        <v>74</v>
      </c>
      <c r="H1424" t="s">
        <v>256</v>
      </c>
      <c r="I1424" t="s">
        <v>257</v>
      </c>
    </row>
    <row r="1425" spans="1:9" x14ac:dyDescent="0.25">
      <c r="A1425" t="s">
        <v>231</v>
      </c>
      <c r="B1425" t="s">
        <v>100</v>
      </c>
      <c r="C1425" t="s">
        <v>789</v>
      </c>
      <c r="D1425" s="1">
        <v>45173.17260416667</v>
      </c>
      <c r="E1425" t="s">
        <v>245</v>
      </c>
      <c r="F1425" s="2">
        <v>-48.11</v>
      </c>
      <c r="G1425" t="s">
        <v>70</v>
      </c>
      <c r="H1425" t="s">
        <v>231</v>
      </c>
      <c r="I1425" t="s">
        <v>72</v>
      </c>
    </row>
    <row r="1426" spans="1:9" x14ac:dyDescent="0.25">
      <c r="A1426" t="s">
        <v>231</v>
      </c>
      <c r="B1426" t="s">
        <v>100</v>
      </c>
      <c r="C1426" t="s">
        <v>789</v>
      </c>
      <c r="D1426" s="1">
        <v>45173.1721875</v>
      </c>
      <c r="E1426" t="s">
        <v>246</v>
      </c>
      <c r="F1426" s="2">
        <v>-17.25</v>
      </c>
      <c r="G1426" t="s">
        <v>70</v>
      </c>
      <c r="H1426" t="s">
        <v>231</v>
      </c>
      <c r="I1426" t="s">
        <v>72</v>
      </c>
    </row>
    <row r="1427" spans="1:9" x14ac:dyDescent="0.25">
      <c r="A1427" t="s">
        <v>231</v>
      </c>
      <c r="B1427" t="s">
        <v>100</v>
      </c>
      <c r="C1427" t="s">
        <v>789</v>
      </c>
      <c r="D1427" s="1">
        <v>45170.172523148147</v>
      </c>
      <c r="E1427" t="s">
        <v>240</v>
      </c>
      <c r="F1427" s="2">
        <v>-12.53</v>
      </c>
      <c r="G1427" t="s">
        <v>70</v>
      </c>
      <c r="H1427" t="s">
        <v>231</v>
      </c>
      <c r="I1427" t="s">
        <v>72</v>
      </c>
    </row>
    <row r="1428" spans="1:9" x14ac:dyDescent="0.25">
      <c r="A1428" t="s">
        <v>231</v>
      </c>
      <c r="B1428" t="s">
        <v>100</v>
      </c>
      <c r="C1428" t="s">
        <v>789</v>
      </c>
      <c r="D1428" s="1">
        <v>45169</v>
      </c>
      <c r="E1428" t="s">
        <v>790</v>
      </c>
      <c r="F1428" s="2">
        <v>-482.55</v>
      </c>
      <c r="G1428" t="s">
        <v>70</v>
      </c>
      <c r="H1428" t="s">
        <v>231</v>
      </c>
      <c r="I1428" t="s">
        <v>72</v>
      </c>
    </row>
    <row r="1429" spans="1:9" x14ac:dyDescent="0.25">
      <c r="A1429" t="s">
        <v>231</v>
      </c>
      <c r="B1429" t="s">
        <v>100</v>
      </c>
      <c r="C1429" t="s">
        <v>789</v>
      </c>
      <c r="D1429" s="1">
        <v>45169</v>
      </c>
      <c r="E1429" t="s">
        <v>791</v>
      </c>
      <c r="F1429" s="2">
        <v>-21.09</v>
      </c>
      <c r="G1429" t="s">
        <v>70</v>
      </c>
      <c r="H1429" t="s">
        <v>231</v>
      </c>
      <c r="I1429" t="s">
        <v>72</v>
      </c>
    </row>
    <row r="1430" spans="1:9" x14ac:dyDescent="0.25">
      <c r="A1430" t="s">
        <v>231</v>
      </c>
      <c r="B1430" t="s">
        <v>100</v>
      </c>
      <c r="C1430" t="s">
        <v>789</v>
      </c>
      <c r="D1430" s="1">
        <v>45169</v>
      </c>
      <c r="E1430" t="s">
        <v>792</v>
      </c>
      <c r="F1430" s="2">
        <v>-33.049999999999997</v>
      </c>
      <c r="G1430" t="s">
        <v>70</v>
      </c>
      <c r="H1430" t="s">
        <v>231</v>
      </c>
      <c r="I1430" t="s">
        <v>72</v>
      </c>
    </row>
    <row r="1431" spans="1:9" x14ac:dyDescent="0.25">
      <c r="A1431" t="s">
        <v>231</v>
      </c>
      <c r="B1431" t="s">
        <v>100</v>
      </c>
      <c r="C1431" t="s">
        <v>789</v>
      </c>
      <c r="D1431" s="1">
        <v>45168.676550925928</v>
      </c>
      <c r="E1431" t="s">
        <v>234</v>
      </c>
      <c r="F1431" s="2">
        <v>-782.81</v>
      </c>
      <c r="G1431" t="s">
        <v>70</v>
      </c>
      <c r="H1431" t="s">
        <v>231</v>
      </c>
      <c r="I1431" t="s">
        <v>72</v>
      </c>
    </row>
    <row r="1432" spans="1:9" x14ac:dyDescent="0.25">
      <c r="A1432" t="s">
        <v>231</v>
      </c>
      <c r="B1432" t="s">
        <v>100</v>
      </c>
      <c r="C1432" t="s">
        <v>789</v>
      </c>
      <c r="D1432" s="1">
        <v>45168.650439814817</v>
      </c>
      <c r="E1432" t="s">
        <v>236</v>
      </c>
      <c r="F1432" s="2">
        <v>2143.9299999999998</v>
      </c>
      <c r="G1432" t="s">
        <v>74</v>
      </c>
      <c r="H1432" t="s">
        <v>256</v>
      </c>
      <c r="I1432" t="s">
        <v>257</v>
      </c>
    </row>
    <row r="1433" spans="1:9" x14ac:dyDescent="0.25">
      <c r="A1433" t="s">
        <v>231</v>
      </c>
      <c r="B1433" t="s">
        <v>100</v>
      </c>
      <c r="C1433" t="s">
        <v>789</v>
      </c>
      <c r="D1433" s="1">
        <v>45163.239386574074</v>
      </c>
      <c r="E1433" t="s">
        <v>234</v>
      </c>
      <c r="F1433" s="2">
        <v>-1007.32</v>
      </c>
      <c r="G1433" t="s">
        <v>70</v>
      </c>
      <c r="H1433" t="s">
        <v>231</v>
      </c>
      <c r="I1433" t="s">
        <v>72</v>
      </c>
    </row>
    <row r="1434" spans="1:9" x14ac:dyDescent="0.25">
      <c r="A1434" t="s">
        <v>231</v>
      </c>
      <c r="B1434" t="s">
        <v>100</v>
      </c>
      <c r="C1434" t="s">
        <v>789</v>
      </c>
      <c r="D1434" s="1">
        <v>45162.172847222224</v>
      </c>
      <c r="E1434" t="s">
        <v>232</v>
      </c>
      <c r="F1434" s="2">
        <v>-15.97</v>
      </c>
      <c r="G1434" t="s">
        <v>70</v>
      </c>
      <c r="H1434" t="s">
        <v>231</v>
      </c>
      <c r="I1434" t="s">
        <v>72</v>
      </c>
    </row>
    <row r="1435" spans="1:9" x14ac:dyDescent="0.25">
      <c r="A1435" t="s">
        <v>231</v>
      </c>
      <c r="B1435" t="s">
        <v>100</v>
      </c>
      <c r="C1435" t="s">
        <v>789</v>
      </c>
      <c r="D1435" s="1">
        <v>45162.775324074071</v>
      </c>
      <c r="E1435" t="s">
        <v>247</v>
      </c>
      <c r="F1435" s="2">
        <v>-86.51</v>
      </c>
      <c r="G1435" t="s">
        <v>84</v>
      </c>
      <c r="H1435" t="s">
        <v>85</v>
      </c>
      <c r="I1435" t="s">
        <v>97</v>
      </c>
    </row>
    <row r="1436" spans="1:9" x14ac:dyDescent="0.25">
      <c r="A1436" t="s">
        <v>231</v>
      </c>
      <c r="B1436" t="s">
        <v>100</v>
      </c>
      <c r="C1436" t="s">
        <v>789</v>
      </c>
      <c r="D1436" s="1">
        <v>45162</v>
      </c>
      <c r="E1436" t="s">
        <v>790</v>
      </c>
      <c r="F1436" s="2">
        <v>-154.66</v>
      </c>
      <c r="G1436" t="s">
        <v>70</v>
      </c>
      <c r="H1436" t="s">
        <v>231</v>
      </c>
      <c r="I1436" t="s">
        <v>72</v>
      </c>
    </row>
    <row r="1437" spans="1:9" x14ac:dyDescent="0.25">
      <c r="A1437" t="s">
        <v>231</v>
      </c>
      <c r="B1437" t="s">
        <v>100</v>
      </c>
      <c r="C1437" t="s">
        <v>789</v>
      </c>
      <c r="D1437" s="1">
        <v>45162</v>
      </c>
      <c r="E1437" t="s">
        <v>791</v>
      </c>
      <c r="F1437" s="2">
        <v>-438.74</v>
      </c>
      <c r="G1437" t="s">
        <v>70</v>
      </c>
      <c r="H1437" t="s">
        <v>231</v>
      </c>
      <c r="I1437" t="s">
        <v>72</v>
      </c>
    </row>
    <row r="1438" spans="1:9" x14ac:dyDescent="0.25">
      <c r="A1438" t="s">
        <v>231</v>
      </c>
      <c r="B1438" t="s">
        <v>100</v>
      </c>
      <c r="C1438" t="s">
        <v>789</v>
      </c>
      <c r="D1438" s="1">
        <v>45162</v>
      </c>
      <c r="E1438" t="s">
        <v>792</v>
      </c>
      <c r="F1438" s="2">
        <v>-271.17</v>
      </c>
      <c r="G1438" t="s">
        <v>70</v>
      </c>
      <c r="H1438" t="s">
        <v>231</v>
      </c>
      <c r="I1438" t="s">
        <v>72</v>
      </c>
    </row>
    <row r="1439" spans="1:9" x14ac:dyDescent="0.25">
      <c r="A1439" t="s">
        <v>231</v>
      </c>
      <c r="B1439" t="s">
        <v>100</v>
      </c>
      <c r="C1439" t="s">
        <v>789</v>
      </c>
      <c r="D1439" s="1">
        <v>45162.671458333331</v>
      </c>
      <c r="E1439" t="s">
        <v>248</v>
      </c>
      <c r="F1439" s="2">
        <v>415.08</v>
      </c>
      <c r="G1439" t="s">
        <v>70</v>
      </c>
      <c r="H1439" t="s">
        <v>231</v>
      </c>
      <c r="I1439" t="s">
        <v>72</v>
      </c>
    </row>
    <row r="1440" spans="1:9" x14ac:dyDescent="0.25">
      <c r="A1440" t="s">
        <v>231</v>
      </c>
      <c r="B1440" t="s">
        <v>100</v>
      </c>
      <c r="C1440" t="s">
        <v>789</v>
      </c>
      <c r="D1440" s="1">
        <v>45161.650555555556</v>
      </c>
      <c r="E1440" t="s">
        <v>236</v>
      </c>
      <c r="F1440" s="2">
        <v>816.79</v>
      </c>
      <c r="G1440" t="s">
        <v>74</v>
      </c>
      <c r="H1440" t="s">
        <v>256</v>
      </c>
      <c r="I1440" t="s">
        <v>257</v>
      </c>
    </row>
    <row r="1441" spans="1:9" x14ac:dyDescent="0.25">
      <c r="A1441" t="s">
        <v>231</v>
      </c>
      <c r="B1441" t="s">
        <v>100</v>
      </c>
      <c r="C1441" t="s">
        <v>789</v>
      </c>
      <c r="D1441" s="1">
        <v>45158.172835648147</v>
      </c>
      <c r="E1441" t="s">
        <v>235</v>
      </c>
      <c r="F1441" s="2">
        <v>-231.9</v>
      </c>
      <c r="G1441" t="s">
        <v>70</v>
      </c>
      <c r="H1441" t="s">
        <v>231</v>
      </c>
      <c r="I1441" t="s">
        <v>72</v>
      </c>
    </row>
    <row r="1442" spans="1:9" x14ac:dyDescent="0.25">
      <c r="A1442" t="s">
        <v>231</v>
      </c>
      <c r="B1442" t="s">
        <v>100</v>
      </c>
      <c r="C1442" t="s">
        <v>789</v>
      </c>
      <c r="D1442" s="1">
        <v>45156.176388888889</v>
      </c>
      <c r="E1442" t="s">
        <v>237</v>
      </c>
      <c r="F1442" s="2">
        <v>-13.77</v>
      </c>
      <c r="G1442" t="s">
        <v>70</v>
      </c>
      <c r="H1442" t="s">
        <v>231</v>
      </c>
      <c r="I1442" t="s">
        <v>72</v>
      </c>
    </row>
    <row r="1443" spans="1:9" x14ac:dyDescent="0.25">
      <c r="A1443" t="s">
        <v>231</v>
      </c>
      <c r="B1443" t="s">
        <v>100</v>
      </c>
      <c r="C1443" t="s">
        <v>789</v>
      </c>
      <c r="D1443" s="1">
        <v>45156.176365740743</v>
      </c>
      <c r="E1443" t="s">
        <v>238</v>
      </c>
      <c r="F1443" s="2">
        <v>-146.58000000000001</v>
      </c>
      <c r="G1443" t="s">
        <v>70</v>
      </c>
      <c r="H1443" t="s">
        <v>231</v>
      </c>
      <c r="I1443" t="s">
        <v>72</v>
      </c>
    </row>
    <row r="1444" spans="1:9" x14ac:dyDescent="0.25">
      <c r="A1444" t="s">
        <v>231</v>
      </c>
      <c r="B1444" t="s">
        <v>100</v>
      </c>
      <c r="C1444" t="s">
        <v>789</v>
      </c>
      <c r="D1444" s="1">
        <v>45156.176342592589</v>
      </c>
      <c r="E1444" t="s">
        <v>239</v>
      </c>
      <c r="F1444" s="2">
        <v>-29.19</v>
      </c>
      <c r="G1444" t="s">
        <v>70</v>
      </c>
      <c r="H1444" t="s">
        <v>231</v>
      </c>
      <c r="I1444" t="s">
        <v>72</v>
      </c>
    </row>
    <row r="1445" spans="1:9" x14ac:dyDescent="0.25">
      <c r="A1445" t="s">
        <v>231</v>
      </c>
      <c r="B1445" t="s">
        <v>100</v>
      </c>
      <c r="C1445" t="s">
        <v>789</v>
      </c>
      <c r="D1445" s="1">
        <v>45155</v>
      </c>
      <c r="E1445" t="s">
        <v>790</v>
      </c>
      <c r="F1445" s="2">
        <v>-314.92</v>
      </c>
      <c r="G1445" t="s">
        <v>70</v>
      </c>
      <c r="H1445" t="s">
        <v>231</v>
      </c>
      <c r="I1445" t="s">
        <v>72</v>
      </c>
    </row>
    <row r="1446" spans="1:9" x14ac:dyDescent="0.25">
      <c r="A1446" t="s">
        <v>231</v>
      </c>
      <c r="B1446" t="s">
        <v>100</v>
      </c>
      <c r="C1446" t="s">
        <v>789</v>
      </c>
      <c r="D1446" s="1">
        <v>45155</v>
      </c>
      <c r="E1446" t="s">
        <v>791</v>
      </c>
      <c r="F1446" s="2">
        <v>-242.32</v>
      </c>
      <c r="G1446" t="s">
        <v>70</v>
      </c>
      <c r="H1446" t="s">
        <v>231</v>
      </c>
      <c r="I1446" t="s">
        <v>72</v>
      </c>
    </row>
    <row r="1447" spans="1:9" x14ac:dyDescent="0.25">
      <c r="A1447" t="s">
        <v>231</v>
      </c>
      <c r="B1447" t="s">
        <v>100</v>
      </c>
      <c r="C1447" t="s">
        <v>789</v>
      </c>
      <c r="D1447" s="1">
        <v>45155</v>
      </c>
      <c r="E1447" t="s">
        <v>792</v>
      </c>
      <c r="F1447" s="2">
        <v>-292.86</v>
      </c>
      <c r="G1447" t="s">
        <v>70</v>
      </c>
      <c r="H1447" t="s">
        <v>231</v>
      </c>
      <c r="I1447" t="s">
        <v>72</v>
      </c>
    </row>
    <row r="1448" spans="1:9" x14ac:dyDescent="0.25">
      <c r="A1448" t="s">
        <v>231</v>
      </c>
      <c r="B1448" t="s">
        <v>100</v>
      </c>
      <c r="C1448" t="s">
        <v>789</v>
      </c>
      <c r="D1448" s="1">
        <v>45154.71125</v>
      </c>
      <c r="E1448" t="s">
        <v>234</v>
      </c>
      <c r="F1448" s="2">
        <v>-318.31</v>
      </c>
      <c r="G1448" t="s">
        <v>70</v>
      </c>
      <c r="H1448" t="s">
        <v>231</v>
      </c>
      <c r="I1448" t="s">
        <v>72</v>
      </c>
    </row>
    <row r="1449" spans="1:9" x14ac:dyDescent="0.25">
      <c r="A1449" t="s">
        <v>231</v>
      </c>
      <c r="B1449" t="s">
        <v>100</v>
      </c>
      <c r="C1449" t="s">
        <v>789</v>
      </c>
      <c r="D1449" s="1">
        <v>45154.68172453704</v>
      </c>
      <c r="E1449" t="s">
        <v>236</v>
      </c>
      <c r="F1449" s="2">
        <v>1091.28</v>
      </c>
      <c r="G1449" t="s">
        <v>74</v>
      </c>
      <c r="H1449" t="s">
        <v>256</v>
      </c>
      <c r="I1449" t="s">
        <v>257</v>
      </c>
    </row>
    <row r="1450" spans="1:9" x14ac:dyDescent="0.25">
      <c r="A1450" t="s">
        <v>231</v>
      </c>
      <c r="B1450" t="s">
        <v>100</v>
      </c>
      <c r="C1450" t="s">
        <v>789</v>
      </c>
      <c r="D1450" s="1">
        <v>45151.171377314815</v>
      </c>
      <c r="E1450" t="s">
        <v>241</v>
      </c>
      <c r="F1450" s="2">
        <v>-61.57</v>
      </c>
      <c r="G1450" t="s">
        <v>70</v>
      </c>
      <c r="H1450" t="s">
        <v>231</v>
      </c>
      <c r="I1450" t="s">
        <v>72</v>
      </c>
    </row>
    <row r="1451" spans="1:9" x14ac:dyDescent="0.25">
      <c r="A1451" t="s">
        <v>231</v>
      </c>
      <c r="B1451" t="s">
        <v>100</v>
      </c>
      <c r="C1451" t="s">
        <v>789</v>
      </c>
      <c r="D1451" s="1">
        <v>45151.171238425923</v>
      </c>
      <c r="E1451" t="s">
        <v>233</v>
      </c>
      <c r="F1451" s="2">
        <v>-8.08</v>
      </c>
      <c r="G1451" t="s">
        <v>70</v>
      </c>
      <c r="H1451" t="s">
        <v>231</v>
      </c>
      <c r="I1451" t="s">
        <v>72</v>
      </c>
    </row>
    <row r="1452" spans="1:9" x14ac:dyDescent="0.25">
      <c r="A1452" t="s">
        <v>231</v>
      </c>
      <c r="B1452" t="s">
        <v>100</v>
      </c>
      <c r="C1452" t="s">
        <v>789</v>
      </c>
      <c r="D1452" s="1">
        <v>45148</v>
      </c>
      <c r="E1452" t="s">
        <v>790</v>
      </c>
      <c r="F1452" s="2">
        <v>-271.14999999999998</v>
      </c>
      <c r="G1452" t="s">
        <v>70</v>
      </c>
      <c r="H1452" t="s">
        <v>231</v>
      </c>
      <c r="I1452" t="s">
        <v>72</v>
      </c>
    </row>
    <row r="1453" spans="1:9" x14ac:dyDescent="0.25">
      <c r="A1453" t="s">
        <v>231</v>
      </c>
      <c r="B1453" t="s">
        <v>100</v>
      </c>
      <c r="C1453" t="s">
        <v>789</v>
      </c>
      <c r="D1453" s="1">
        <v>45148</v>
      </c>
      <c r="E1453" t="s">
        <v>791</v>
      </c>
      <c r="F1453" s="2">
        <v>-324.88</v>
      </c>
      <c r="G1453" t="s">
        <v>70</v>
      </c>
      <c r="H1453" t="s">
        <v>231</v>
      </c>
      <c r="I1453" t="s">
        <v>72</v>
      </c>
    </row>
    <row r="1454" spans="1:9" x14ac:dyDescent="0.25">
      <c r="A1454" t="s">
        <v>231</v>
      </c>
      <c r="B1454" t="s">
        <v>100</v>
      </c>
      <c r="C1454" t="s">
        <v>789</v>
      </c>
      <c r="D1454" s="1">
        <v>45148</v>
      </c>
      <c r="E1454" t="s">
        <v>792</v>
      </c>
      <c r="F1454" s="2">
        <v>-354.16</v>
      </c>
      <c r="G1454" t="s">
        <v>70</v>
      </c>
      <c r="H1454" t="s">
        <v>231</v>
      </c>
      <c r="I1454" t="s">
        <v>72</v>
      </c>
    </row>
    <row r="1455" spans="1:9" x14ac:dyDescent="0.25">
      <c r="A1455" t="s">
        <v>231</v>
      </c>
      <c r="B1455" t="s">
        <v>100</v>
      </c>
      <c r="C1455" t="s">
        <v>789</v>
      </c>
      <c r="D1455" s="1">
        <v>45148.607094907406</v>
      </c>
      <c r="E1455" t="s">
        <v>234</v>
      </c>
      <c r="F1455" s="2">
        <v>-535.16</v>
      </c>
      <c r="G1455" t="s">
        <v>70</v>
      </c>
      <c r="H1455" t="s">
        <v>231</v>
      </c>
      <c r="I1455" t="s">
        <v>72</v>
      </c>
    </row>
    <row r="1456" spans="1:9" x14ac:dyDescent="0.25">
      <c r="A1456" t="s">
        <v>231</v>
      </c>
      <c r="B1456" t="s">
        <v>100</v>
      </c>
      <c r="C1456" t="s">
        <v>789</v>
      </c>
      <c r="D1456" s="1">
        <v>45147.946504629632</v>
      </c>
      <c r="E1456" t="s">
        <v>249</v>
      </c>
      <c r="F1456" s="2">
        <v>-193.37</v>
      </c>
      <c r="G1456" t="s">
        <v>79</v>
      </c>
      <c r="H1456" t="s">
        <v>81</v>
      </c>
      <c r="I1456" t="s">
        <v>81</v>
      </c>
    </row>
    <row r="1457" spans="1:9" x14ac:dyDescent="0.25">
      <c r="A1457" t="s">
        <v>231</v>
      </c>
      <c r="B1457" t="s">
        <v>100</v>
      </c>
      <c r="C1457" t="s">
        <v>789</v>
      </c>
      <c r="D1457" s="1">
        <v>45148.607233796298</v>
      </c>
      <c r="E1457" t="s">
        <v>244</v>
      </c>
      <c r="F1457" s="2">
        <v>-96.04</v>
      </c>
      <c r="G1457" t="s">
        <v>70</v>
      </c>
      <c r="H1457" t="s">
        <v>231</v>
      </c>
      <c r="I1457" t="s">
        <v>72</v>
      </c>
    </row>
    <row r="1458" spans="1:9" x14ac:dyDescent="0.25">
      <c r="A1458" t="s">
        <v>231</v>
      </c>
      <c r="B1458" t="s">
        <v>100</v>
      </c>
      <c r="C1458" t="s">
        <v>789</v>
      </c>
      <c r="D1458" s="1">
        <v>45147.650613425925</v>
      </c>
      <c r="E1458" t="s">
        <v>236</v>
      </c>
      <c r="F1458" s="2">
        <v>568.55999999999995</v>
      </c>
      <c r="G1458" t="s">
        <v>74</v>
      </c>
      <c r="H1458" t="s">
        <v>256</v>
      </c>
      <c r="I1458" t="s">
        <v>257</v>
      </c>
    </row>
    <row r="1459" spans="1:9" x14ac:dyDescent="0.25">
      <c r="A1459" t="s">
        <v>231</v>
      </c>
      <c r="B1459" t="s">
        <v>100</v>
      </c>
      <c r="C1459" t="s">
        <v>789</v>
      </c>
      <c r="D1459" s="1">
        <v>45144.172858796293</v>
      </c>
      <c r="E1459" t="s">
        <v>242</v>
      </c>
      <c r="F1459" s="2">
        <v>-32.049999999999997</v>
      </c>
      <c r="G1459" t="s">
        <v>70</v>
      </c>
      <c r="H1459" t="s">
        <v>231</v>
      </c>
      <c r="I1459" t="s">
        <v>72</v>
      </c>
    </row>
    <row r="1460" spans="1:9" x14ac:dyDescent="0.25">
      <c r="A1460" t="s">
        <v>231</v>
      </c>
      <c r="B1460" t="s">
        <v>100</v>
      </c>
      <c r="C1460" t="s">
        <v>789</v>
      </c>
      <c r="D1460" s="1">
        <v>45144.172685185185</v>
      </c>
      <c r="E1460" t="s">
        <v>243</v>
      </c>
      <c r="F1460" s="2">
        <v>-16.37</v>
      </c>
      <c r="G1460" t="s">
        <v>70</v>
      </c>
      <c r="H1460" t="s">
        <v>231</v>
      </c>
      <c r="I1460" t="s">
        <v>72</v>
      </c>
    </row>
    <row r="1461" spans="1:9" x14ac:dyDescent="0.25">
      <c r="A1461" t="s">
        <v>231</v>
      </c>
      <c r="B1461" t="s">
        <v>100</v>
      </c>
      <c r="C1461" t="s">
        <v>789</v>
      </c>
      <c r="D1461" s="1">
        <v>45142.179189814815</v>
      </c>
      <c r="E1461" t="s">
        <v>245</v>
      </c>
      <c r="F1461" s="2">
        <v>-52.32</v>
      </c>
      <c r="G1461" t="s">
        <v>70</v>
      </c>
      <c r="H1461" t="s">
        <v>231</v>
      </c>
      <c r="I1461" t="s">
        <v>72</v>
      </c>
    </row>
    <row r="1462" spans="1:9" x14ac:dyDescent="0.25">
      <c r="A1462" t="s">
        <v>231</v>
      </c>
      <c r="B1462" t="s">
        <v>100</v>
      </c>
      <c r="C1462" t="s">
        <v>789</v>
      </c>
      <c r="D1462" s="1">
        <v>45142.178472222222</v>
      </c>
      <c r="E1462" t="s">
        <v>240</v>
      </c>
      <c r="F1462" s="2">
        <v>-25.2</v>
      </c>
      <c r="G1462" t="s">
        <v>70</v>
      </c>
      <c r="H1462" t="s">
        <v>231</v>
      </c>
      <c r="I1462" t="s">
        <v>72</v>
      </c>
    </row>
    <row r="1463" spans="1:9" x14ac:dyDescent="0.25">
      <c r="A1463" t="s">
        <v>231</v>
      </c>
      <c r="B1463" t="s">
        <v>100</v>
      </c>
      <c r="C1463" t="s">
        <v>789</v>
      </c>
      <c r="D1463" s="1">
        <v>45142.178472222222</v>
      </c>
      <c r="E1463" t="s">
        <v>246</v>
      </c>
      <c r="F1463" s="2">
        <v>-25.21</v>
      </c>
      <c r="G1463" t="s">
        <v>70</v>
      </c>
      <c r="H1463" t="s">
        <v>231</v>
      </c>
      <c r="I1463" t="s">
        <v>72</v>
      </c>
    </row>
    <row r="1464" spans="1:9" x14ac:dyDescent="0.25">
      <c r="A1464" t="s">
        <v>231</v>
      </c>
      <c r="B1464" t="s">
        <v>100</v>
      </c>
      <c r="C1464" t="s">
        <v>789</v>
      </c>
      <c r="D1464" s="1">
        <v>45142.717418981483</v>
      </c>
      <c r="E1464" t="s">
        <v>234</v>
      </c>
      <c r="F1464" s="2">
        <v>-2108.8200000000002</v>
      </c>
      <c r="G1464" t="s">
        <v>70</v>
      </c>
      <c r="H1464" t="s">
        <v>231</v>
      </c>
      <c r="I1464" t="s">
        <v>72</v>
      </c>
    </row>
    <row r="1465" spans="1:9" x14ac:dyDescent="0.25">
      <c r="A1465" t="s">
        <v>231</v>
      </c>
      <c r="B1465" t="s">
        <v>100</v>
      </c>
      <c r="C1465" t="s">
        <v>789</v>
      </c>
      <c r="D1465" s="1">
        <v>45142.671041666668</v>
      </c>
      <c r="E1465" t="s">
        <v>236</v>
      </c>
      <c r="F1465" s="2">
        <v>4395.1099999999997</v>
      </c>
      <c r="G1465" t="s">
        <v>74</v>
      </c>
      <c r="H1465" t="s">
        <v>256</v>
      </c>
      <c r="I1465" t="s">
        <v>257</v>
      </c>
    </row>
    <row r="1466" spans="1:9" x14ac:dyDescent="0.25">
      <c r="A1466" t="s">
        <v>231</v>
      </c>
      <c r="B1466" t="s">
        <v>100</v>
      </c>
      <c r="C1466" t="s">
        <v>789</v>
      </c>
      <c r="D1466" s="1">
        <v>45141</v>
      </c>
      <c r="E1466" t="s">
        <v>790</v>
      </c>
      <c r="F1466" s="2">
        <v>-351.44</v>
      </c>
      <c r="G1466" t="s">
        <v>70</v>
      </c>
      <c r="H1466" t="s">
        <v>231</v>
      </c>
      <c r="I1466" t="s">
        <v>72</v>
      </c>
    </row>
    <row r="1467" spans="1:9" x14ac:dyDescent="0.25">
      <c r="A1467" t="s">
        <v>231</v>
      </c>
      <c r="B1467" t="s">
        <v>100</v>
      </c>
      <c r="C1467" t="s">
        <v>789</v>
      </c>
      <c r="D1467" s="1">
        <v>45141</v>
      </c>
      <c r="E1467" t="s">
        <v>791</v>
      </c>
      <c r="F1467" s="2">
        <v>-539.30999999999995</v>
      </c>
      <c r="G1467" t="s">
        <v>70</v>
      </c>
      <c r="H1467" t="s">
        <v>231</v>
      </c>
      <c r="I1467" t="s">
        <v>72</v>
      </c>
    </row>
    <row r="1468" spans="1:9" x14ac:dyDescent="0.25">
      <c r="A1468" t="s">
        <v>231</v>
      </c>
      <c r="B1468" t="s">
        <v>100</v>
      </c>
      <c r="C1468" t="s">
        <v>789</v>
      </c>
      <c r="D1468" s="1">
        <v>45141</v>
      </c>
      <c r="E1468" t="s">
        <v>792</v>
      </c>
      <c r="F1468" s="2">
        <v>-305.43</v>
      </c>
      <c r="G1468" t="s">
        <v>70</v>
      </c>
      <c r="H1468" t="s">
        <v>231</v>
      </c>
      <c r="I1468" t="s">
        <v>72</v>
      </c>
    </row>
    <row r="1469" spans="1:9" x14ac:dyDescent="0.25">
      <c r="A1469" t="s">
        <v>231</v>
      </c>
      <c r="B1469" t="s">
        <v>100</v>
      </c>
      <c r="C1469" t="s">
        <v>789</v>
      </c>
      <c r="D1469" s="1">
        <v>45140.654317129629</v>
      </c>
      <c r="E1469" t="s">
        <v>234</v>
      </c>
      <c r="F1469" s="2">
        <v>-1260.1099999999999</v>
      </c>
      <c r="G1469" t="s">
        <v>70</v>
      </c>
      <c r="H1469" t="s">
        <v>231</v>
      </c>
      <c r="I1469" t="s">
        <v>72</v>
      </c>
    </row>
    <row r="1470" spans="1:9" x14ac:dyDescent="0.25">
      <c r="A1470" t="s">
        <v>231</v>
      </c>
      <c r="B1470" t="s">
        <v>100</v>
      </c>
      <c r="C1470" t="s">
        <v>789</v>
      </c>
      <c r="D1470" s="1">
        <v>45140.654479166667</v>
      </c>
      <c r="E1470" t="s">
        <v>244</v>
      </c>
      <c r="F1470" s="2">
        <v>-47.33</v>
      </c>
      <c r="G1470" t="s">
        <v>70</v>
      </c>
      <c r="H1470" t="s">
        <v>231</v>
      </c>
      <c r="I1470" t="s">
        <v>72</v>
      </c>
    </row>
    <row r="1471" spans="1:9" x14ac:dyDescent="0.25">
      <c r="A1471" t="s">
        <v>231</v>
      </c>
      <c r="B1471" t="s">
        <v>100</v>
      </c>
      <c r="C1471" t="s">
        <v>789</v>
      </c>
      <c r="D1471" s="1">
        <v>45140.650740740741</v>
      </c>
      <c r="E1471" t="s">
        <v>236</v>
      </c>
      <c r="F1471" s="2">
        <v>2664.4</v>
      </c>
      <c r="G1471" t="s">
        <v>74</v>
      </c>
      <c r="H1471" t="s">
        <v>256</v>
      </c>
      <c r="I1471" t="s">
        <v>257</v>
      </c>
    </row>
    <row r="1472" spans="1:9" x14ac:dyDescent="0.25">
      <c r="A1472" t="s">
        <v>231</v>
      </c>
      <c r="B1472" t="s">
        <v>100</v>
      </c>
      <c r="C1472" t="s">
        <v>789</v>
      </c>
      <c r="D1472" s="1">
        <v>45134</v>
      </c>
      <c r="E1472" t="s">
        <v>790</v>
      </c>
      <c r="F1472" s="2">
        <v>-95.1</v>
      </c>
      <c r="G1472" t="s">
        <v>70</v>
      </c>
      <c r="H1472" t="s">
        <v>231</v>
      </c>
      <c r="I1472" t="s">
        <v>72</v>
      </c>
    </row>
    <row r="1473" spans="1:9" x14ac:dyDescent="0.25">
      <c r="A1473" t="s">
        <v>231</v>
      </c>
      <c r="B1473" t="s">
        <v>100</v>
      </c>
      <c r="C1473" t="s">
        <v>789</v>
      </c>
      <c r="D1473" s="1">
        <v>45134</v>
      </c>
      <c r="E1473" t="s">
        <v>791</v>
      </c>
      <c r="F1473" s="2">
        <v>-678.95</v>
      </c>
      <c r="G1473" t="s">
        <v>70</v>
      </c>
      <c r="H1473" t="s">
        <v>231</v>
      </c>
      <c r="I1473" t="s">
        <v>72</v>
      </c>
    </row>
    <row r="1474" spans="1:9" x14ac:dyDescent="0.25">
      <c r="A1474" t="s">
        <v>231</v>
      </c>
      <c r="B1474" t="s">
        <v>100</v>
      </c>
      <c r="C1474" t="s">
        <v>789</v>
      </c>
      <c r="D1474" s="1">
        <v>45134</v>
      </c>
      <c r="E1474" t="s">
        <v>792</v>
      </c>
      <c r="F1474" s="2">
        <v>-182.73</v>
      </c>
      <c r="G1474" t="s">
        <v>70</v>
      </c>
      <c r="H1474" t="s">
        <v>231</v>
      </c>
      <c r="I1474" t="s">
        <v>72</v>
      </c>
    </row>
    <row r="1475" spans="1:9" x14ac:dyDescent="0.25">
      <c r="A1475" t="s">
        <v>231</v>
      </c>
      <c r="B1475" t="s">
        <v>100</v>
      </c>
      <c r="C1475" t="s">
        <v>789</v>
      </c>
      <c r="D1475" s="1">
        <v>45133.711469907408</v>
      </c>
      <c r="E1475" t="s">
        <v>234</v>
      </c>
      <c r="F1475" s="2">
        <v>-49.16</v>
      </c>
      <c r="G1475" t="s">
        <v>70</v>
      </c>
      <c r="H1475" t="s">
        <v>231</v>
      </c>
      <c r="I1475" t="s">
        <v>72</v>
      </c>
    </row>
    <row r="1476" spans="1:9" x14ac:dyDescent="0.25">
      <c r="A1476" t="s">
        <v>231</v>
      </c>
      <c r="B1476" t="s">
        <v>100</v>
      </c>
      <c r="C1476" t="s">
        <v>789</v>
      </c>
      <c r="D1476" s="1">
        <v>45133.71166666667</v>
      </c>
      <c r="E1476" t="s">
        <v>244</v>
      </c>
      <c r="F1476" s="2">
        <v>-70.760000000000005</v>
      </c>
      <c r="G1476" t="s">
        <v>70</v>
      </c>
      <c r="H1476" t="s">
        <v>231</v>
      </c>
      <c r="I1476" t="s">
        <v>72</v>
      </c>
    </row>
    <row r="1477" spans="1:9" x14ac:dyDescent="0.25">
      <c r="A1477" t="s">
        <v>231</v>
      </c>
      <c r="B1477" t="s">
        <v>100</v>
      </c>
      <c r="C1477" t="s">
        <v>789</v>
      </c>
      <c r="D1477" s="1">
        <v>45133.650925925926</v>
      </c>
      <c r="E1477" t="s">
        <v>236</v>
      </c>
      <c r="F1477" s="2">
        <v>2991.7</v>
      </c>
      <c r="G1477" t="s">
        <v>74</v>
      </c>
      <c r="H1477" t="s">
        <v>256</v>
      </c>
      <c r="I1477" t="s">
        <v>257</v>
      </c>
    </row>
    <row r="1478" spans="1:9" x14ac:dyDescent="0.25">
      <c r="A1478" t="s">
        <v>231</v>
      </c>
      <c r="B1478" t="s">
        <v>100</v>
      </c>
      <c r="C1478" t="s">
        <v>789</v>
      </c>
      <c r="D1478" s="1">
        <v>45131.171134259261</v>
      </c>
      <c r="E1478" t="s">
        <v>232</v>
      </c>
      <c r="F1478" s="2">
        <v>-0.93</v>
      </c>
      <c r="G1478" t="s">
        <v>70</v>
      </c>
      <c r="H1478" t="s">
        <v>231</v>
      </c>
      <c r="I1478" t="s">
        <v>72</v>
      </c>
    </row>
    <row r="1479" spans="1:9" x14ac:dyDescent="0.25">
      <c r="A1479" t="s">
        <v>231</v>
      </c>
      <c r="B1479" t="s">
        <v>100</v>
      </c>
      <c r="C1479" t="s">
        <v>789</v>
      </c>
      <c r="D1479" s="1">
        <v>45127.178159722222</v>
      </c>
      <c r="E1479" t="s">
        <v>235</v>
      </c>
      <c r="F1479" s="2">
        <v>-60.8</v>
      </c>
      <c r="G1479" t="s">
        <v>70</v>
      </c>
      <c r="H1479" t="s">
        <v>231</v>
      </c>
      <c r="I1479" t="s">
        <v>72</v>
      </c>
    </row>
    <row r="1480" spans="1:9" x14ac:dyDescent="0.25">
      <c r="A1480" t="s">
        <v>231</v>
      </c>
      <c r="B1480" t="s">
        <v>100</v>
      </c>
      <c r="C1480" t="s">
        <v>789</v>
      </c>
      <c r="D1480" s="1">
        <v>45127</v>
      </c>
      <c r="E1480" t="s">
        <v>790</v>
      </c>
      <c r="F1480" s="2">
        <v>-739.9</v>
      </c>
      <c r="G1480" t="s">
        <v>70</v>
      </c>
      <c r="H1480" t="s">
        <v>231</v>
      </c>
      <c r="I1480" t="s">
        <v>72</v>
      </c>
    </row>
    <row r="1481" spans="1:9" x14ac:dyDescent="0.25">
      <c r="A1481" t="s">
        <v>231</v>
      </c>
      <c r="B1481" t="s">
        <v>100</v>
      </c>
      <c r="C1481" t="s">
        <v>789</v>
      </c>
      <c r="D1481" s="1">
        <v>45127</v>
      </c>
      <c r="E1481" t="s">
        <v>791</v>
      </c>
      <c r="F1481" s="2">
        <v>-197.6</v>
      </c>
      <c r="G1481" t="s">
        <v>70</v>
      </c>
      <c r="H1481" t="s">
        <v>231</v>
      </c>
      <c r="I1481" t="s">
        <v>72</v>
      </c>
    </row>
    <row r="1482" spans="1:9" x14ac:dyDescent="0.25">
      <c r="A1482" t="s">
        <v>231</v>
      </c>
      <c r="B1482" t="s">
        <v>100</v>
      </c>
      <c r="C1482" t="s">
        <v>789</v>
      </c>
      <c r="D1482" s="1">
        <v>45127</v>
      </c>
      <c r="E1482" t="s">
        <v>792</v>
      </c>
      <c r="F1482" s="2">
        <v>-109.49</v>
      </c>
      <c r="G1482" t="s">
        <v>70</v>
      </c>
      <c r="H1482" t="s">
        <v>231</v>
      </c>
      <c r="I1482" t="s">
        <v>72</v>
      </c>
    </row>
    <row r="1483" spans="1:9" x14ac:dyDescent="0.25">
      <c r="A1483" t="s">
        <v>231</v>
      </c>
      <c r="B1483" t="s">
        <v>100</v>
      </c>
      <c r="C1483" t="s">
        <v>789</v>
      </c>
      <c r="D1483" s="1">
        <v>45126.654606481483</v>
      </c>
      <c r="E1483" t="s">
        <v>234</v>
      </c>
      <c r="F1483" s="2">
        <v>-1101.94</v>
      </c>
      <c r="G1483" t="s">
        <v>70</v>
      </c>
      <c r="H1483" t="s">
        <v>231</v>
      </c>
      <c r="I1483" t="s">
        <v>72</v>
      </c>
    </row>
    <row r="1484" spans="1:9" x14ac:dyDescent="0.25">
      <c r="A1484" t="s">
        <v>231</v>
      </c>
      <c r="B1484" t="s">
        <v>100</v>
      </c>
      <c r="C1484" t="s">
        <v>789</v>
      </c>
      <c r="D1484" s="1">
        <v>45126.654432870368</v>
      </c>
      <c r="E1484" t="s">
        <v>244</v>
      </c>
      <c r="F1484" s="2">
        <v>-76.06</v>
      </c>
      <c r="G1484" t="s">
        <v>70</v>
      </c>
      <c r="H1484" t="s">
        <v>231</v>
      </c>
      <c r="I1484" t="s">
        <v>72</v>
      </c>
    </row>
    <row r="1485" spans="1:9" x14ac:dyDescent="0.25">
      <c r="A1485" t="s">
        <v>231</v>
      </c>
      <c r="B1485" t="s">
        <v>100</v>
      </c>
      <c r="C1485" t="s">
        <v>789</v>
      </c>
      <c r="D1485" s="1">
        <v>45126.650601851848</v>
      </c>
      <c r="E1485" t="s">
        <v>236</v>
      </c>
      <c r="F1485" s="2">
        <v>1687.64</v>
      </c>
      <c r="G1485" t="s">
        <v>74</v>
      </c>
      <c r="H1485" t="s">
        <v>256</v>
      </c>
      <c r="I1485" t="s">
        <v>257</v>
      </c>
    </row>
    <row r="1486" spans="1:9" x14ac:dyDescent="0.25">
      <c r="A1486" t="s">
        <v>231</v>
      </c>
      <c r="B1486" t="s">
        <v>100</v>
      </c>
      <c r="C1486" t="s">
        <v>789</v>
      </c>
      <c r="D1486" s="1">
        <v>45125.175555555557</v>
      </c>
      <c r="E1486" t="s">
        <v>237</v>
      </c>
      <c r="F1486" s="2">
        <v>-166.71</v>
      </c>
      <c r="G1486" t="s">
        <v>70</v>
      </c>
      <c r="H1486" t="s">
        <v>231</v>
      </c>
      <c r="I1486" t="s">
        <v>72</v>
      </c>
    </row>
    <row r="1487" spans="1:9" x14ac:dyDescent="0.25">
      <c r="A1487" t="s">
        <v>231</v>
      </c>
      <c r="B1487" t="s">
        <v>100</v>
      </c>
      <c r="C1487" t="s">
        <v>789</v>
      </c>
      <c r="D1487" s="1">
        <v>45125.175532407404</v>
      </c>
      <c r="E1487" t="s">
        <v>238</v>
      </c>
      <c r="F1487" s="2">
        <v>-56.06</v>
      </c>
      <c r="G1487" t="s">
        <v>70</v>
      </c>
      <c r="H1487" t="s">
        <v>231</v>
      </c>
      <c r="I1487" t="s">
        <v>72</v>
      </c>
    </row>
    <row r="1488" spans="1:9" x14ac:dyDescent="0.25">
      <c r="A1488" t="s">
        <v>231</v>
      </c>
      <c r="B1488" t="s">
        <v>100</v>
      </c>
      <c r="C1488" t="s">
        <v>789</v>
      </c>
      <c r="D1488" s="1">
        <v>45125.175509259258</v>
      </c>
      <c r="E1488" t="s">
        <v>239</v>
      </c>
      <c r="F1488" s="2">
        <v>-107.76</v>
      </c>
      <c r="G1488" t="s">
        <v>70</v>
      </c>
      <c r="H1488" t="s">
        <v>231</v>
      </c>
      <c r="I1488" t="s">
        <v>72</v>
      </c>
    </row>
    <row r="1489" spans="1:9" x14ac:dyDescent="0.25">
      <c r="A1489" t="s">
        <v>231</v>
      </c>
      <c r="B1489" t="s">
        <v>100</v>
      </c>
      <c r="C1489" t="s">
        <v>789</v>
      </c>
      <c r="D1489" s="1">
        <v>45123.172407407408</v>
      </c>
      <c r="E1489" t="s">
        <v>233</v>
      </c>
      <c r="F1489" s="2">
        <v>-0.98</v>
      </c>
      <c r="G1489" t="s">
        <v>70</v>
      </c>
      <c r="H1489" t="s">
        <v>231</v>
      </c>
      <c r="I1489" t="s">
        <v>72</v>
      </c>
    </row>
    <row r="1490" spans="1:9" x14ac:dyDescent="0.25">
      <c r="A1490" t="s">
        <v>231</v>
      </c>
      <c r="B1490" t="s">
        <v>100</v>
      </c>
      <c r="C1490" t="s">
        <v>789</v>
      </c>
      <c r="D1490" s="1">
        <v>45120.175497685188</v>
      </c>
      <c r="E1490" t="s">
        <v>241</v>
      </c>
      <c r="F1490" s="2">
        <v>-34.979999999999997</v>
      </c>
      <c r="G1490" t="s">
        <v>70</v>
      </c>
      <c r="H1490" t="s">
        <v>231</v>
      </c>
      <c r="I1490" t="s">
        <v>72</v>
      </c>
    </row>
    <row r="1491" spans="1:9" x14ac:dyDescent="0.25">
      <c r="A1491" t="s">
        <v>231</v>
      </c>
      <c r="B1491" t="s">
        <v>100</v>
      </c>
      <c r="C1491" t="s">
        <v>789</v>
      </c>
      <c r="D1491" s="1">
        <v>45120</v>
      </c>
      <c r="E1491" t="s">
        <v>790</v>
      </c>
      <c r="F1491" s="2">
        <v>-25.26</v>
      </c>
      <c r="G1491" t="s">
        <v>70</v>
      </c>
      <c r="H1491" t="s">
        <v>231</v>
      </c>
      <c r="I1491" t="s">
        <v>72</v>
      </c>
    </row>
    <row r="1492" spans="1:9" x14ac:dyDescent="0.25">
      <c r="A1492" t="s">
        <v>231</v>
      </c>
      <c r="B1492" t="s">
        <v>100</v>
      </c>
      <c r="C1492" t="s">
        <v>789</v>
      </c>
      <c r="D1492" s="1">
        <v>45120</v>
      </c>
      <c r="E1492" t="s">
        <v>791</v>
      </c>
      <c r="F1492" s="2">
        <v>-348.47</v>
      </c>
      <c r="G1492" t="s">
        <v>70</v>
      </c>
      <c r="H1492" t="s">
        <v>231</v>
      </c>
      <c r="I1492" t="s">
        <v>72</v>
      </c>
    </row>
    <row r="1493" spans="1:9" x14ac:dyDescent="0.25">
      <c r="A1493" t="s">
        <v>231</v>
      </c>
      <c r="B1493" t="s">
        <v>100</v>
      </c>
      <c r="C1493" t="s">
        <v>789</v>
      </c>
      <c r="D1493" s="1">
        <v>45120</v>
      </c>
      <c r="E1493" t="s">
        <v>792</v>
      </c>
      <c r="F1493" s="2">
        <v>-353.01</v>
      </c>
      <c r="G1493" t="s">
        <v>70</v>
      </c>
      <c r="H1493" t="s">
        <v>231</v>
      </c>
      <c r="I1493" t="s">
        <v>72</v>
      </c>
    </row>
    <row r="1494" spans="1:9" x14ac:dyDescent="0.25">
      <c r="A1494" t="s">
        <v>231</v>
      </c>
      <c r="B1494" t="s">
        <v>100</v>
      </c>
      <c r="C1494" t="s">
        <v>789</v>
      </c>
      <c r="D1494" s="1">
        <v>45119.737256944441</v>
      </c>
      <c r="E1494" t="s">
        <v>244</v>
      </c>
      <c r="F1494" s="2">
        <v>-154.5</v>
      </c>
      <c r="G1494" t="s">
        <v>70</v>
      </c>
      <c r="H1494" t="s">
        <v>231</v>
      </c>
      <c r="I1494" t="s">
        <v>72</v>
      </c>
    </row>
    <row r="1495" spans="1:9" x14ac:dyDescent="0.25">
      <c r="A1495" t="s">
        <v>231</v>
      </c>
      <c r="B1495" t="s">
        <v>100</v>
      </c>
      <c r="C1495" t="s">
        <v>789</v>
      </c>
      <c r="D1495" s="1">
        <v>45119.73746527778</v>
      </c>
      <c r="E1495" t="s">
        <v>234</v>
      </c>
      <c r="F1495" s="2">
        <v>-204.03</v>
      </c>
      <c r="G1495" t="s">
        <v>70</v>
      </c>
      <c r="H1495" t="s">
        <v>231</v>
      </c>
      <c r="I1495" t="s">
        <v>72</v>
      </c>
    </row>
    <row r="1496" spans="1:9" x14ac:dyDescent="0.25">
      <c r="A1496" t="s">
        <v>231</v>
      </c>
      <c r="B1496" t="s">
        <v>100</v>
      </c>
      <c r="C1496" t="s">
        <v>789</v>
      </c>
      <c r="D1496" s="1">
        <v>45119.671400462961</v>
      </c>
      <c r="E1496" t="s">
        <v>236</v>
      </c>
      <c r="F1496" s="2">
        <v>3080.95</v>
      </c>
      <c r="G1496" t="s">
        <v>74</v>
      </c>
      <c r="H1496" t="s">
        <v>256</v>
      </c>
      <c r="I1496" t="s">
        <v>257</v>
      </c>
    </row>
    <row r="1497" spans="1:9" x14ac:dyDescent="0.25">
      <c r="A1497" t="s">
        <v>231</v>
      </c>
      <c r="B1497" t="s">
        <v>100</v>
      </c>
      <c r="C1497" t="s">
        <v>789</v>
      </c>
      <c r="D1497" s="1">
        <v>45114.173217592594</v>
      </c>
      <c r="E1497" t="s">
        <v>240</v>
      </c>
      <c r="F1497" s="2">
        <v>-12.85</v>
      </c>
      <c r="G1497" t="s">
        <v>70</v>
      </c>
      <c r="H1497" t="s">
        <v>231</v>
      </c>
      <c r="I1497" t="s">
        <v>72</v>
      </c>
    </row>
    <row r="1498" spans="1:9" x14ac:dyDescent="0.25">
      <c r="A1498" t="s">
        <v>231</v>
      </c>
      <c r="B1498" t="s">
        <v>100</v>
      </c>
      <c r="C1498" t="s">
        <v>789</v>
      </c>
      <c r="D1498" s="1">
        <v>45113.175462962965</v>
      </c>
      <c r="E1498" t="s">
        <v>242</v>
      </c>
      <c r="F1498" s="2">
        <v>-62.1</v>
      </c>
      <c r="G1498" t="s">
        <v>70</v>
      </c>
      <c r="H1498" t="s">
        <v>231</v>
      </c>
      <c r="I1498" t="s">
        <v>72</v>
      </c>
    </row>
    <row r="1499" spans="1:9" x14ac:dyDescent="0.25">
      <c r="A1499" t="s">
        <v>231</v>
      </c>
      <c r="B1499" t="s">
        <v>100</v>
      </c>
      <c r="C1499" t="s">
        <v>789</v>
      </c>
      <c r="D1499" s="1">
        <v>45113.172581018516</v>
      </c>
      <c r="E1499" t="s">
        <v>243</v>
      </c>
      <c r="F1499" s="2">
        <v>-4.49</v>
      </c>
      <c r="G1499" t="s">
        <v>70</v>
      </c>
      <c r="H1499" t="s">
        <v>231</v>
      </c>
      <c r="I1499" t="s">
        <v>72</v>
      </c>
    </row>
    <row r="1500" spans="1:9" x14ac:dyDescent="0.25">
      <c r="A1500" t="s">
        <v>231</v>
      </c>
      <c r="B1500" t="s">
        <v>100</v>
      </c>
      <c r="C1500" t="s">
        <v>789</v>
      </c>
      <c r="D1500" s="1">
        <v>45113</v>
      </c>
      <c r="E1500" t="s">
        <v>790</v>
      </c>
      <c r="F1500" s="2">
        <v>-51.38</v>
      </c>
      <c r="G1500" t="s">
        <v>70</v>
      </c>
      <c r="H1500" t="s">
        <v>231</v>
      </c>
      <c r="I1500" t="s">
        <v>72</v>
      </c>
    </row>
    <row r="1501" spans="1:9" x14ac:dyDescent="0.25">
      <c r="A1501" t="s">
        <v>231</v>
      </c>
      <c r="B1501" t="s">
        <v>100</v>
      </c>
      <c r="C1501" t="s">
        <v>789</v>
      </c>
      <c r="D1501" s="1">
        <v>45113</v>
      </c>
      <c r="E1501" t="s">
        <v>791</v>
      </c>
      <c r="F1501" s="2">
        <v>-95.96</v>
      </c>
      <c r="G1501" t="s">
        <v>70</v>
      </c>
      <c r="H1501" t="s">
        <v>231</v>
      </c>
      <c r="I1501" t="s">
        <v>72</v>
      </c>
    </row>
    <row r="1502" spans="1:9" x14ac:dyDescent="0.25">
      <c r="A1502" t="s">
        <v>231</v>
      </c>
      <c r="B1502" t="s">
        <v>100</v>
      </c>
      <c r="C1502" t="s">
        <v>789</v>
      </c>
      <c r="D1502" s="1">
        <v>45113</v>
      </c>
      <c r="E1502" t="s">
        <v>792</v>
      </c>
      <c r="F1502" s="2">
        <v>-115.46</v>
      </c>
      <c r="G1502" t="s">
        <v>70</v>
      </c>
      <c r="H1502" t="s">
        <v>231</v>
      </c>
      <c r="I1502" t="s">
        <v>72</v>
      </c>
    </row>
    <row r="1503" spans="1:9" x14ac:dyDescent="0.25">
      <c r="A1503" t="s">
        <v>231</v>
      </c>
      <c r="B1503" t="s">
        <v>100</v>
      </c>
      <c r="C1503" t="s">
        <v>789</v>
      </c>
      <c r="D1503" s="1">
        <v>45112.655624999999</v>
      </c>
      <c r="E1503" t="s">
        <v>234</v>
      </c>
      <c r="F1503" s="2">
        <v>-57.81</v>
      </c>
      <c r="G1503" t="s">
        <v>70</v>
      </c>
      <c r="H1503" t="s">
        <v>231</v>
      </c>
      <c r="I1503" t="s">
        <v>72</v>
      </c>
    </row>
    <row r="1504" spans="1:9" x14ac:dyDescent="0.25">
      <c r="A1504" t="s">
        <v>231</v>
      </c>
      <c r="B1504" t="s">
        <v>100</v>
      </c>
      <c r="C1504" t="s">
        <v>789</v>
      </c>
      <c r="D1504" s="1">
        <v>45112.65415509259</v>
      </c>
      <c r="E1504" t="s">
        <v>244</v>
      </c>
      <c r="F1504" s="2">
        <v>-55.86</v>
      </c>
      <c r="G1504" t="s">
        <v>70</v>
      </c>
      <c r="H1504" t="s">
        <v>231</v>
      </c>
      <c r="I1504" t="s">
        <v>72</v>
      </c>
    </row>
    <row r="1505" spans="1:9" x14ac:dyDescent="0.25">
      <c r="A1505" t="s">
        <v>231</v>
      </c>
      <c r="B1505" t="s">
        <v>100</v>
      </c>
      <c r="C1505" t="s">
        <v>789</v>
      </c>
      <c r="D1505" s="1">
        <v>45112.6559837963</v>
      </c>
      <c r="E1505" t="s">
        <v>244</v>
      </c>
      <c r="F1505" s="2">
        <v>-8.5500000000000007</v>
      </c>
      <c r="G1505" t="s">
        <v>70</v>
      </c>
      <c r="H1505" t="s">
        <v>231</v>
      </c>
      <c r="I1505" t="s">
        <v>72</v>
      </c>
    </row>
    <row r="1506" spans="1:9" x14ac:dyDescent="0.25">
      <c r="A1506" t="s">
        <v>231</v>
      </c>
      <c r="B1506" t="s">
        <v>100</v>
      </c>
      <c r="C1506" t="s">
        <v>789</v>
      </c>
      <c r="D1506" s="1">
        <v>45112.650567129633</v>
      </c>
      <c r="E1506" t="s">
        <v>236</v>
      </c>
      <c r="F1506" s="2">
        <v>176.51</v>
      </c>
      <c r="G1506" t="s">
        <v>74</v>
      </c>
      <c r="H1506" t="s">
        <v>256</v>
      </c>
      <c r="I1506" t="s">
        <v>257</v>
      </c>
    </row>
    <row r="1507" spans="1:9" x14ac:dyDescent="0.25">
      <c r="A1507" t="s">
        <v>231</v>
      </c>
      <c r="B1507" t="s">
        <v>100</v>
      </c>
      <c r="C1507" t="s">
        <v>789</v>
      </c>
      <c r="D1507" s="1">
        <v>45111.172650462962</v>
      </c>
      <c r="E1507" t="s">
        <v>245</v>
      </c>
      <c r="F1507" s="2">
        <v>-65.349999999999994</v>
      </c>
      <c r="G1507" t="s">
        <v>70</v>
      </c>
      <c r="H1507" t="s">
        <v>231</v>
      </c>
      <c r="I1507" t="s">
        <v>72</v>
      </c>
    </row>
    <row r="1508" spans="1:9" x14ac:dyDescent="0.25">
      <c r="A1508" t="s">
        <v>231</v>
      </c>
      <c r="B1508" t="s">
        <v>100</v>
      </c>
      <c r="C1508" t="s">
        <v>789</v>
      </c>
      <c r="D1508" s="1">
        <v>45111.171944444446</v>
      </c>
      <c r="E1508" t="s">
        <v>246</v>
      </c>
      <c r="F1508" s="2">
        <v>-17.57</v>
      </c>
      <c r="G1508" t="s">
        <v>70</v>
      </c>
      <c r="H1508" t="s">
        <v>231</v>
      </c>
      <c r="I1508" t="s">
        <v>72</v>
      </c>
    </row>
    <row r="1509" spans="1:9" x14ac:dyDescent="0.25">
      <c r="A1509" t="s">
        <v>231</v>
      </c>
      <c r="B1509" t="s">
        <v>100</v>
      </c>
      <c r="C1509" t="s">
        <v>789</v>
      </c>
      <c r="D1509" s="1">
        <v>45106</v>
      </c>
      <c r="E1509" t="s">
        <v>790</v>
      </c>
      <c r="F1509" s="2">
        <v>-517.27</v>
      </c>
      <c r="G1509" t="s">
        <v>70</v>
      </c>
      <c r="H1509" t="s">
        <v>231</v>
      </c>
      <c r="I1509" t="s">
        <v>72</v>
      </c>
    </row>
    <row r="1510" spans="1:9" x14ac:dyDescent="0.25">
      <c r="A1510" t="s">
        <v>231</v>
      </c>
      <c r="B1510" t="s">
        <v>100</v>
      </c>
      <c r="C1510" t="s">
        <v>789</v>
      </c>
      <c r="D1510" s="1">
        <v>45106</v>
      </c>
      <c r="E1510" t="s">
        <v>791</v>
      </c>
      <c r="F1510" s="2">
        <v>-712.54</v>
      </c>
      <c r="G1510" t="s">
        <v>70</v>
      </c>
      <c r="H1510" t="s">
        <v>231</v>
      </c>
      <c r="I1510" t="s">
        <v>72</v>
      </c>
    </row>
    <row r="1511" spans="1:9" x14ac:dyDescent="0.25">
      <c r="A1511" t="s">
        <v>231</v>
      </c>
      <c r="B1511" t="s">
        <v>100</v>
      </c>
      <c r="C1511" t="s">
        <v>789</v>
      </c>
      <c r="D1511" s="1">
        <v>45106</v>
      </c>
      <c r="E1511" t="s">
        <v>792</v>
      </c>
      <c r="F1511" s="2">
        <v>-7.28</v>
      </c>
      <c r="G1511" t="s">
        <v>70</v>
      </c>
      <c r="H1511" t="s">
        <v>231</v>
      </c>
      <c r="I1511" t="s">
        <v>72</v>
      </c>
    </row>
    <row r="1512" spans="1:9" x14ac:dyDescent="0.25">
      <c r="A1512" t="s">
        <v>231</v>
      </c>
      <c r="B1512" t="s">
        <v>100</v>
      </c>
      <c r="C1512" t="s">
        <v>789</v>
      </c>
      <c r="D1512" s="1">
        <v>45105.659166666665</v>
      </c>
      <c r="E1512" t="s">
        <v>234</v>
      </c>
      <c r="F1512" s="2">
        <v>-337.97</v>
      </c>
      <c r="G1512" t="s">
        <v>70</v>
      </c>
      <c r="H1512" t="s">
        <v>231</v>
      </c>
      <c r="I1512" t="s">
        <v>72</v>
      </c>
    </row>
    <row r="1513" spans="1:9" x14ac:dyDescent="0.25">
      <c r="A1513" t="s">
        <v>231</v>
      </c>
      <c r="B1513" t="s">
        <v>100</v>
      </c>
      <c r="C1513" t="s">
        <v>789</v>
      </c>
      <c r="D1513" s="1">
        <v>45105.659351851849</v>
      </c>
      <c r="E1513" t="s">
        <v>244</v>
      </c>
      <c r="F1513" s="2">
        <v>-137.46</v>
      </c>
      <c r="G1513" t="s">
        <v>70</v>
      </c>
      <c r="H1513" t="s">
        <v>231</v>
      </c>
      <c r="I1513" t="s">
        <v>72</v>
      </c>
    </row>
    <row r="1514" spans="1:9" x14ac:dyDescent="0.25">
      <c r="A1514" t="s">
        <v>231</v>
      </c>
      <c r="B1514" t="s">
        <v>100</v>
      </c>
      <c r="C1514" t="s">
        <v>789</v>
      </c>
      <c r="D1514" s="1">
        <v>45105.650775462964</v>
      </c>
      <c r="E1514" t="s">
        <v>236</v>
      </c>
      <c r="F1514" s="2">
        <v>903.5</v>
      </c>
      <c r="G1514" t="s">
        <v>74</v>
      </c>
      <c r="H1514" t="s">
        <v>256</v>
      </c>
      <c r="I1514" t="s">
        <v>257</v>
      </c>
    </row>
    <row r="1515" spans="1:9" x14ac:dyDescent="0.25">
      <c r="A1515" t="s">
        <v>231</v>
      </c>
      <c r="B1515" t="s">
        <v>100</v>
      </c>
      <c r="C1515" t="s">
        <v>789</v>
      </c>
      <c r="D1515" s="1">
        <v>45101.177870370368</v>
      </c>
      <c r="E1515" t="s">
        <v>232</v>
      </c>
      <c r="F1515" s="2">
        <v>-24.68</v>
      </c>
      <c r="G1515" t="s">
        <v>70</v>
      </c>
      <c r="H1515" t="s">
        <v>231</v>
      </c>
      <c r="I1515" t="s">
        <v>72</v>
      </c>
    </row>
    <row r="1516" spans="1:9" x14ac:dyDescent="0.25">
      <c r="A1516" t="s">
        <v>231</v>
      </c>
      <c r="B1516" t="s">
        <v>100</v>
      </c>
      <c r="C1516" t="s">
        <v>789</v>
      </c>
      <c r="D1516" s="1">
        <v>45099</v>
      </c>
      <c r="E1516" t="s">
        <v>790</v>
      </c>
      <c r="F1516" s="2">
        <v>-439.33</v>
      </c>
      <c r="G1516" t="s">
        <v>70</v>
      </c>
      <c r="H1516" t="s">
        <v>231</v>
      </c>
      <c r="I1516" t="s">
        <v>72</v>
      </c>
    </row>
    <row r="1517" spans="1:9" x14ac:dyDescent="0.25">
      <c r="A1517" t="s">
        <v>231</v>
      </c>
      <c r="B1517" t="s">
        <v>100</v>
      </c>
      <c r="C1517" t="s">
        <v>789</v>
      </c>
      <c r="D1517" s="1">
        <v>45099</v>
      </c>
      <c r="E1517" t="s">
        <v>791</v>
      </c>
      <c r="F1517" s="2">
        <v>-53.87</v>
      </c>
      <c r="G1517" t="s">
        <v>70</v>
      </c>
      <c r="H1517" t="s">
        <v>231</v>
      </c>
      <c r="I1517" t="s">
        <v>72</v>
      </c>
    </row>
    <row r="1518" spans="1:9" x14ac:dyDescent="0.25">
      <c r="A1518" t="s">
        <v>231</v>
      </c>
      <c r="B1518" t="s">
        <v>100</v>
      </c>
      <c r="C1518" t="s">
        <v>789</v>
      </c>
      <c r="D1518" s="1">
        <v>45099</v>
      </c>
      <c r="E1518" t="s">
        <v>792</v>
      </c>
      <c r="F1518" s="2">
        <v>-350.42</v>
      </c>
      <c r="G1518" t="s">
        <v>70</v>
      </c>
      <c r="H1518" t="s">
        <v>231</v>
      </c>
      <c r="I1518" t="s">
        <v>72</v>
      </c>
    </row>
    <row r="1519" spans="1:9" x14ac:dyDescent="0.25">
      <c r="A1519" t="s">
        <v>231</v>
      </c>
      <c r="B1519" t="s">
        <v>100</v>
      </c>
      <c r="C1519" t="s">
        <v>789</v>
      </c>
      <c r="D1519" s="1">
        <v>45098.725706018522</v>
      </c>
      <c r="E1519" t="s">
        <v>234</v>
      </c>
      <c r="F1519" s="2">
        <v>-1076.76</v>
      </c>
      <c r="G1519" t="s">
        <v>70</v>
      </c>
      <c r="H1519" t="s">
        <v>231</v>
      </c>
      <c r="I1519" t="s">
        <v>72</v>
      </c>
    </row>
    <row r="1520" spans="1:9" x14ac:dyDescent="0.25">
      <c r="A1520" t="s">
        <v>231</v>
      </c>
      <c r="B1520" t="s">
        <v>100</v>
      </c>
      <c r="C1520" t="s">
        <v>789</v>
      </c>
      <c r="D1520" s="1">
        <v>45098.681759259256</v>
      </c>
      <c r="E1520" t="s">
        <v>236</v>
      </c>
      <c r="F1520" s="2">
        <v>585.36</v>
      </c>
      <c r="G1520" t="s">
        <v>74</v>
      </c>
      <c r="H1520" t="s">
        <v>256</v>
      </c>
      <c r="I1520" t="s">
        <v>257</v>
      </c>
    </row>
    <row r="1521" spans="1:9" x14ac:dyDescent="0.25">
      <c r="A1521" t="s">
        <v>231</v>
      </c>
      <c r="B1521" t="s">
        <v>100</v>
      </c>
      <c r="C1521" t="s">
        <v>789</v>
      </c>
      <c r="D1521" s="1">
        <v>45097.175023148149</v>
      </c>
      <c r="E1521" t="s">
        <v>235</v>
      </c>
      <c r="F1521" s="2">
        <v>-101.86</v>
      </c>
      <c r="G1521" t="s">
        <v>70</v>
      </c>
      <c r="H1521" t="s">
        <v>231</v>
      </c>
      <c r="I1521" t="s">
        <v>72</v>
      </c>
    </row>
    <row r="1522" spans="1:9" x14ac:dyDescent="0.25">
      <c r="A1522" t="s">
        <v>231</v>
      </c>
      <c r="B1522" t="s">
        <v>100</v>
      </c>
      <c r="C1522" t="s">
        <v>789</v>
      </c>
      <c r="D1522" s="1">
        <v>45095.173576388886</v>
      </c>
      <c r="E1522" t="s">
        <v>237</v>
      </c>
      <c r="F1522" s="2">
        <v>-1.1499999999999999</v>
      </c>
      <c r="G1522" t="s">
        <v>70</v>
      </c>
      <c r="H1522" t="s">
        <v>231</v>
      </c>
      <c r="I1522" t="s">
        <v>72</v>
      </c>
    </row>
    <row r="1523" spans="1:9" x14ac:dyDescent="0.25">
      <c r="A1523" t="s">
        <v>231</v>
      </c>
      <c r="B1523" t="s">
        <v>100</v>
      </c>
      <c r="C1523" t="s">
        <v>789</v>
      </c>
      <c r="D1523" s="1">
        <v>45095.173576388886</v>
      </c>
      <c r="E1523" t="s">
        <v>238</v>
      </c>
      <c r="F1523" s="2">
        <v>-104.73</v>
      </c>
      <c r="G1523" t="s">
        <v>70</v>
      </c>
      <c r="H1523" t="s">
        <v>231</v>
      </c>
      <c r="I1523" t="s">
        <v>72</v>
      </c>
    </row>
    <row r="1524" spans="1:9" x14ac:dyDescent="0.25">
      <c r="A1524" t="s">
        <v>231</v>
      </c>
      <c r="B1524" t="s">
        <v>100</v>
      </c>
      <c r="C1524" t="s">
        <v>789</v>
      </c>
      <c r="D1524" s="1">
        <v>45095.173564814817</v>
      </c>
      <c r="E1524" t="s">
        <v>239</v>
      </c>
      <c r="F1524" s="2">
        <v>-117.48</v>
      </c>
      <c r="G1524" t="s">
        <v>70</v>
      </c>
      <c r="H1524" t="s">
        <v>231</v>
      </c>
      <c r="I1524" t="s">
        <v>72</v>
      </c>
    </row>
    <row r="1525" spans="1:9" x14ac:dyDescent="0.25">
      <c r="A1525" t="s">
        <v>231</v>
      </c>
      <c r="B1525" t="s">
        <v>100</v>
      </c>
      <c r="C1525" t="s">
        <v>789</v>
      </c>
      <c r="D1525" s="1">
        <v>45095.173356481479</v>
      </c>
      <c r="E1525" t="s">
        <v>233</v>
      </c>
      <c r="F1525" s="2">
        <v>-5.43</v>
      </c>
      <c r="G1525" t="s">
        <v>70</v>
      </c>
      <c r="H1525" t="s">
        <v>231</v>
      </c>
      <c r="I1525" t="s">
        <v>72</v>
      </c>
    </row>
    <row r="1526" spans="1:9" x14ac:dyDescent="0.25">
      <c r="A1526" t="s">
        <v>231</v>
      </c>
      <c r="B1526" t="s">
        <v>100</v>
      </c>
      <c r="C1526" t="s">
        <v>789</v>
      </c>
      <c r="D1526" s="1">
        <v>45092</v>
      </c>
      <c r="E1526" t="s">
        <v>790</v>
      </c>
      <c r="F1526" s="2">
        <v>-415.37</v>
      </c>
      <c r="G1526" t="s">
        <v>70</v>
      </c>
      <c r="H1526" t="s">
        <v>231</v>
      </c>
      <c r="I1526" t="s">
        <v>72</v>
      </c>
    </row>
    <row r="1527" spans="1:9" x14ac:dyDescent="0.25">
      <c r="A1527" t="s">
        <v>231</v>
      </c>
      <c r="B1527" t="s">
        <v>100</v>
      </c>
      <c r="C1527" t="s">
        <v>789</v>
      </c>
      <c r="D1527" s="1">
        <v>45092</v>
      </c>
      <c r="E1527" t="s">
        <v>791</v>
      </c>
      <c r="F1527" s="2">
        <v>-319.72000000000003</v>
      </c>
      <c r="G1527" t="s">
        <v>70</v>
      </c>
      <c r="H1527" t="s">
        <v>231</v>
      </c>
      <c r="I1527" t="s">
        <v>72</v>
      </c>
    </row>
    <row r="1528" spans="1:9" x14ac:dyDescent="0.25">
      <c r="A1528" t="s">
        <v>231</v>
      </c>
      <c r="B1528" t="s">
        <v>100</v>
      </c>
      <c r="C1528" t="s">
        <v>789</v>
      </c>
      <c r="D1528" s="1">
        <v>45092</v>
      </c>
      <c r="E1528" t="s">
        <v>792</v>
      </c>
      <c r="F1528" s="2">
        <v>-284.77</v>
      </c>
      <c r="G1528" t="s">
        <v>70</v>
      </c>
      <c r="H1528" t="s">
        <v>231</v>
      </c>
      <c r="I1528" t="s">
        <v>72</v>
      </c>
    </row>
    <row r="1529" spans="1:9" x14ac:dyDescent="0.25">
      <c r="A1529" t="s">
        <v>231</v>
      </c>
      <c r="B1529" t="s">
        <v>100</v>
      </c>
      <c r="C1529" t="s">
        <v>789</v>
      </c>
      <c r="D1529" s="1">
        <v>45091.912777777776</v>
      </c>
      <c r="E1529" t="s">
        <v>234</v>
      </c>
      <c r="F1529" s="2">
        <v>-52.93</v>
      </c>
      <c r="G1529" t="s">
        <v>70</v>
      </c>
      <c r="H1529" t="s">
        <v>231</v>
      </c>
      <c r="I1529" t="s">
        <v>72</v>
      </c>
    </row>
    <row r="1530" spans="1:9" x14ac:dyDescent="0.25">
      <c r="A1530" t="s">
        <v>231</v>
      </c>
      <c r="B1530" t="s">
        <v>100</v>
      </c>
      <c r="C1530" t="s">
        <v>789</v>
      </c>
      <c r="D1530" s="1">
        <v>45091.912604166668</v>
      </c>
      <c r="E1530" t="s">
        <v>244</v>
      </c>
      <c r="F1530" s="2">
        <v>-42.23</v>
      </c>
      <c r="G1530" t="s">
        <v>70</v>
      </c>
      <c r="H1530" t="s">
        <v>231</v>
      </c>
      <c r="I1530" t="s">
        <v>72</v>
      </c>
    </row>
    <row r="1531" spans="1:9" x14ac:dyDescent="0.25">
      <c r="A1531" t="s">
        <v>231</v>
      </c>
      <c r="B1531" t="s">
        <v>100</v>
      </c>
      <c r="C1531" t="s">
        <v>789</v>
      </c>
      <c r="D1531" s="1">
        <v>45091.65115740741</v>
      </c>
      <c r="E1531" t="s">
        <v>236</v>
      </c>
      <c r="F1531" s="2">
        <v>2420.1999999999998</v>
      </c>
      <c r="G1531" t="s">
        <v>74</v>
      </c>
      <c r="H1531" t="s">
        <v>256</v>
      </c>
      <c r="I1531" t="s">
        <v>257</v>
      </c>
    </row>
    <row r="1532" spans="1:9" x14ac:dyDescent="0.25">
      <c r="A1532" t="s">
        <v>231</v>
      </c>
      <c r="B1532" t="s">
        <v>100</v>
      </c>
      <c r="C1532" t="s">
        <v>789</v>
      </c>
      <c r="D1532" s="1">
        <v>45090.173043981478</v>
      </c>
      <c r="E1532" t="s">
        <v>241</v>
      </c>
      <c r="F1532" s="2">
        <v>-117.01</v>
      </c>
      <c r="G1532" t="s">
        <v>70</v>
      </c>
      <c r="H1532" t="s">
        <v>231</v>
      </c>
      <c r="I1532" t="s">
        <v>72</v>
      </c>
    </row>
    <row r="1533" spans="1:9" x14ac:dyDescent="0.25">
      <c r="A1533" t="s">
        <v>231</v>
      </c>
      <c r="B1533" t="s">
        <v>100</v>
      </c>
      <c r="C1533" t="s">
        <v>789</v>
      </c>
      <c r="D1533" s="1">
        <v>45086.173680555556</v>
      </c>
      <c r="E1533" t="s">
        <v>240</v>
      </c>
      <c r="F1533" s="2">
        <v>-13.77</v>
      </c>
      <c r="G1533" t="s">
        <v>70</v>
      </c>
      <c r="H1533" t="s">
        <v>231</v>
      </c>
      <c r="I1533" t="s">
        <v>72</v>
      </c>
    </row>
    <row r="1534" spans="1:9" x14ac:dyDescent="0.25">
      <c r="A1534" t="s">
        <v>231</v>
      </c>
      <c r="B1534" t="s">
        <v>100</v>
      </c>
      <c r="C1534" t="s">
        <v>789</v>
      </c>
      <c r="D1534" s="1">
        <v>45085</v>
      </c>
      <c r="E1534" t="s">
        <v>790</v>
      </c>
      <c r="F1534" s="2">
        <v>-223.49</v>
      </c>
      <c r="G1534" t="s">
        <v>70</v>
      </c>
      <c r="H1534" t="s">
        <v>231</v>
      </c>
      <c r="I1534" t="s">
        <v>72</v>
      </c>
    </row>
    <row r="1535" spans="1:9" x14ac:dyDescent="0.25">
      <c r="A1535" t="s">
        <v>231</v>
      </c>
      <c r="B1535" t="s">
        <v>100</v>
      </c>
      <c r="C1535" t="s">
        <v>789</v>
      </c>
      <c r="D1535" s="1">
        <v>45085</v>
      </c>
      <c r="E1535" t="s">
        <v>791</v>
      </c>
      <c r="F1535" s="2">
        <v>-44.3</v>
      </c>
      <c r="G1535" t="s">
        <v>70</v>
      </c>
      <c r="H1535" t="s">
        <v>231</v>
      </c>
      <c r="I1535" t="s">
        <v>72</v>
      </c>
    </row>
    <row r="1536" spans="1:9" x14ac:dyDescent="0.25">
      <c r="A1536" t="s">
        <v>231</v>
      </c>
      <c r="B1536" t="s">
        <v>100</v>
      </c>
      <c r="C1536" t="s">
        <v>789</v>
      </c>
      <c r="D1536" s="1">
        <v>45085</v>
      </c>
      <c r="E1536" t="s">
        <v>792</v>
      </c>
      <c r="F1536" s="2">
        <v>-237.33</v>
      </c>
      <c r="G1536" t="s">
        <v>70</v>
      </c>
      <c r="H1536" t="s">
        <v>231</v>
      </c>
      <c r="I1536" t="s">
        <v>72</v>
      </c>
    </row>
    <row r="1537" spans="1:9" x14ac:dyDescent="0.25">
      <c r="A1537" t="s">
        <v>231</v>
      </c>
      <c r="B1537" t="s">
        <v>100</v>
      </c>
      <c r="C1537" t="s">
        <v>789</v>
      </c>
      <c r="D1537" s="1">
        <v>45084.709340277775</v>
      </c>
      <c r="E1537" t="s">
        <v>234</v>
      </c>
      <c r="F1537" s="2">
        <v>-554.13</v>
      </c>
      <c r="G1537" t="s">
        <v>70</v>
      </c>
      <c r="H1537" t="s">
        <v>231</v>
      </c>
      <c r="I1537" t="s">
        <v>72</v>
      </c>
    </row>
    <row r="1538" spans="1:9" x14ac:dyDescent="0.25">
      <c r="A1538" t="s">
        <v>231</v>
      </c>
      <c r="B1538" t="s">
        <v>100</v>
      </c>
      <c r="C1538" t="s">
        <v>789</v>
      </c>
      <c r="D1538" s="1">
        <v>45084.650902777779</v>
      </c>
      <c r="E1538" t="s">
        <v>236</v>
      </c>
      <c r="F1538" s="2">
        <v>965.53</v>
      </c>
      <c r="G1538" t="s">
        <v>74</v>
      </c>
      <c r="H1538" t="s">
        <v>256</v>
      </c>
      <c r="I1538" t="s">
        <v>257</v>
      </c>
    </row>
    <row r="1539" spans="1:9" x14ac:dyDescent="0.25">
      <c r="A1539" t="s">
        <v>231</v>
      </c>
      <c r="B1539" t="s">
        <v>100</v>
      </c>
      <c r="C1539" t="s">
        <v>789</v>
      </c>
      <c r="D1539" s="1">
        <v>45083.172951388886</v>
      </c>
      <c r="E1539" t="s">
        <v>242</v>
      </c>
      <c r="F1539" s="2">
        <v>-135.1</v>
      </c>
      <c r="G1539" t="s">
        <v>70</v>
      </c>
      <c r="H1539" t="s">
        <v>231</v>
      </c>
      <c r="I1539" t="s">
        <v>72</v>
      </c>
    </row>
    <row r="1540" spans="1:9" x14ac:dyDescent="0.25">
      <c r="A1540" t="s">
        <v>231</v>
      </c>
      <c r="B1540" t="s">
        <v>100</v>
      </c>
      <c r="C1540" t="s">
        <v>789</v>
      </c>
      <c r="D1540" s="1">
        <v>45081.172083333331</v>
      </c>
      <c r="E1540" t="s">
        <v>245</v>
      </c>
      <c r="F1540" s="2">
        <v>-21.42</v>
      </c>
      <c r="G1540" t="s">
        <v>70</v>
      </c>
      <c r="H1540" t="s">
        <v>231</v>
      </c>
      <c r="I1540" t="s">
        <v>72</v>
      </c>
    </row>
    <row r="1541" spans="1:9" x14ac:dyDescent="0.25">
      <c r="A1541" t="s">
        <v>231</v>
      </c>
      <c r="B1541" t="s">
        <v>100</v>
      </c>
      <c r="C1541" t="s">
        <v>789</v>
      </c>
      <c r="D1541" s="1">
        <v>45081.171932870369</v>
      </c>
      <c r="E1541" t="s">
        <v>246</v>
      </c>
      <c r="F1541" s="2">
        <v>-19.71</v>
      </c>
      <c r="G1541" t="s">
        <v>70</v>
      </c>
      <c r="H1541" t="s">
        <v>231</v>
      </c>
      <c r="I1541" t="s">
        <v>72</v>
      </c>
    </row>
    <row r="1542" spans="1:9" x14ac:dyDescent="0.25">
      <c r="A1542" t="s">
        <v>231</v>
      </c>
      <c r="B1542" t="s">
        <v>100</v>
      </c>
      <c r="C1542" t="s">
        <v>789</v>
      </c>
      <c r="D1542" s="1">
        <v>45083.171574074076</v>
      </c>
      <c r="E1542" t="s">
        <v>243</v>
      </c>
      <c r="F1542" s="2">
        <v>-3.52</v>
      </c>
      <c r="G1542" t="s">
        <v>70</v>
      </c>
      <c r="H1542" t="s">
        <v>231</v>
      </c>
      <c r="I1542" t="s">
        <v>72</v>
      </c>
    </row>
    <row r="1543" spans="1:9" x14ac:dyDescent="0.25">
      <c r="A1543" t="s">
        <v>231</v>
      </c>
      <c r="B1543" t="s">
        <v>100</v>
      </c>
      <c r="C1543" t="s">
        <v>789</v>
      </c>
      <c r="D1543" s="1">
        <v>45078</v>
      </c>
      <c r="E1543" t="s">
        <v>790</v>
      </c>
      <c r="F1543" s="2">
        <v>-493.31</v>
      </c>
      <c r="G1543" t="s">
        <v>70</v>
      </c>
      <c r="H1543" t="s">
        <v>231</v>
      </c>
      <c r="I1543" t="s">
        <v>72</v>
      </c>
    </row>
    <row r="1544" spans="1:9" x14ac:dyDescent="0.25">
      <c r="A1544" t="s">
        <v>231</v>
      </c>
      <c r="B1544" t="s">
        <v>100</v>
      </c>
      <c r="C1544" t="s">
        <v>789</v>
      </c>
      <c r="D1544" s="1">
        <v>45078</v>
      </c>
      <c r="E1544" t="s">
        <v>791</v>
      </c>
      <c r="F1544" s="2">
        <v>-443.14</v>
      </c>
      <c r="G1544" t="s">
        <v>70</v>
      </c>
      <c r="H1544" t="s">
        <v>231</v>
      </c>
      <c r="I1544" t="s">
        <v>72</v>
      </c>
    </row>
    <row r="1545" spans="1:9" x14ac:dyDescent="0.25">
      <c r="A1545" t="s">
        <v>231</v>
      </c>
      <c r="B1545" t="s">
        <v>100</v>
      </c>
      <c r="C1545" t="s">
        <v>789</v>
      </c>
      <c r="D1545" s="1">
        <v>45078</v>
      </c>
      <c r="E1545" t="s">
        <v>792</v>
      </c>
      <c r="F1545" s="2">
        <v>-279.45999999999998</v>
      </c>
      <c r="G1545" t="s">
        <v>70</v>
      </c>
      <c r="H1545" t="s">
        <v>231</v>
      </c>
      <c r="I1545" t="s">
        <v>72</v>
      </c>
    </row>
    <row r="1546" spans="1:9" x14ac:dyDescent="0.25">
      <c r="A1546" t="s">
        <v>231</v>
      </c>
      <c r="B1546" t="s">
        <v>100</v>
      </c>
      <c r="C1546" t="s">
        <v>789</v>
      </c>
      <c r="D1546" s="1">
        <v>45077.727071759262</v>
      </c>
      <c r="E1546" t="s">
        <v>234</v>
      </c>
      <c r="F1546" s="2">
        <v>-650.45000000000005</v>
      </c>
      <c r="G1546" t="s">
        <v>70</v>
      </c>
      <c r="H1546" t="s">
        <v>231</v>
      </c>
      <c r="I1546" t="s">
        <v>72</v>
      </c>
    </row>
    <row r="1547" spans="1:9" x14ac:dyDescent="0.25">
      <c r="A1547" t="s">
        <v>231</v>
      </c>
      <c r="B1547" t="s">
        <v>100</v>
      </c>
      <c r="C1547" t="s">
        <v>789</v>
      </c>
      <c r="D1547" s="1">
        <v>45077.726817129631</v>
      </c>
      <c r="E1547" t="s">
        <v>244</v>
      </c>
      <c r="F1547" s="2">
        <v>-510.46</v>
      </c>
      <c r="G1547" t="s">
        <v>70</v>
      </c>
      <c r="H1547" t="s">
        <v>231</v>
      </c>
      <c r="I1547" t="s">
        <v>72</v>
      </c>
    </row>
    <row r="1548" spans="1:9" x14ac:dyDescent="0.25">
      <c r="A1548" t="s">
        <v>231</v>
      </c>
      <c r="B1548" t="s">
        <v>100</v>
      </c>
      <c r="C1548" t="s">
        <v>789</v>
      </c>
      <c r="D1548" s="1">
        <v>45077.65121527778</v>
      </c>
      <c r="E1548" t="s">
        <v>236</v>
      </c>
      <c r="F1548" s="2">
        <v>1049.8900000000001</v>
      </c>
      <c r="G1548" t="s">
        <v>74</v>
      </c>
      <c r="H1548" t="s">
        <v>256</v>
      </c>
      <c r="I1548" t="s">
        <v>257</v>
      </c>
    </row>
    <row r="1549" spans="1:9" x14ac:dyDescent="0.25">
      <c r="A1549" t="s">
        <v>231</v>
      </c>
      <c r="B1549" t="s">
        <v>100</v>
      </c>
      <c r="C1549" t="s">
        <v>789</v>
      </c>
      <c r="D1549" s="1">
        <v>45073.173159722224</v>
      </c>
      <c r="E1549" t="s">
        <v>250</v>
      </c>
      <c r="F1549" s="2">
        <v>-1255.3800000000001</v>
      </c>
      <c r="G1549" t="s">
        <v>70</v>
      </c>
      <c r="H1549" t="s">
        <v>231</v>
      </c>
      <c r="I1549" t="s">
        <v>72</v>
      </c>
    </row>
    <row r="1550" spans="1:9" x14ac:dyDescent="0.25">
      <c r="A1550" t="s">
        <v>231</v>
      </c>
      <c r="B1550" t="s">
        <v>100</v>
      </c>
      <c r="C1550" t="s">
        <v>789</v>
      </c>
      <c r="D1550" s="1">
        <v>45073.173148148147</v>
      </c>
      <c r="E1550" t="s">
        <v>251</v>
      </c>
      <c r="F1550" s="2">
        <v>-479.56</v>
      </c>
      <c r="G1550" t="s">
        <v>70</v>
      </c>
      <c r="H1550" t="s">
        <v>231</v>
      </c>
      <c r="I1550" t="s">
        <v>72</v>
      </c>
    </row>
    <row r="1551" spans="1:9" x14ac:dyDescent="0.25">
      <c r="A1551" t="s">
        <v>231</v>
      </c>
      <c r="B1551" t="s">
        <v>100</v>
      </c>
      <c r="C1551" t="s">
        <v>789</v>
      </c>
      <c r="D1551" s="1">
        <v>45073.173148148147</v>
      </c>
      <c r="E1551" t="s">
        <v>252</v>
      </c>
      <c r="F1551" s="2">
        <v>-55.47</v>
      </c>
      <c r="G1551" t="s">
        <v>70</v>
      </c>
      <c r="H1551" t="s">
        <v>231</v>
      </c>
      <c r="I1551" t="s">
        <v>72</v>
      </c>
    </row>
    <row r="1552" spans="1:9" x14ac:dyDescent="0.25">
      <c r="A1552" t="s">
        <v>231</v>
      </c>
      <c r="B1552" t="s">
        <v>100</v>
      </c>
      <c r="C1552" t="s">
        <v>789</v>
      </c>
      <c r="D1552" s="1">
        <v>45071</v>
      </c>
      <c r="E1552" t="s">
        <v>790</v>
      </c>
      <c r="F1552" s="2">
        <v>-572.05999999999995</v>
      </c>
      <c r="G1552" t="s">
        <v>70</v>
      </c>
      <c r="H1552" t="s">
        <v>231</v>
      </c>
      <c r="I1552" t="s">
        <v>72</v>
      </c>
    </row>
    <row r="1553" spans="1:9" x14ac:dyDescent="0.25">
      <c r="A1553" t="s">
        <v>231</v>
      </c>
      <c r="B1553" t="s">
        <v>100</v>
      </c>
      <c r="C1553" t="s">
        <v>789</v>
      </c>
      <c r="D1553" s="1">
        <v>45071</v>
      </c>
      <c r="E1553" t="s">
        <v>791</v>
      </c>
      <c r="F1553" s="2">
        <v>-603.19000000000005</v>
      </c>
      <c r="G1553" t="s">
        <v>70</v>
      </c>
      <c r="H1553" t="s">
        <v>231</v>
      </c>
      <c r="I1553" t="s">
        <v>72</v>
      </c>
    </row>
    <row r="1554" spans="1:9" x14ac:dyDescent="0.25">
      <c r="A1554" t="s">
        <v>231</v>
      </c>
      <c r="B1554" t="s">
        <v>100</v>
      </c>
      <c r="C1554" t="s">
        <v>789</v>
      </c>
      <c r="D1554" s="1">
        <v>45071</v>
      </c>
      <c r="E1554" t="s">
        <v>792</v>
      </c>
      <c r="F1554" s="2">
        <v>-73.61</v>
      </c>
      <c r="G1554" t="s">
        <v>70</v>
      </c>
      <c r="H1554" t="s">
        <v>231</v>
      </c>
      <c r="I1554" t="s">
        <v>72</v>
      </c>
    </row>
    <row r="1555" spans="1:9" x14ac:dyDescent="0.25">
      <c r="A1555" t="s">
        <v>231</v>
      </c>
      <c r="B1555" t="s">
        <v>100</v>
      </c>
      <c r="C1555" t="s">
        <v>789</v>
      </c>
      <c r="D1555" s="1">
        <v>45070.173055555555</v>
      </c>
      <c r="E1555" t="s">
        <v>232</v>
      </c>
      <c r="F1555" s="2">
        <v>-2.13</v>
      </c>
      <c r="G1555" t="s">
        <v>70</v>
      </c>
      <c r="H1555" t="s">
        <v>231</v>
      </c>
      <c r="I1555" t="s">
        <v>72</v>
      </c>
    </row>
    <row r="1556" spans="1:9" x14ac:dyDescent="0.25">
      <c r="A1556" t="s">
        <v>231</v>
      </c>
      <c r="B1556" t="s">
        <v>100</v>
      </c>
      <c r="C1556" t="s">
        <v>789</v>
      </c>
      <c r="D1556" s="1">
        <v>45070.681377314817</v>
      </c>
      <c r="E1556" t="s">
        <v>236</v>
      </c>
      <c r="F1556" s="2">
        <v>2876.4</v>
      </c>
      <c r="G1556" t="s">
        <v>74</v>
      </c>
      <c r="H1556" t="s">
        <v>256</v>
      </c>
      <c r="I1556" t="s">
        <v>257</v>
      </c>
    </row>
    <row r="1557" spans="1:9" x14ac:dyDescent="0.25">
      <c r="A1557" t="s">
        <v>231</v>
      </c>
      <c r="B1557" t="s">
        <v>100</v>
      </c>
      <c r="C1557" t="s">
        <v>789</v>
      </c>
      <c r="D1557" s="1">
        <v>45070.754953703705</v>
      </c>
      <c r="E1557" t="s">
        <v>253</v>
      </c>
      <c r="F1557" s="2">
        <v>609.62</v>
      </c>
      <c r="G1557" t="s">
        <v>70</v>
      </c>
      <c r="H1557" t="s">
        <v>231</v>
      </c>
      <c r="I1557" t="s">
        <v>72</v>
      </c>
    </row>
    <row r="1558" spans="1:9" x14ac:dyDescent="0.25">
      <c r="A1558" t="s">
        <v>231</v>
      </c>
      <c r="B1558" t="s">
        <v>100</v>
      </c>
      <c r="C1558" t="s">
        <v>789</v>
      </c>
      <c r="D1558" s="1">
        <v>45069.473182870373</v>
      </c>
      <c r="E1558" t="s">
        <v>244</v>
      </c>
      <c r="F1558" s="2">
        <v>-14.92</v>
      </c>
      <c r="G1558" t="s">
        <v>70</v>
      </c>
      <c r="H1558" t="s">
        <v>231</v>
      </c>
      <c r="I1558" t="s">
        <v>72</v>
      </c>
    </row>
    <row r="1559" spans="1:9" x14ac:dyDescent="0.25">
      <c r="A1559" t="s">
        <v>231</v>
      </c>
      <c r="B1559" t="s">
        <v>100</v>
      </c>
      <c r="C1559" t="s">
        <v>789</v>
      </c>
      <c r="D1559" s="1">
        <v>45068.174641203703</v>
      </c>
      <c r="E1559" t="s">
        <v>235</v>
      </c>
      <c r="F1559" s="2">
        <v>-177.33</v>
      </c>
      <c r="G1559" t="s">
        <v>70</v>
      </c>
      <c r="H1559" t="s">
        <v>231</v>
      </c>
      <c r="I1559" t="s">
        <v>72</v>
      </c>
    </row>
    <row r="1560" spans="1:9" x14ac:dyDescent="0.25">
      <c r="A1560" t="s">
        <v>231</v>
      </c>
      <c r="B1560" t="s">
        <v>100</v>
      </c>
      <c r="C1560" t="s">
        <v>789</v>
      </c>
      <c r="D1560" s="1">
        <v>45068.172372685185</v>
      </c>
      <c r="E1560" t="s">
        <v>233</v>
      </c>
      <c r="F1560" s="2">
        <v>-4.96</v>
      </c>
      <c r="G1560" t="s">
        <v>70</v>
      </c>
      <c r="H1560" t="s">
        <v>231</v>
      </c>
      <c r="I1560" t="s">
        <v>72</v>
      </c>
    </row>
    <row r="1561" spans="1:9" x14ac:dyDescent="0.25">
      <c r="A1561" t="s">
        <v>231</v>
      </c>
      <c r="B1561" t="s">
        <v>100</v>
      </c>
      <c r="C1561" t="s">
        <v>789</v>
      </c>
      <c r="D1561" s="1">
        <v>45064.175891203704</v>
      </c>
      <c r="E1561" t="s">
        <v>237</v>
      </c>
      <c r="F1561" s="2">
        <v>-141.33000000000001</v>
      </c>
      <c r="G1561" t="s">
        <v>70</v>
      </c>
      <c r="H1561" t="s">
        <v>231</v>
      </c>
      <c r="I1561" t="s">
        <v>72</v>
      </c>
    </row>
    <row r="1562" spans="1:9" x14ac:dyDescent="0.25">
      <c r="A1562" t="s">
        <v>231</v>
      </c>
      <c r="B1562" t="s">
        <v>100</v>
      </c>
      <c r="C1562" t="s">
        <v>789</v>
      </c>
      <c r="D1562" s="1">
        <v>45064.175856481481</v>
      </c>
      <c r="E1562" t="s">
        <v>238</v>
      </c>
      <c r="F1562" s="2">
        <v>-24.55</v>
      </c>
      <c r="G1562" t="s">
        <v>70</v>
      </c>
      <c r="H1562" t="s">
        <v>231</v>
      </c>
      <c r="I1562" t="s">
        <v>72</v>
      </c>
    </row>
    <row r="1563" spans="1:9" x14ac:dyDescent="0.25">
      <c r="A1563" t="s">
        <v>231</v>
      </c>
      <c r="B1563" t="s">
        <v>100</v>
      </c>
      <c r="C1563" t="s">
        <v>789</v>
      </c>
      <c r="D1563" s="1">
        <v>45064.175810185188</v>
      </c>
      <c r="E1563" t="s">
        <v>239</v>
      </c>
      <c r="F1563" s="2">
        <v>-131.16</v>
      </c>
      <c r="G1563" t="s">
        <v>70</v>
      </c>
      <c r="H1563" t="s">
        <v>231</v>
      </c>
      <c r="I1563" t="s">
        <v>72</v>
      </c>
    </row>
    <row r="1564" spans="1:9" x14ac:dyDescent="0.25">
      <c r="A1564" t="s">
        <v>231</v>
      </c>
      <c r="B1564" t="s">
        <v>100</v>
      </c>
      <c r="C1564" t="s">
        <v>789</v>
      </c>
      <c r="D1564" s="1">
        <v>45064</v>
      </c>
      <c r="E1564" t="s">
        <v>790</v>
      </c>
      <c r="F1564" s="2">
        <v>-161.36000000000001</v>
      </c>
      <c r="G1564" t="s">
        <v>70</v>
      </c>
      <c r="H1564" t="s">
        <v>231</v>
      </c>
      <c r="I1564" t="s">
        <v>72</v>
      </c>
    </row>
    <row r="1565" spans="1:9" x14ac:dyDescent="0.25">
      <c r="A1565" t="s">
        <v>231</v>
      </c>
      <c r="B1565" t="s">
        <v>100</v>
      </c>
      <c r="C1565" t="s">
        <v>789</v>
      </c>
      <c r="D1565" s="1">
        <v>45064</v>
      </c>
      <c r="E1565" t="s">
        <v>791</v>
      </c>
      <c r="F1565" s="2">
        <v>-643.53</v>
      </c>
      <c r="G1565" t="s">
        <v>70</v>
      </c>
      <c r="H1565" t="s">
        <v>231</v>
      </c>
      <c r="I1565" t="s">
        <v>72</v>
      </c>
    </row>
    <row r="1566" spans="1:9" x14ac:dyDescent="0.25">
      <c r="A1566" t="s">
        <v>231</v>
      </c>
      <c r="B1566" t="s">
        <v>100</v>
      </c>
      <c r="C1566" t="s">
        <v>789</v>
      </c>
      <c r="D1566" s="1">
        <v>45064</v>
      </c>
      <c r="E1566" t="s">
        <v>792</v>
      </c>
      <c r="F1566" s="2">
        <v>-163.82</v>
      </c>
      <c r="G1566" t="s">
        <v>70</v>
      </c>
      <c r="H1566" t="s">
        <v>231</v>
      </c>
      <c r="I1566" t="s">
        <v>72</v>
      </c>
    </row>
    <row r="1567" spans="1:9" x14ac:dyDescent="0.25">
      <c r="A1567" t="s">
        <v>231</v>
      </c>
      <c r="B1567" t="s">
        <v>100</v>
      </c>
      <c r="C1567" t="s">
        <v>789</v>
      </c>
      <c r="D1567" s="1">
        <v>45064.135775462964</v>
      </c>
      <c r="E1567" t="s">
        <v>234</v>
      </c>
      <c r="F1567" s="2">
        <v>-22.38</v>
      </c>
      <c r="G1567" t="s">
        <v>70</v>
      </c>
      <c r="H1567" t="s">
        <v>231</v>
      </c>
      <c r="I1567" t="s">
        <v>72</v>
      </c>
    </row>
    <row r="1568" spans="1:9" x14ac:dyDescent="0.25">
      <c r="A1568" t="s">
        <v>231</v>
      </c>
      <c r="B1568" t="s">
        <v>100</v>
      </c>
      <c r="C1568" t="s">
        <v>789</v>
      </c>
      <c r="D1568" s="1">
        <v>45063.681527777779</v>
      </c>
      <c r="E1568" t="s">
        <v>236</v>
      </c>
      <c r="F1568" s="2">
        <v>3187.5</v>
      </c>
      <c r="G1568" t="s">
        <v>74</v>
      </c>
      <c r="H1568" t="s">
        <v>256</v>
      </c>
      <c r="I1568" t="s">
        <v>257</v>
      </c>
    </row>
    <row r="1569" spans="1:9" x14ac:dyDescent="0.25">
      <c r="A1569" t="s">
        <v>231</v>
      </c>
      <c r="B1569" t="s">
        <v>100</v>
      </c>
      <c r="C1569" t="s">
        <v>789</v>
      </c>
      <c r="D1569" s="1">
        <v>45061.174062500002</v>
      </c>
      <c r="E1569" t="s">
        <v>241</v>
      </c>
      <c r="F1569" s="2">
        <v>-16.39</v>
      </c>
      <c r="G1569" t="s">
        <v>70</v>
      </c>
      <c r="H1569" t="s">
        <v>231</v>
      </c>
      <c r="I1569" t="s">
        <v>72</v>
      </c>
    </row>
    <row r="1570" spans="1:9" x14ac:dyDescent="0.25">
      <c r="A1570" t="s">
        <v>231</v>
      </c>
      <c r="B1570" t="s">
        <v>100</v>
      </c>
      <c r="C1570" t="s">
        <v>789</v>
      </c>
      <c r="D1570" s="1">
        <v>45058.173668981479</v>
      </c>
      <c r="E1570" t="s">
        <v>240</v>
      </c>
      <c r="F1570" s="2">
        <v>-0.35</v>
      </c>
      <c r="G1570" t="s">
        <v>70</v>
      </c>
      <c r="H1570" t="s">
        <v>231</v>
      </c>
      <c r="I1570" t="s">
        <v>72</v>
      </c>
    </row>
    <row r="1571" spans="1:9" x14ac:dyDescent="0.25">
      <c r="A1571" t="s">
        <v>231</v>
      </c>
      <c r="B1571" t="s">
        <v>100</v>
      </c>
      <c r="C1571" t="s">
        <v>789</v>
      </c>
      <c r="D1571" s="1">
        <v>45057.775358796294</v>
      </c>
      <c r="E1571" t="s">
        <v>254</v>
      </c>
      <c r="F1571" s="2">
        <v>-2277.14</v>
      </c>
      <c r="G1571" t="s">
        <v>84</v>
      </c>
      <c r="H1571" t="s">
        <v>85</v>
      </c>
      <c r="I1571" t="s">
        <v>97</v>
      </c>
    </row>
    <row r="1572" spans="1:9" x14ac:dyDescent="0.25">
      <c r="A1572" t="s">
        <v>231</v>
      </c>
      <c r="B1572" t="s">
        <v>100</v>
      </c>
      <c r="C1572" t="s">
        <v>789</v>
      </c>
      <c r="D1572" s="1">
        <v>45057</v>
      </c>
      <c r="E1572" t="s">
        <v>790</v>
      </c>
      <c r="F1572" s="2">
        <v>-591.72</v>
      </c>
      <c r="G1572" t="s">
        <v>70</v>
      </c>
      <c r="H1572" t="s">
        <v>231</v>
      </c>
      <c r="I1572" t="s">
        <v>72</v>
      </c>
    </row>
    <row r="1573" spans="1:9" x14ac:dyDescent="0.25">
      <c r="A1573" t="s">
        <v>231</v>
      </c>
      <c r="B1573" t="s">
        <v>100</v>
      </c>
      <c r="C1573" t="s">
        <v>789</v>
      </c>
      <c r="D1573" s="1">
        <v>45057</v>
      </c>
      <c r="E1573" t="s">
        <v>791</v>
      </c>
      <c r="F1573" s="2">
        <v>-41.12</v>
      </c>
      <c r="G1573" t="s">
        <v>70</v>
      </c>
      <c r="H1573" t="s">
        <v>231</v>
      </c>
      <c r="I1573" t="s">
        <v>72</v>
      </c>
    </row>
    <row r="1574" spans="1:9" x14ac:dyDescent="0.25">
      <c r="A1574" t="s">
        <v>231</v>
      </c>
      <c r="B1574" t="s">
        <v>100</v>
      </c>
      <c r="C1574" t="s">
        <v>789</v>
      </c>
      <c r="D1574" s="1">
        <v>45057</v>
      </c>
      <c r="E1574" t="s">
        <v>792</v>
      </c>
      <c r="F1574" s="2">
        <v>-219.1</v>
      </c>
      <c r="G1574" t="s">
        <v>70</v>
      </c>
      <c r="H1574" t="s">
        <v>231</v>
      </c>
      <c r="I1574" t="s">
        <v>72</v>
      </c>
    </row>
    <row r="1575" spans="1:9" x14ac:dyDescent="0.25">
      <c r="A1575" t="s">
        <v>231</v>
      </c>
      <c r="B1575" t="s">
        <v>100</v>
      </c>
      <c r="C1575" t="s">
        <v>789</v>
      </c>
      <c r="D1575" s="1">
        <v>45056.941666666666</v>
      </c>
      <c r="E1575" t="s">
        <v>255</v>
      </c>
      <c r="F1575" s="2">
        <v>5146.63</v>
      </c>
      <c r="G1575" t="s">
        <v>70</v>
      </c>
      <c r="H1575" t="s">
        <v>231</v>
      </c>
      <c r="I1575" t="s">
        <v>72</v>
      </c>
    </row>
    <row r="1576" spans="1:9" x14ac:dyDescent="0.25">
      <c r="A1576" t="s">
        <v>231</v>
      </c>
      <c r="B1576" t="s">
        <v>100</v>
      </c>
      <c r="C1576" t="s">
        <v>789</v>
      </c>
      <c r="D1576" s="1">
        <v>45056.650381944448</v>
      </c>
      <c r="E1576" t="s">
        <v>236</v>
      </c>
      <c r="F1576" s="2">
        <v>1830.97</v>
      </c>
      <c r="G1576" t="s">
        <v>74</v>
      </c>
      <c r="H1576" t="s">
        <v>256</v>
      </c>
      <c r="I1576" t="s">
        <v>257</v>
      </c>
    </row>
    <row r="1577" spans="1:9" x14ac:dyDescent="0.25">
      <c r="A1577" t="s">
        <v>231</v>
      </c>
      <c r="B1577" t="s">
        <v>100</v>
      </c>
      <c r="C1577" t="s">
        <v>789</v>
      </c>
      <c r="D1577" s="1">
        <v>45054.174039351848</v>
      </c>
      <c r="E1577" t="s">
        <v>242</v>
      </c>
      <c r="F1577" s="2">
        <v>-31.47</v>
      </c>
      <c r="G1577" t="s">
        <v>70</v>
      </c>
      <c r="H1577" t="s">
        <v>231</v>
      </c>
      <c r="I1577" t="s">
        <v>72</v>
      </c>
    </row>
    <row r="1578" spans="1:9" x14ac:dyDescent="0.25">
      <c r="A1578" t="s">
        <v>231</v>
      </c>
      <c r="B1578" t="s">
        <v>100</v>
      </c>
      <c r="C1578" t="s">
        <v>789</v>
      </c>
      <c r="D1578" s="1">
        <v>45054.172743055555</v>
      </c>
      <c r="E1578" t="s">
        <v>243</v>
      </c>
      <c r="F1578" s="2">
        <v>-16.93</v>
      </c>
      <c r="G1578" t="s">
        <v>70</v>
      </c>
      <c r="H1578" t="s">
        <v>231</v>
      </c>
      <c r="I1578" t="s">
        <v>72</v>
      </c>
    </row>
    <row r="1579" spans="1:9" x14ac:dyDescent="0.25">
      <c r="A1579" t="s">
        <v>231</v>
      </c>
      <c r="B1579" t="s">
        <v>100</v>
      </c>
      <c r="C1579" t="s">
        <v>789</v>
      </c>
      <c r="D1579" s="1">
        <v>45050.176458333335</v>
      </c>
      <c r="E1579" t="s">
        <v>245</v>
      </c>
      <c r="F1579" s="2">
        <v>-56.85</v>
      </c>
      <c r="G1579" t="s">
        <v>70</v>
      </c>
      <c r="H1579" t="s">
        <v>231</v>
      </c>
      <c r="I1579" t="s">
        <v>72</v>
      </c>
    </row>
    <row r="1580" spans="1:9" x14ac:dyDescent="0.25">
      <c r="A1580" t="s">
        <v>231</v>
      </c>
      <c r="B1580" t="s">
        <v>100</v>
      </c>
      <c r="C1580" t="s">
        <v>789</v>
      </c>
      <c r="D1580" s="1">
        <v>45050.174699074072</v>
      </c>
      <c r="E1580" t="s">
        <v>246</v>
      </c>
      <c r="F1580" s="2">
        <v>-8.76</v>
      </c>
      <c r="G1580" t="s">
        <v>70</v>
      </c>
      <c r="H1580" t="s">
        <v>231</v>
      </c>
      <c r="I1580" t="s">
        <v>72</v>
      </c>
    </row>
    <row r="1581" spans="1:9" x14ac:dyDescent="0.25">
      <c r="A1581" t="s">
        <v>231</v>
      </c>
      <c r="B1581" t="s">
        <v>100</v>
      </c>
      <c r="C1581" t="s">
        <v>789</v>
      </c>
      <c r="D1581" s="1">
        <v>45050</v>
      </c>
      <c r="E1581" t="s">
        <v>790</v>
      </c>
      <c r="F1581" s="2">
        <v>-338.69</v>
      </c>
      <c r="G1581" t="s">
        <v>70</v>
      </c>
      <c r="H1581" t="s">
        <v>231</v>
      </c>
      <c r="I1581" t="s">
        <v>72</v>
      </c>
    </row>
    <row r="1582" spans="1:9" x14ac:dyDescent="0.25">
      <c r="A1582" t="s">
        <v>231</v>
      </c>
      <c r="B1582" t="s">
        <v>100</v>
      </c>
      <c r="C1582" t="s">
        <v>789</v>
      </c>
      <c r="D1582" s="1">
        <v>45050</v>
      </c>
      <c r="E1582" t="s">
        <v>791</v>
      </c>
      <c r="F1582" s="2">
        <v>-460.82</v>
      </c>
      <c r="G1582" t="s">
        <v>70</v>
      </c>
      <c r="H1582" t="s">
        <v>231</v>
      </c>
      <c r="I1582" t="s">
        <v>72</v>
      </c>
    </row>
    <row r="1583" spans="1:9" x14ac:dyDescent="0.25">
      <c r="A1583" t="s">
        <v>231</v>
      </c>
      <c r="B1583" t="s">
        <v>100</v>
      </c>
      <c r="C1583" t="s">
        <v>789</v>
      </c>
      <c r="D1583" s="1">
        <v>45050</v>
      </c>
      <c r="E1583" t="s">
        <v>792</v>
      </c>
      <c r="F1583" s="2">
        <v>-284.14999999999998</v>
      </c>
      <c r="G1583" t="s">
        <v>70</v>
      </c>
      <c r="H1583" t="s">
        <v>231</v>
      </c>
      <c r="I1583" t="s">
        <v>72</v>
      </c>
    </row>
    <row r="1584" spans="1:9" x14ac:dyDescent="0.25">
      <c r="A1584" t="s">
        <v>231</v>
      </c>
      <c r="B1584" t="s">
        <v>100</v>
      </c>
      <c r="C1584" t="s">
        <v>789</v>
      </c>
      <c r="D1584" s="1">
        <v>45049.684421296297</v>
      </c>
      <c r="E1584" t="s">
        <v>234</v>
      </c>
      <c r="F1584" s="2">
        <v>-450.95</v>
      </c>
      <c r="G1584" t="s">
        <v>70</v>
      </c>
      <c r="H1584" t="s">
        <v>231</v>
      </c>
      <c r="I1584" t="s">
        <v>72</v>
      </c>
    </row>
    <row r="1585" spans="1:9" x14ac:dyDescent="0.25">
      <c r="A1585" t="s">
        <v>231</v>
      </c>
      <c r="B1585" t="s">
        <v>100</v>
      </c>
      <c r="C1585" t="s">
        <v>789</v>
      </c>
      <c r="D1585" s="1">
        <v>45049.684236111112</v>
      </c>
      <c r="E1585" t="s">
        <v>244</v>
      </c>
      <c r="F1585" s="2">
        <v>-246.3</v>
      </c>
      <c r="G1585" t="s">
        <v>70</v>
      </c>
      <c r="H1585" t="s">
        <v>231</v>
      </c>
      <c r="I1585" t="s">
        <v>72</v>
      </c>
    </row>
    <row r="1586" spans="1:9" x14ac:dyDescent="0.25">
      <c r="A1586" t="s">
        <v>231</v>
      </c>
      <c r="B1586" t="s">
        <v>100</v>
      </c>
      <c r="C1586" t="s">
        <v>789</v>
      </c>
      <c r="D1586" s="1">
        <v>45049.681608796294</v>
      </c>
      <c r="E1586" t="s">
        <v>236</v>
      </c>
      <c r="F1586" s="2">
        <v>1703.2</v>
      </c>
      <c r="G1586" t="s">
        <v>74</v>
      </c>
      <c r="H1586" t="s">
        <v>256</v>
      </c>
      <c r="I1586" t="s">
        <v>257</v>
      </c>
    </row>
    <row r="1587" spans="1:9" x14ac:dyDescent="0.25">
      <c r="A1587" t="s">
        <v>231</v>
      </c>
      <c r="B1587" t="s">
        <v>100</v>
      </c>
      <c r="C1587" t="s">
        <v>789</v>
      </c>
      <c r="D1587" s="1">
        <v>45043</v>
      </c>
      <c r="E1587" t="s">
        <v>790</v>
      </c>
      <c r="F1587" s="2">
        <v>-197.72</v>
      </c>
      <c r="G1587" t="s">
        <v>70</v>
      </c>
      <c r="H1587" t="s">
        <v>231</v>
      </c>
      <c r="I1587" t="s">
        <v>72</v>
      </c>
    </row>
    <row r="1588" spans="1:9" x14ac:dyDescent="0.25">
      <c r="A1588" t="s">
        <v>231</v>
      </c>
      <c r="B1588" t="s">
        <v>100</v>
      </c>
      <c r="C1588" t="s">
        <v>789</v>
      </c>
      <c r="D1588" s="1">
        <v>45043</v>
      </c>
      <c r="E1588" t="s">
        <v>791</v>
      </c>
      <c r="F1588" s="2">
        <v>-489.14</v>
      </c>
      <c r="G1588" t="s">
        <v>70</v>
      </c>
      <c r="H1588" t="s">
        <v>231</v>
      </c>
      <c r="I1588" t="s">
        <v>72</v>
      </c>
    </row>
    <row r="1589" spans="1:9" x14ac:dyDescent="0.25">
      <c r="A1589" t="s">
        <v>231</v>
      </c>
      <c r="B1589" t="s">
        <v>100</v>
      </c>
      <c r="C1589" t="s">
        <v>789</v>
      </c>
      <c r="D1589" s="1">
        <v>45043</v>
      </c>
      <c r="E1589" t="s">
        <v>792</v>
      </c>
      <c r="F1589" s="2">
        <v>-64.239999999999995</v>
      </c>
      <c r="G1589" t="s">
        <v>70</v>
      </c>
      <c r="H1589" t="s">
        <v>231</v>
      </c>
      <c r="I1589" t="s">
        <v>72</v>
      </c>
    </row>
    <row r="1590" spans="1:9" x14ac:dyDescent="0.25">
      <c r="A1590" t="s">
        <v>231</v>
      </c>
      <c r="B1590" t="s">
        <v>100</v>
      </c>
      <c r="C1590" t="s">
        <v>789</v>
      </c>
      <c r="D1590" s="1">
        <v>45043.34710648148</v>
      </c>
      <c r="E1590" t="s">
        <v>244</v>
      </c>
      <c r="F1590" s="2">
        <v>-619.35</v>
      </c>
      <c r="G1590" t="s">
        <v>70</v>
      </c>
      <c r="H1590" t="s">
        <v>231</v>
      </c>
      <c r="I1590" t="s">
        <v>72</v>
      </c>
    </row>
    <row r="1591" spans="1:9" x14ac:dyDescent="0.25">
      <c r="A1591" t="s">
        <v>231</v>
      </c>
      <c r="B1591" t="s">
        <v>100</v>
      </c>
      <c r="C1591" t="s">
        <v>789</v>
      </c>
      <c r="D1591" s="1">
        <v>45042.681898148148</v>
      </c>
      <c r="E1591" t="s">
        <v>236</v>
      </c>
      <c r="F1591" s="2">
        <v>1397.45</v>
      </c>
      <c r="G1591" t="s">
        <v>74</v>
      </c>
      <c r="H1591" t="s">
        <v>256</v>
      </c>
      <c r="I1591" t="s">
        <v>257</v>
      </c>
    </row>
    <row r="1592" spans="1:9" x14ac:dyDescent="0.25">
      <c r="A1592" t="s">
        <v>231</v>
      </c>
      <c r="B1592" t="s">
        <v>100</v>
      </c>
      <c r="C1592" t="s">
        <v>789</v>
      </c>
      <c r="D1592" s="1">
        <v>45040.172847222224</v>
      </c>
      <c r="E1592" t="s">
        <v>232</v>
      </c>
      <c r="F1592" s="2">
        <v>-15.6</v>
      </c>
      <c r="G1592" t="s">
        <v>70</v>
      </c>
      <c r="H1592" t="s">
        <v>231</v>
      </c>
      <c r="I1592" t="s">
        <v>72</v>
      </c>
    </row>
    <row r="1593" spans="1:9" x14ac:dyDescent="0.25">
      <c r="A1593" t="s">
        <v>231</v>
      </c>
      <c r="B1593" t="s">
        <v>100</v>
      </c>
      <c r="C1593" t="s">
        <v>789</v>
      </c>
      <c r="D1593" s="1">
        <v>45040.172835648147</v>
      </c>
      <c r="E1593" t="s">
        <v>233</v>
      </c>
      <c r="F1593" s="2">
        <v>-5.04</v>
      </c>
      <c r="G1593" t="s">
        <v>70</v>
      </c>
      <c r="H1593" t="s">
        <v>231</v>
      </c>
      <c r="I1593" t="s">
        <v>72</v>
      </c>
    </row>
    <row r="1594" spans="1:9" x14ac:dyDescent="0.25">
      <c r="A1594" t="s">
        <v>231</v>
      </c>
      <c r="B1594" t="s">
        <v>100</v>
      </c>
      <c r="C1594" t="s">
        <v>789</v>
      </c>
      <c r="D1594" s="1">
        <v>45036.178310185183</v>
      </c>
      <c r="E1594" t="s">
        <v>235</v>
      </c>
      <c r="F1594" s="2">
        <v>-188.07</v>
      </c>
      <c r="G1594" t="s">
        <v>70</v>
      </c>
      <c r="H1594" t="s">
        <v>231</v>
      </c>
      <c r="I1594" t="s">
        <v>72</v>
      </c>
    </row>
    <row r="1595" spans="1:9" x14ac:dyDescent="0.25">
      <c r="A1595" t="s">
        <v>231</v>
      </c>
      <c r="B1595" t="s">
        <v>100</v>
      </c>
      <c r="C1595" t="s">
        <v>789</v>
      </c>
      <c r="D1595" s="1">
        <v>45036</v>
      </c>
      <c r="E1595" t="s">
        <v>790</v>
      </c>
      <c r="F1595" s="2">
        <v>-184.9</v>
      </c>
      <c r="G1595" t="s">
        <v>70</v>
      </c>
      <c r="H1595" t="s">
        <v>231</v>
      </c>
      <c r="I1595" t="s">
        <v>72</v>
      </c>
    </row>
    <row r="1596" spans="1:9" x14ac:dyDescent="0.25">
      <c r="A1596" t="s">
        <v>231</v>
      </c>
      <c r="B1596" t="s">
        <v>100</v>
      </c>
      <c r="C1596" t="s">
        <v>789</v>
      </c>
      <c r="D1596" s="1">
        <v>45036</v>
      </c>
      <c r="E1596" t="s">
        <v>791</v>
      </c>
      <c r="F1596" s="2">
        <v>-29.48</v>
      </c>
      <c r="G1596" t="s">
        <v>70</v>
      </c>
      <c r="H1596" t="s">
        <v>231</v>
      </c>
      <c r="I1596" t="s">
        <v>72</v>
      </c>
    </row>
    <row r="1597" spans="1:9" x14ac:dyDescent="0.25">
      <c r="A1597" t="s">
        <v>231</v>
      </c>
      <c r="B1597" t="s">
        <v>100</v>
      </c>
      <c r="C1597" t="s">
        <v>789</v>
      </c>
      <c r="D1597" s="1">
        <v>45036</v>
      </c>
      <c r="E1597" t="s">
        <v>792</v>
      </c>
      <c r="F1597" s="2">
        <v>-60.78</v>
      </c>
      <c r="G1597" t="s">
        <v>70</v>
      </c>
      <c r="H1597" t="s">
        <v>231</v>
      </c>
      <c r="I1597" t="s">
        <v>72</v>
      </c>
    </row>
    <row r="1598" spans="1:9" x14ac:dyDescent="0.25">
      <c r="A1598" t="s">
        <v>231</v>
      </c>
      <c r="B1598" t="s">
        <v>100</v>
      </c>
      <c r="C1598" t="s">
        <v>789</v>
      </c>
      <c r="D1598" s="1">
        <v>45036.107314814813</v>
      </c>
      <c r="E1598" t="s">
        <v>244</v>
      </c>
      <c r="F1598" s="2">
        <v>-768.45</v>
      </c>
      <c r="G1598" t="s">
        <v>70</v>
      </c>
      <c r="H1598" t="s">
        <v>231</v>
      </c>
      <c r="I1598" t="s">
        <v>72</v>
      </c>
    </row>
    <row r="1599" spans="1:9" x14ac:dyDescent="0.25">
      <c r="A1599" t="s">
        <v>231</v>
      </c>
      <c r="B1599" t="s">
        <v>100</v>
      </c>
      <c r="C1599" t="s">
        <v>789</v>
      </c>
      <c r="D1599" s="1">
        <v>45035.681944444441</v>
      </c>
      <c r="E1599" t="s">
        <v>236</v>
      </c>
      <c r="F1599" s="2">
        <v>1164.1400000000001</v>
      </c>
      <c r="G1599" t="s">
        <v>74</v>
      </c>
      <c r="H1599" t="s">
        <v>256</v>
      </c>
      <c r="I1599" t="s">
        <v>257</v>
      </c>
    </row>
    <row r="1600" spans="1:9" x14ac:dyDescent="0.25">
      <c r="A1600" t="s">
        <v>231</v>
      </c>
      <c r="B1600" t="s">
        <v>100</v>
      </c>
      <c r="C1600" t="s">
        <v>789</v>
      </c>
      <c r="D1600" s="1">
        <v>45034.174699074072</v>
      </c>
      <c r="E1600" t="s">
        <v>237</v>
      </c>
      <c r="F1600" s="2">
        <v>-9.43</v>
      </c>
      <c r="G1600" t="s">
        <v>70</v>
      </c>
      <c r="H1600" t="s">
        <v>231</v>
      </c>
      <c r="I1600" t="s">
        <v>72</v>
      </c>
    </row>
    <row r="1601" spans="1:9" x14ac:dyDescent="0.25">
      <c r="A1601" t="s">
        <v>231</v>
      </c>
      <c r="B1601" t="s">
        <v>100</v>
      </c>
      <c r="C1601" t="s">
        <v>789</v>
      </c>
      <c r="D1601" s="1">
        <v>45034.174687500003</v>
      </c>
      <c r="E1601" t="s">
        <v>238</v>
      </c>
      <c r="F1601" s="2">
        <v>-114.9</v>
      </c>
      <c r="G1601" t="s">
        <v>70</v>
      </c>
      <c r="H1601" t="s">
        <v>231</v>
      </c>
      <c r="I1601" t="s">
        <v>72</v>
      </c>
    </row>
    <row r="1602" spans="1:9" x14ac:dyDescent="0.25">
      <c r="A1602" t="s">
        <v>231</v>
      </c>
      <c r="B1602" t="s">
        <v>100</v>
      </c>
      <c r="C1602" t="s">
        <v>789</v>
      </c>
      <c r="D1602" s="1">
        <v>45034.174490740741</v>
      </c>
      <c r="E1602" t="s">
        <v>239</v>
      </c>
      <c r="F1602" s="2">
        <v>-48.42</v>
      </c>
      <c r="G1602" t="s">
        <v>70</v>
      </c>
      <c r="H1602" t="s">
        <v>231</v>
      </c>
      <c r="I1602" t="s">
        <v>72</v>
      </c>
    </row>
    <row r="1603" spans="1:9" x14ac:dyDescent="0.25">
      <c r="A1603" t="s">
        <v>231</v>
      </c>
      <c r="B1603" t="s">
        <v>100</v>
      </c>
      <c r="C1603" t="s">
        <v>789</v>
      </c>
      <c r="D1603" s="1">
        <v>45030.172476851854</v>
      </c>
      <c r="E1603" t="s">
        <v>240</v>
      </c>
      <c r="F1603" s="2">
        <v>-24.29</v>
      </c>
      <c r="G1603" t="s">
        <v>70</v>
      </c>
      <c r="H1603" t="s">
        <v>231</v>
      </c>
      <c r="I1603" t="s">
        <v>72</v>
      </c>
    </row>
    <row r="1604" spans="1:9" x14ac:dyDescent="0.25">
      <c r="A1604" t="s">
        <v>231</v>
      </c>
      <c r="B1604" t="s">
        <v>100</v>
      </c>
      <c r="C1604" t="s">
        <v>789</v>
      </c>
      <c r="D1604" s="1">
        <v>45029.175625000003</v>
      </c>
      <c r="E1604" t="s">
        <v>241</v>
      </c>
      <c r="F1604" s="2">
        <v>-33.79</v>
      </c>
      <c r="G1604" t="s">
        <v>70</v>
      </c>
      <c r="H1604" t="s">
        <v>231</v>
      </c>
      <c r="I1604" t="s">
        <v>72</v>
      </c>
    </row>
    <row r="1605" spans="1:9" x14ac:dyDescent="0.25">
      <c r="A1605" t="s">
        <v>231</v>
      </c>
      <c r="B1605" t="s">
        <v>100</v>
      </c>
      <c r="C1605" t="s">
        <v>789</v>
      </c>
      <c r="D1605" s="1">
        <v>45029</v>
      </c>
      <c r="E1605" t="s">
        <v>790</v>
      </c>
      <c r="F1605" s="2">
        <v>-675.32</v>
      </c>
      <c r="G1605" t="s">
        <v>70</v>
      </c>
      <c r="H1605" t="s">
        <v>231</v>
      </c>
      <c r="I1605" t="s">
        <v>72</v>
      </c>
    </row>
    <row r="1606" spans="1:9" x14ac:dyDescent="0.25">
      <c r="A1606" t="s">
        <v>231</v>
      </c>
      <c r="B1606" t="s">
        <v>100</v>
      </c>
      <c r="C1606" t="s">
        <v>789</v>
      </c>
      <c r="D1606" s="1">
        <v>45029</v>
      </c>
      <c r="E1606" t="s">
        <v>791</v>
      </c>
      <c r="F1606" s="2">
        <v>-46.03</v>
      </c>
      <c r="G1606" t="s">
        <v>70</v>
      </c>
      <c r="H1606" t="s">
        <v>231</v>
      </c>
      <c r="I1606" t="s">
        <v>72</v>
      </c>
    </row>
    <row r="1607" spans="1:9" x14ac:dyDescent="0.25">
      <c r="A1607" t="s">
        <v>231</v>
      </c>
      <c r="B1607" t="s">
        <v>100</v>
      </c>
      <c r="C1607" t="s">
        <v>789</v>
      </c>
      <c r="D1607" s="1">
        <v>45029</v>
      </c>
      <c r="E1607" t="s">
        <v>792</v>
      </c>
      <c r="F1607" s="2">
        <v>-96.26</v>
      </c>
      <c r="G1607" t="s">
        <v>70</v>
      </c>
      <c r="H1607" t="s">
        <v>231</v>
      </c>
      <c r="I1607" t="s">
        <v>72</v>
      </c>
    </row>
    <row r="1608" spans="1:9" x14ac:dyDescent="0.25">
      <c r="A1608" t="s">
        <v>231</v>
      </c>
      <c r="B1608" t="s">
        <v>100</v>
      </c>
      <c r="C1608" t="s">
        <v>789</v>
      </c>
      <c r="D1608" s="1">
        <v>45028.719166666669</v>
      </c>
      <c r="E1608" t="s">
        <v>234</v>
      </c>
      <c r="F1608" s="2">
        <v>-90.28</v>
      </c>
      <c r="G1608" t="s">
        <v>70</v>
      </c>
      <c r="H1608" t="s">
        <v>231</v>
      </c>
      <c r="I1608" t="s">
        <v>72</v>
      </c>
    </row>
    <row r="1609" spans="1:9" x14ac:dyDescent="0.25">
      <c r="A1609" t="s">
        <v>231</v>
      </c>
      <c r="B1609" t="s">
        <v>100</v>
      </c>
      <c r="C1609" t="s">
        <v>789</v>
      </c>
      <c r="D1609" s="1">
        <v>45028.629826388889</v>
      </c>
      <c r="E1609" t="s">
        <v>236</v>
      </c>
      <c r="F1609" s="2">
        <v>1922.22</v>
      </c>
      <c r="G1609" t="s">
        <v>74</v>
      </c>
      <c r="H1609" t="s">
        <v>256</v>
      </c>
      <c r="I1609" t="s">
        <v>257</v>
      </c>
    </row>
    <row r="1610" spans="1:9" x14ac:dyDescent="0.25">
      <c r="A1610" t="s">
        <v>231</v>
      </c>
      <c r="B1610" t="s">
        <v>100</v>
      </c>
      <c r="C1610" t="s">
        <v>789</v>
      </c>
      <c r="D1610" s="1">
        <v>45022.176168981481</v>
      </c>
      <c r="E1610" t="s">
        <v>242</v>
      </c>
      <c r="F1610" s="2">
        <v>-121.31</v>
      </c>
      <c r="G1610" t="s">
        <v>70</v>
      </c>
      <c r="H1610" t="s">
        <v>231</v>
      </c>
      <c r="I1610" t="s">
        <v>72</v>
      </c>
    </row>
    <row r="1611" spans="1:9" x14ac:dyDescent="0.25">
      <c r="A1611" t="s">
        <v>231</v>
      </c>
      <c r="B1611" t="s">
        <v>100</v>
      </c>
      <c r="C1611" t="s">
        <v>789</v>
      </c>
      <c r="D1611" s="1">
        <v>45022.172986111109</v>
      </c>
      <c r="E1611" t="s">
        <v>243</v>
      </c>
      <c r="F1611" s="2">
        <v>-19.18</v>
      </c>
      <c r="G1611" t="s">
        <v>70</v>
      </c>
      <c r="H1611" t="s">
        <v>231</v>
      </c>
      <c r="I1611" t="s">
        <v>72</v>
      </c>
    </row>
    <row r="1612" spans="1:9" x14ac:dyDescent="0.25">
      <c r="A1612" t="s">
        <v>231</v>
      </c>
      <c r="B1612" t="s">
        <v>100</v>
      </c>
      <c r="C1612" t="s">
        <v>789</v>
      </c>
      <c r="D1612" s="1">
        <v>45022</v>
      </c>
      <c r="E1612" t="s">
        <v>790</v>
      </c>
      <c r="F1612" s="2">
        <v>-15.5</v>
      </c>
      <c r="G1612" t="s">
        <v>70</v>
      </c>
      <c r="H1612" t="s">
        <v>231</v>
      </c>
      <c r="I1612" t="s">
        <v>72</v>
      </c>
    </row>
    <row r="1613" spans="1:9" x14ac:dyDescent="0.25">
      <c r="A1613" t="s">
        <v>231</v>
      </c>
      <c r="B1613" t="s">
        <v>100</v>
      </c>
      <c r="C1613" t="s">
        <v>789</v>
      </c>
      <c r="D1613" s="1">
        <v>45022</v>
      </c>
      <c r="E1613" t="s">
        <v>791</v>
      </c>
      <c r="F1613" s="2">
        <v>-115.61</v>
      </c>
      <c r="G1613" t="s">
        <v>70</v>
      </c>
      <c r="H1613" t="s">
        <v>231</v>
      </c>
      <c r="I1613" t="s">
        <v>72</v>
      </c>
    </row>
    <row r="1614" spans="1:9" x14ac:dyDescent="0.25">
      <c r="A1614" t="s">
        <v>231</v>
      </c>
      <c r="B1614" t="s">
        <v>100</v>
      </c>
      <c r="C1614" t="s">
        <v>789</v>
      </c>
      <c r="D1614" s="1">
        <v>45022</v>
      </c>
      <c r="E1614" t="s">
        <v>792</v>
      </c>
      <c r="F1614" s="2">
        <v>-355.77</v>
      </c>
      <c r="G1614" t="s">
        <v>70</v>
      </c>
      <c r="H1614" t="s">
        <v>231</v>
      </c>
      <c r="I1614" t="s">
        <v>72</v>
      </c>
    </row>
    <row r="1615" spans="1:9" x14ac:dyDescent="0.25">
      <c r="A1615" t="s">
        <v>231</v>
      </c>
      <c r="B1615" t="s">
        <v>100</v>
      </c>
      <c r="C1615" t="s">
        <v>789</v>
      </c>
      <c r="D1615" s="1">
        <v>45021.673842592594</v>
      </c>
      <c r="E1615" t="s">
        <v>244</v>
      </c>
      <c r="F1615" s="2">
        <v>-1243.8699999999999</v>
      </c>
      <c r="G1615" t="s">
        <v>70</v>
      </c>
      <c r="H1615" t="s">
        <v>231</v>
      </c>
      <c r="I1615" t="s">
        <v>72</v>
      </c>
    </row>
    <row r="1616" spans="1:9" x14ac:dyDescent="0.25">
      <c r="A1616" t="s">
        <v>231</v>
      </c>
      <c r="B1616" t="s">
        <v>100</v>
      </c>
      <c r="C1616" t="s">
        <v>789</v>
      </c>
      <c r="D1616" s="1">
        <v>45021.650729166664</v>
      </c>
      <c r="E1616" t="s">
        <v>236</v>
      </c>
      <c r="F1616" s="2">
        <v>2967.91</v>
      </c>
      <c r="G1616" t="s">
        <v>74</v>
      </c>
      <c r="H1616" t="s">
        <v>256</v>
      </c>
      <c r="I1616" t="s">
        <v>257</v>
      </c>
    </row>
    <row r="1617" spans="1:9" x14ac:dyDescent="0.25">
      <c r="A1617" t="s">
        <v>231</v>
      </c>
      <c r="B1617" t="s">
        <v>100</v>
      </c>
      <c r="C1617" t="s">
        <v>789</v>
      </c>
      <c r="D1617" s="1">
        <v>45020.178807870368</v>
      </c>
      <c r="E1617" t="s">
        <v>245</v>
      </c>
      <c r="F1617" s="2">
        <v>-59.41</v>
      </c>
      <c r="G1617" t="s">
        <v>70</v>
      </c>
      <c r="H1617" t="s">
        <v>231</v>
      </c>
      <c r="I1617" t="s">
        <v>72</v>
      </c>
    </row>
    <row r="1618" spans="1:9" x14ac:dyDescent="0.25">
      <c r="A1618" t="s">
        <v>231</v>
      </c>
      <c r="B1618" t="s">
        <v>100</v>
      </c>
      <c r="C1618" t="s">
        <v>789</v>
      </c>
      <c r="D1618" s="1">
        <v>45020.178252314814</v>
      </c>
      <c r="E1618" t="s">
        <v>246</v>
      </c>
      <c r="F1618" s="2">
        <v>-4.46</v>
      </c>
      <c r="G1618" t="s">
        <v>70</v>
      </c>
      <c r="H1618" t="s">
        <v>231</v>
      </c>
      <c r="I1618" t="s">
        <v>72</v>
      </c>
    </row>
    <row r="1619" spans="1:9" x14ac:dyDescent="0.25">
      <c r="A1619" t="s">
        <v>231</v>
      </c>
      <c r="B1619" t="s">
        <v>258</v>
      </c>
      <c r="C1619" t="s">
        <v>793</v>
      </c>
      <c r="D1619" s="1">
        <v>45379</v>
      </c>
      <c r="E1619" s="4" t="s">
        <v>259</v>
      </c>
      <c r="F1619" s="6">
        <v>231.7</v>
      </c>
      <c r="G1619" s="5" t="s">
        <v>73</v>
      </c>
      <c r="H1619" s="5" t="s">
        <v>261</v>
      </c>
      <c r="I1619" s="5" t="s">
        <v>262</v>
      </c>
    </row>
    <row r="1620" spans="1:9" x14ac:dyDescent="0.25">
      <c r="A1620" t="s">
        <v>231</v>
      </c>
      <c r="B1620" t="s">
        <v>258</v>
      </c>
      <c r="C1620" t="s">
        <v>793</v>
      </c>
      <c r="D1620" s="1">
        <v>45372</v>
      </c>
      <c r="E1620" s="4" t="s">
        <v>259</v>
      </c>
      <c r="F1620" s="6">
        <v>268.33999999999997</v>
      </c>
      <c r="G1620" s="5" t="s">
        <v>73</v>
      </c>
      <c r="H1620" s="5" t="s">
        <v>261</v>
      </c>
      <c r="I1620" s="5" t="s">
        <v>262</v>
      </c>
    </row>
    <row r="1621" spans="1:9" x14ac:dyDescent="0.25">
      <c r="A1621" t="s">
        <v>231</v>
      </c>
      <c r="B1621" t="s">
        <v>258</v>
      </c>
      <c r="C1621" t="s">
        <v>793</v>
      </c>
      <c r="D1621" s="1">
        <v>45365</v>
      </c>
      <c r="E1621" s="4" t="s">
        <v>259</v>
      </c>
      <c r="F1621" s="6">
        <v>132.09</v>
      </c>
      <c r="G1621" s="5" t="s">
        <v>73</v>
      </c>
      <c r="H1621" s="5" t="s">
        <v>261</v>
      </c>
      <c r="I1621" s="5" t="s">
        <v>262</v>
      </c>
    </row>
    <row r="1622" spans="1:9" x14ac:dyDescent="0.25">
      <c r="A1622" t="s">
        <v>231</v>
      </c>
      <c r="B1622" t="s">
        <v>258</v>
      </c>
      <c r="C1622" t="s">
        <v>793</v>
      </c>
      <c r="D1622" s="1">
        <v>45358</v>
      </c>
      <c r="E1622" s="4" t="s">
        <v>259</v>
      </c>
      <c r="F1622" s="6">
        <v>487.43</v>
      </c>
      <c r="G1622" s="5" t="s">
        <v>73</v>
      </c>
      <c r="H1622" s="5" t="s">
        <v>261</v>
      </c>
      <c r="I1622" s="5" t="s">
        <v>262</v>
      </c>
    </row>
    <row r="1623" spans="1:9" x14ac:dyDescent="0.25">
      <c r="A1623" t="s">
        <v>231</v>
      </c>
      <c r="B1623" t="s">
        <v>258</v>
      </c>
      <c r="C1623" t="s">
        <v>793</v>
      </c>
      <c r="D1623" s="1">
        <v>45352</v>
      </c>
      <c r="E1623" s="4" t="s">
        <v>260</v>
      </c>
      <c r="F1623" s="6">
        <v>-1602.86</v>
      </c>
      <c r="G1623" s="5" t="s">
        <v>73</v>
      </c>
      <c r="H1623" s="5" t="s">
        <v>261</v>
      </c>
      <c r="I1623" s="5" t="s">
        <v>263</v>
      </c>
    </row>
    <row r="1624" spans="1:9" x14ac:dyDescent="0.25">
      <c r="A1624" t="s">
        <v>231</v>
      </c>
      <c r="B1624" t="s">
        <v>258</v>
      </c>
      <c r="C1624" t="s">
        <v>793</v>
      </c>
      <c r="D1624" s="1">
        <v>45351</v>
      </c>
      <c r="E1624" s="4" t="s">
        <v>259</v>
      </c>
      <c r="F1624" s="6">
        <v>473.48</v>
      </c>
      <c r="G1624" s="5" t="s">
        <v>73</v>
      </c>
      <c r="H1624" s="5" t="s">
        <v>261</v>
      </c>
      <c r="I1624" s="5" t="s">
        <v>262</v>
      </c>
    </row>
    <row r="1625" spans="1:9" x14ac:dyDescent="0.25">
      <c r="A1625" t="s">
        <v>231</v>
      </c>
      <c r="B1625" t="s">
        <v>258</v>
      </c>
      <c r="C1625" t="s">
        <v>793</v>
      </c>
      <c r="D1625" s="1">
        <v>45344</v>
      </c>
      <c r="E1625" s="4" t="s">
        <v>259</v>
      </c>
      <c r="F1625" s="6">
        <v>132.43</v>
      </c>
      <c r="G1625" s="5" t="s">
        <v>73</v>
      </c>
      <c r="H1625" s="5" t="s">
        <v>261</v>
      </c>
      <c r="I1625" s="5" t="s">
        <v>262</v>
      </c>
    </row>
    <row r="1626" spans="1:9" x14ac:dyDescent="0.25">
      <c r="A1626" t="s">
        <v>231</v>
      </c>
      <c r="B1626" t="s">
        <v>258</v>
      </c>
      <c r="C1626" t="s">
        <v>793</v>
      </c>
      <c r="D1626" s="1">
        <v>45337</v>
      </c>
      <c r="E1626" s="4" t="s">
        <v>259</v>
      </c>
      <c r="F1626" s="6">
        <v>328.17</v>
      </c>
      <c r="G1626" s="5" t="s">
        <v>73</v>
      </c>
      <c r="H1626" s="5" t="s">
        <v>261</v>
      </c>
      <c r="I1626" s="5" t="s">
        <v>262</v>
      </c>
    </row>
    <row r="1627" spans="1:9" x14ac:dyDescent="0.25">
      <c r="A1627" t="s">
        <v>231</v>
      </c>
      <c r="B1627" t="s">
        <v>258</v>
      </c>
      <c r="C1627" t="s">
        <v>793</v>
      </c>
      <c r="D1627" s="1">
        <v>45330</v>
      </c>
      <c r="E1627" s="4" t="s">
        <v>259</v>
      </c>
      <c r="F1627" s="6">
        <v>523.29</v>
      </c>
      <c r="G1627" s="5" t="s">
        <v>73</v>
      </c>
      <c r="H1627" s="5" t="s">
        <v>261</v>
      </c>
      <c r="I1627" s="5" t="s">
        <v>262</v>
      </c>
    </row>
    <row r="1628" spans="1:9" x14ac:dyDescent="0.25">
      <c r="A1628" t="s">
        <v>231</v>
      </c>
      <c r="B1628" t="s">
        <v>258</v>
      </c>
      <c r="C1628" t="s">
        <v>793</v>
      </c>
      <c r="D1628" s="1">
        <v>45323</v>
      </c>
      <c r="E1628" s="4" t="s">
        <v>260</v>
      </c>
      <c r="F1628" s="6">
        <v>-1942.39</v>
      </c>
      <c r="G1628" s="5" t="s">
        <v>73</v>
      </c>
      <c r="H1628" s="5" t="s">
        <v>261</v>
      </c>
      <c r="I1628" s="5" t="s">
        <v>263</v>
      </c>
    </row>
    <row r="1629" spans="1:9" x14ac:dyDescent="0.25">
      <c r="A1629" t="s">
        <v>231</v>
      </c>
      <c r="B1629" t="s">
        <v>258</v>
      </c>
      <c r="C1629" t="s">
        <v>793</v>
      </c>
      <c r="D1629" s="1">
        <v>45323</v>
      </c>
      <c r="E1629" s="4" t="s">
        <v>259</v>
      </c>
      <c r="F1629" s="6">
        <v>314.72000000000003</v>
      </c>
      <c r="G1629" s="5" t="s">
        <v>73</v>
      </c>
      <c r="H1629" s="5" t="s">
        <v>261</v>
      </c>
      <c r="I1629" s="5" t="s">
        <v>262</v>
      </c>
    </row>
    <row r="1630" spans="1:9" x14ac:dyDescent="0.25">
      <c r="A1630" t="s">
        <v>231</v>
      </c>
      <c r="B1630" t="s">
        <v>258</v>
      </c>
      <c r="C1630" t="s">
        <v>793</v>
      </c>
      <c r="D1630" s="1">
        <v>45316</v>
      </c>
      <c r="E1630" s="4" t="s">
        <v>259</v>
      </c>
      <c r="F1630" s="6">
        <v>205.67</v>
      </c>
      <c r="G1630" s="5" t="s">
        <v>73</v>
      </c>
      <c r="H1630" s="5" t="s">
        <v>261</v>
      </c>
      <c r="I1630" s="5" t="s">
        <v>262</v>
      </c>
    </row>
    <row r="1631" spans="1:9" x14ac:dyDescent="0.25">
      <c r="A1631" t="s">
        <v>231</v>
      </c>
      <c r="B1631" t="s">
        <v>258</v>
      </c>
      <c r="C1631" t="s">
        <v>793</v>
      </c>
      <c r="D1631" s="1">
        <v>45309</v>
      </c>
      <c r="E1631" s="4" t="s">
        <v>259</v>
      </c>
      <c r="F1631" s="6">
        <v>324.91000000000003</v>
      </c>
      <c r="G1631" s="5" t="s">
        <v>73</v>
      </c>
      <c r="H1631" s="5" t="s">
        <v>261</v>
      </c>
      <c r="I1631" s="5" t="s">
        <v>262</v>
      </c>
    </row>
    <row r="1632" spans="1:9" x14ac:dyDescent="0.25">
      <c r="A1632" t="s">
        <v>231</v>
      </c>
      <c r="B1632" t="s">
        <v>258</v>
      </c>
      <c r="C1632" t="s">
        <v>793</v>
      </c>
      <c r="D1632" s="1">
        <v>45302</v>
      </c>
      <c r="E1632" s="4" t="s">
        <v>259</v>
      </c>
      <c r="F1632" s="6">
        <v>336.26</v>
      </c>
      <c r="G1632" s="5" t="s">
        <v>73</v>
      </c>
      <c r="H1632" s="5" t="s">
        <v>261</v>
      </c>
      <c r="I1632" s="5" t="s">
        <v>262</v>
      </c>
    </row>
    <row r="1633" spans="1:9" x14ac:dyDescent="0.25">
      <c r="A1633" t="s">
        <v>231</v>
      </c>
      <c r="B1633" t="s">
        <v>258</v>
      </c>
      <c r="C1633" t="s">
        <v>793</v>
      </c>
      <c r="D1633" s="1">
        <v>45295</v>
      </c>
      <c r="E1633" s="4" t="s">
        <v>259</v>
      </c>
      <c r="F1633" s="6">
        <v>239.34</v>
      </c>
      <c r="G1633" s="5" t="s">
        <v>73</v>
      </c>
      <c r="H1633" s="5" t="s">
        <v>261</v>
      </c>
      <c r="I1633" s="5" t="s">
        <v>262</v>
      </c>
    </row>
    <row r="1634" spans="1:9" x14ac:dyDescent="0.25">
      <c r="A1634" t="s">
        <v>231</v>
      </c>
      <c r="B1634" t="s">
        <v>258</v>
      </c>
      <c r="C1634" t="s">
        <v>793</v>
      </c>
      <c r="D1634" s="1">
        <v>45292</v>
      </c>
      <c r="E1634" s="4" t="s">
        <v>260</v>
      </c>
      <c r="F1634" s="6">
        <v>-1234.99</v>
      </c>
      <c r="G1634" s="5" t="s">
        <v>73</v>
      </c>
      <c r="H1634" s="5" t="s">
        <v>261</v>
      </c>
      <c r="I1634" s="5" t="s">
        <v>263</v>
      </c>
    </row>
    <row r="1635" spans="1:9" x14ac:dyDescent="0.25">
      <c r="A1635" t="s">
        <v>231</v>
      </c>
      <c r="B1635" t="s">
        <v>258</v>
      </c>
      <c r="C1635" t="s">
        <v>793</v>
      </c>
      <c r="D1635" s="1">
        <v>45288</v>
      </c>
      <c r="E1635" s="4" t="s">
        <v>259</v>
      </c>
      <c r="F1635" s="6">
        <v>238.98</v>
      </c>
      <c r="G1635" s="5" t="s">
        <v>73</v>
      </c>
      <c r="H1635" s="5" t="s">
        <v>261</v>
      </c>
      <c r="I1635" s="5" t="s">
        <v>262</v>
      </c>
    </row>
    <row r="1636" spans="1:9" x14ac:dyDescent="0.25">
      <c r="A1636" t="s">
        <v>231</v>
      </c>
      <c r="B1636" t="s">
        <v>258</v>
      </c>
      <c r="C1636" t="s">
        <v>793</v>
      </c>
      <c r="D1636" s="1">
        <v>45281</v>
      </c>
      <c r="E1636" s="4" t="s">
        <v>259</v>
      </c>
      <c r="F1636" s="6">
        <v>378.34</v>
      </c>
      <c r="G1636" s="5" t="s">
        <v>73</v>
      </c>
      <c r="H1636" s="5" t="s">
        <v>261</v>
      </c>
      <c r="I1636" s="5" t="s">
        <v>262</v>
      </c>
    </row>
    <row r="1637" spans="1:9" x14ac:dyDescent="0.25">
      <c r="A1637" t="s">
        <v>231</v>
      </c>
      <c r="B1637" t="s">
        <v>258</v>
      </c>
      <c r="C1637" t="s">
        <v>793</v>
      </c>
      <c r="D1637" s="1">
        <v>45274</v>
      </c>
      <c r="E1637" s="4" t="s">
        <v>259</v>
      </c>
      <c r="F1637" s="6">
        <v>63.03</v>
      </c>
      <c r="G1637" s="5" t="s">
        <v>73</v>
      </c>
      <c r="H1637" s="5" t="s">
        <v>261</v>
      </c>
      <c r="I1637" s="5" t="s">
        <v>262</v>
      </c>
    </row>
    <row r="1638" spans="1:9" x14ac:dyDescent="0.25">
      <c r="A1638" t="s">
        <v>231</v>
      </c>
      <c r="B1638" t="s">
        <v>258</v>
      </c>
      <c r="C1638" t="s">
        <v>793</v>
      </c>
      <c r="D1638" s="1">
        <v>45267</v>
      </c>
      <c r="E1638" s="4" t="s">
        <v>259</v>
      </c>
      <c r="F1638" s="6">
        <v>336.04</v>
      </c>
      <c r="G1638" s="5" t="s">
        <v>73</v>
      </c>
      <c r="H1638" s="5" t="s">
        <v>261</v>
      </c>
      <c r="I1638" s="5" t="s">
        <v>262</v>
      </c>
    </row>
    <row r="1639" spans="1:9" x14ac:dyDescent="0.25">
      <c r="A1639" t="s">
        <v>231</v>
      </c>
      <c r="B1639" t="s">
        <v>258</v>
      </c>
      <c r="C1639" t="s">
        <v>793</v>
      </c>
      <c r="D1639" s="1">
        <v>45261</v>
      </c>
      <c r="E1639" s="4" t="s">
        <v>260</v>
      </c>
      <c r="F1639" s="6">
        <v>-308.39</v>
      </c>
      <c r="G1639" s="5" t="s">
        <v>73</v>
      </c>
      <c r="H1639" s="5" t="s">
        <v>261</v>
      </c>
      <c r="I1639" s="5" t="s">
        <v>263</v>
      </c>
    </row>
    <row r="1640" spans="1:9" x14ac:dyDescent="0.25">
      <c r="A1640" t="s">
        <v>231</v>
      </c>
      <c r="B1640" t="s">
        <v>258</v>
      </c>
      <c r="C1640" t="s">
        <v>793</v>
      </c>
      <c r="D1640" s="1">
        <v>45260</v>
      </c>
      <c r="E1640" s="4" t="s">
        <v>259</v>
      </c>
      <c r="F1640" s="6">
        <v>524.46</v>
      </c>
      <c r="G1640" s="5" t="s">
        <v>73</v>
      </c>
      <c r="H1640" s="5" t="s">
        <v>261</v>
      </c>
      <c r="I1640" s="5" t="s">
        <v>262</v>
      </c>
    </row>
    <row r="1641" spans="1:9" x14ac:dyDescent="0.25">
      <c r="A1641" t="s">
        <v>231</v>
      </c>
      <c r="B1641" t="s">
        <v>258</v>
      </c>
      <c r="C1641" t="s">
        <v>793</v>
      </c>
      <c r="D1641" s="1">
        <v>45253</v>
      </c>
      <c r="E1641" s="4" t="s">
        <v>259</v>
      </c>
      <c r="F1641" s="6">
        <v>437.16</v>
      </c>
      <c r="G1641" s="5" t="s">
        <v>73</v>
      </c>
      <c r="H1641" s="5" t="s">
        <v>261</v>
      </c>
      <c r="I1641" s="5" t="s">
        <v>262</v>
      </c>
    </row>
    <row r="1642" spans="1:9" x14ac:dyDescent="0.25">
      <c r="A1642" t="s">
        <v>231</v>
      </c>
      <c r="B1642" t="s">
        <v>258</v>
      </c>
      <c r="C1642" t="s">
        <v>793</v>
      </c>
      <c r="D1642" s="1">
        <v>45246</v>
      </c>
      <c r="E1642" s="4" t="s">
        <v>259</v>
      </c>
      <c r="F1642" s="6">
        <v>477.16</v>
      </c>
      <c r="G1642" s="5" t="s">
        <v>73</v>
      </c>
      <c r="H1642" s="5" t="s">
        <v>261</v>
      </c>
      <c r="I1642" s="5" t="s">
        <v>262</v>
      </c>
    </row>
    <row r="1643" spans="1:9" x14ac:dyDescent="0.25">
      <c r="A1643" t="s">
        <v>231</v>
      </c>
      <c r="B1643" t="s">
        <v>258</v>
      </c>
      <c r="C1643" t="s">
        <v>793</v>
      </c>
      <c r="D1643" s="1">
        <v>45239</v>
      </c>
      <c r="E1643" s="4" t="s">
        <v>259</v>
      </c>
      <c r="F1643" s="6">
        <v>176.71</v>
      </c>
      <c r="G1643" s="5" t="s">
        <v>73</v>
      </c>
      <c r="H1643" s="5" t="s">
        <v>261</v>
      </c>
      <c r="I1643" s="5" t="s">
        <v>262</v>
      </c>
    </row>
    <row r="1644" spans="1:9" x14ac:dyDescent="0.25">
      <c r="A1644" t="s">
        <v>231</v>
      </c>
      <c r="B1644" t="s">
        <v>258</v>
      </c>
      <c r="C1644" t="s">
        <v>793</v>
      </c>
      <c r="D1644" s="1">
        <v>45232</v>
      </c>
      <c r="E1644" s="4" t="s">
        <v>259</v>
      </c>
      <c r="F1644" s="6">
        <v>105.93</v>
      </c>
      <c r="G1644" s="5" t="s">
        <v>73</v>
      </c>
      <c r="H1644" s="5" t="s">
        <v>261</v>
      </c>
      <c r="I1644" s="5" t="s">
        <v>262</v>
      </c>
    </row>
    <row r="1645" spans="1:9" x14ac:dyDescent="0.25">
      <c r="A1645" t="s">
        <v>231</v>
      </c>
      <c r="B1645" t="s">
        <v>258</v>
      </c>
      <c r="C1645" t="s">
        <v>793</v>
      </c>
      <c r="D1645" s="1">
        <v>45231</v>
      </c>
      <c r="E1645" s="4" t="s">
        <v>260</v>
      </c>
      <c r="F1645" s="6">
        <v>-1085.52</v>
      </c>
      <c r="G1645" s="5" t="s">
        <v>73</v>
      </c>
      <c r="H1645" s="5" t="s">
        <v>261</v>
      </c>
      <c r="I1645" s="5" t="s">
        <v>263</v>
      </c>
    </row>
    <row r="1646" spans="1:9" x14ac:dyDescent="0.25">
      <c r="A1646" t="s">
        <v>231</v>
      </c>
      <c r="B1646" t="s">
        <v>258</v>
      </c>
      <c r="C1646" t="s">
        <v>793</v>
      </c>
      <c r="D1646" s="1">
        <v>45225</v>
      </c>
      <c r="E1646" s="4" t="s">
        <v>259</v>
      </c>
      <c r="F1646" s="6">
        <v>162.61000000000001</v>
      </c>
      <c r="G1646" s="5" t="s">
        <v>73</v>
      </c>
      <c r="H1646" s="5" t="s">
        <v>261</v>
      </c>
      <c r="I1646" s="5" t="s">
        <v>262</v>
      </c>
    </row>
    <row r="1647" spans="1:9" x14ac:dyDescent="0.25">
      <c r="A1647" t="s">
        <v>231</v>
      </c>
      <c r="B1647" t="s">
        <v>258</v>
      </c>
      <c r="C1647" t="s">
        <v>793</v>
      </c>
      <c r="D1647" s="1">
        <v>45218</v>
      </c>
      <c r="E1647" s="4" t="s">
        <v>259</v>
      </c>
      <c r="F1647" s="6">
        <v>316.67</v>
      </c>
      <c r="G1647" s="5" t="s">
        <v>73</v>
      </c>
      <c r="H1647" s="5" t="s">
        <v>261</v>
      </c>
      <c r="I1647" s="5" t="s">
        <v>262</v>
      </c>
    </row>
    <row r="1648" spans="1:9" x14ac:dyDescent="0.25">
      <c r="A1648" t="s">
        <v>231</v>
      </c>
      <c r="B1648" t="s">
        <v>258</v>
      </c>
      <c r="C1648" t="s">
        <v>793</v>
      </c>
      <c r="D1648" s="1">
        <v>45211</v>
      </c>
      <c r="E1648" s="4" t="s">
        <v>259</v>
      </c>
      <c r="F1648" s="6">
        <v>479.61</v>
      </c>
      <c r="G1648" s="5" t="s">
        <v>73</v>
      </c>
      <c r="H1648" s="5" t="s">
        <v>261</v>
      </c>
      <c r="I1648" s="5" t="s">
        <v>262</v>
      </c>
    </row>
    <row r="1649" spans="1:9" x14ac:dyDescent="0.25">
      <c r="A1649" t="s">
        <v>231</v>
      </c>
      <c r="B1649" t="s">
        <v>258</v>
      </c>
      <c r="C1649" t="s">
        <v>793</v>
      </c>
      <c r="D1649" s="1">
        <v>45204</v>
      </c>
      <c r="E1649" s="4" t="s">
        <v>259</v>
      </c>
      <c r="F1649" s="6">
        <v>314.97000000000003</v>
      </c>
      <c r="G1649" s="5" t="s">
        <v>73</v>
      </c>
      <c r="H1649" s="5" t="s">
        <v>261</v>
      </c>
      <c r="I1649" s="5" t="s">
        <v>262</v>
      </c>
    </row>
    <row r="1650" spans="1:9" x14ac:dyDescent="0.25">
      <c r="A1650" t="s">
        <v>231</v>
      </c>
      <c r="B1650" t="s">
        <v>258</v>
      </c>
      <c r="C1650" t="s">
        <v>793</v>
      </c>
      <c r="D1650" s="1">
        <v>45200</v>
      </c>
      <c r="E1650" s="4" t="s">
        <v>260</v>
      </c>
      <c r="F1650" s="6">
        <v>-1187.3699999999999</v>
      </c>
      <c r="G1650" s="5" t="s">
        <v>73</v>
      </c>
      <c r="H1650" s="5" t="s">
        <v>261</v>
      </c>
      <c r="I1650" s="5" t="s">
        <v>263</v>
      </c>
    </row>
    <row r="1651" spans="1:9" x14ac:dyDescent="0.25">
      <c r="A1651" t="s">
        <v>231</v>
      </c>
      <c r="B1651" t="s">
        <v>258</v>
      </c>
      <c r="C1651" t="s">
        <v>793</v>
      </c>
      <c r="D1651" s="1">
        <v>45197</v>
      </c>
      <c r="E1651" s="4" t="s">
        <v>259</v>
      </c>
      <c r="F1651" s="6">
        <v>352</v>
      </c>
      <c r="G1651" s="5" t="s">
        <v>73</v>
      </c>
      <c r="H1651" s="5" t="s">
        <v>261</v>
      </c>
      <c r="I1651" s="5" t="s">
        <v>262</v>
      </c>
    </row>
    <row r="1652" spans="1:9" x14ac:dyDescent="0.25">
      <c r="A1652" t="s">
        <v>231</v>
      </c>
      <c r="B1652" t="s">
        <v>258</v>
      </c>
      <c r="C1652" t="s">
        <v>793</v>
      </c>
      <c r="D1652" s="1">
        <v>45190</v>
      </c>
      <c r="E1652" s="4" t="s">
        <v>259</v>
      </c>
      <c r="F1652" s="6">
        <v>189.63</v>
      </c>
      <c r="G1652" s="5" t="s">
        <v>73</v>
      </c>
      <c r="H1652" s="5" t="s">
        <v>261</v>
      </c>
      <c r="I1652" s="5" t="s">
        <v>262</v>
      </c>
    </row>
    <row r="1653" spans="1:9" x14ac:dyDescent="0.25">
      <c r="A1653" t="s">
        <v>231</v>
      </c>
      <c r="B1653" t="s">
        <v>258</v>
      </c>
      <c r="C1653" t="s">
        <v>793</v>
      </c>
      <c r="D1653" s="1">
        <v>45183</v>
      </c>
      <c r="E1653" s="4" t="s">
        <v>259</v>
      </c>
      <c r="F1653" s="6">
        <v>399.67</v>
      </c>
      <c r="G1653" s="5" t="s">
        <v>73</v>
      </c>
      <c r="H1653" s="5" t="s">
        <v>261</v>
      </c>
      <c r="I1653" s="5" t="s">
        <v>262</v>
      </c>
    </row>
    <row r="1654" spans="1:9" x14ac:dyDescent="0.25">
      <c r="A1654" t="s">
        <v>231</v>
      </c>
      <c r="B1654" t="s">
        <v>258</v>
      </c>
      <c r="C1654" t="s">
        <v>793</v>
      </c>
      <c r="D1654" s="1">
        <v>45176</v>
      </c>
      <c r="E1654" s="4" t="s">
        <v>259</v>
      </c>
      <c r="F1654" s="6">
        <v>420.04</v>
      </c>
      <c r="G1654" s="5" t="s">
        <v>73</v>
      </c>
      <c r="H1654" s="5" t="s">
        <v>261</v>
      </c>
      <c r="I1654" s="5" t="s">
        <v>262</v>
      </c>
    </row>
    <row r="1655" spans="1:9" x14ac:dyDescent="0.25">
      <c r="A1655" t="s">
        <v>231</v>
      </c>
      <c r="B1655" t="s">
        <v>258</v>
      </c>
      <c r="C1655" t="s">
        <v>793</v>
      </c>
      <c r="D1655" s="1">
        <v>45170</v>
      </c>
      <c r="E1655" s="4" t="s">
        <v>260</v>
      </c>
      <c r="F1655" s="6">
        <v>-418.17</v>
      </c>
      <c r="G1655" s="5" t="s">
        <v>73</v>
      </c>
      <c r="H1655" s="5" t="s">
        <v>261</v>
      </c>
      <c r="I1655" s="5" t="s">
        <v>263</v>
      </c>
    </row>
    <row r="1656" spans="1:9" x14ac:dyDescent="0.25">
      <c r="A1656" t="s">
        <v>231</v>
      </c>
      <c r="B1656" t="s">
        <v>258</v>
      </c>
      <c r="C1656" t="s">
        <v>793</v>
      </c>
      <c r="D1656" s="1">
        <v>45169</v>
      </c>
      <c r="E1656" s="4" t="s">
        <v>259</v>
      </c>
      <c r="F1656" s="6">
        <v>102.92</v>
      </c>
      <c r="G1656" s="5" t="s">
        <v>73</v>
      </c>
      <c r="H1656" s="5" t="s">
        <v>261</v>
      </c>
      <c r="I1656" s="5" t="s">
        <v>262</v>
      </c>
    </row>
    <row r="1657" spans="1:9" x14ac:dyDescent="0.25">
      <c r="A1657" t="s">
        <v>231</v>
      </c>
      <c r="B1657" t="s">
        <v>258</v>
      </c>
      <c r="C1657" t="s">
        <v>793</v>
      </c>
      <c r="D1657" s="1">
        <v>45162</v>
      </c>
      <c r="E1657" s="4" t="s">
        <v>259</v>
      </c>
      <c r="F1657" s="6">
        <v>17.37</v>
      </c>
      <c r="G1657" s="5" t="s">
        <v>73</v>
      </c>
      <c r="H1657" s="5" t="s">
        <v>261</v>
      </c>
      <c r="I1657" s="5" t="s">
        <v>262</v>
      </c>
    </row>
    <row r="1658" spans="1:9" x14ac:dyDescent="0.25">
      <c r="A1658" t="s">
        <v>231</v>
      </c>
      <c r="B1658" t="s">
        <v>258</v>
      </c>
      <c r="C1658" t="s">
        <v>793</v>
      </c>
      <c r="D1658" s="1">
        <v>45155</v>
      </c>
      <c r="E1658" s="4" t="s">
        <v>259</v>
      </c>
      <c r="F1658" s="6">
        <v>281.64999999999998</v>
      </c>
      <c r="G1658" s="5" t="s">
        <v>73</v>
      </c>
      <c r="H1658" s="5" t="s">
        <v>261</v>
      </c>
      <c r="I1658" s="5" t="s">
        <v>262</v>
      </c>
    </row>
    <row r="1659" spans="1:9" x14ac:dyDescent="0.25">
      <c r="A1659" t="s">
        <v>231</v>
      </c>
      <c r="B1659" t="s">
        <v>258</v>
      </c>
      <c r="C1659" t="s">
        <v>793</v>
      </c>
      <c r="D1659" s="1">
        <v>45148</v>
      </c>
      <c r="E1659" s="4" t="s">
        <v>259</v>
      </c>
      <c r="F1659" s="6">
        <v>274.26</v>
      </c>
      <c r="G1659" s="5" t="s">
        <v>73</v>
      </c>
      <c r="H1659" s="5" t="s">
        <v>261</v>
      </c>
      <c r="I1659" s="5" t="s">
        <v>262</v>
      </c>
    </row>
    <row r="1660" spans="1:9" x14ac:dyDescent="0.25">
      <c r="A1660" t="s">
        <v>231</v>
      </c>
      <c r="B1660" t="s">
        <v>258</v>
      </c>
      <c r="C1660" t="s">
        <v>793</v>
      </c>
      <c r="D1660" s="1">
        <v>45141</v>
      </c>
      <c r="E1660" s="4" t="s">
        <v>259</v>
      </c>
      <c r="F1660" s="6">
        <v>457.56</v>
      </c>
      <c r="G1660" s="5" t="s">
        <v>73</v>
      </c>
      <c r="H1660" s="5" t="s">
        <v>261</v>
      </c>
      <c r="I1660" s="5" t="s">
        <v>262</v>
      </c>
    </row>
    <row r="1661" spans="1:9" x14ac:dyDescent="0.25">
      <c r="A1661" t="s">
        <v>231</v>
      </c>
      <c r="B1661" t="s">
        <v>258</v>
      </c>
      <c r="C1661" t="s">
        <v>793</v>
      </c>
      <c r="D1661" s="1">
        <v>45139</v>
      </c>
      <c r="E1661" s="4" t="s">
        <v>260</v>
      </c>
      <c r="F1661" s="6">
        <v>-1854.24</v>
      </c>
      <c r="G1661" s="5" t="s">
        <v>73</v>
      </c>
      <c r="H1661" s="5" t="s">
        <v>261</v>
      </c>
      <c r="I1661" s="5" t="s">
        <v>263</v>
      </c>
    </row>
    <row r="1662" spans="1:9" x14ac:dyDescent="0.25">
      <c r="A1662" t="s">
        <v>231</v>
      </c>
      <c r="B1662" t="s">
        <v>258</v>
      </c>
      <c r="C1662" t="s">
        <v>793</v>
      </c>
      <c r="D1662" s="1">
        <v>45134</v>
      </c>
      <c r="E1662" s="4" t="s">
        <v>259</v>
      </c>
      <c r="F1662" s="6">
        <v>254</v>
      </c>
      <c r="G1662" s="5" t="s">
        <v>73</v>
      </c>
      <c r="H1662" s="5" t="s">
        <v>261</v>
      </c>
      <c r="I1662" s="5" t="s">
        <v>262</v>
      </c>
    </row>
    <row r="1663" spans="1:9" x14ac:dyDescent="0.25">
      <c r="A1663" t="s">
        <v>231</v>
      </c>
      <c r="B1663" t="s">
        <v>258</v>
      </c>
      <c r="C1663" t="s">
        <v>793</v>
      </c>
      <c r="D1663" s="1">
        <v>45127</v>
      </c>
      <c r="E1663" s="4" t="s">
        <v>259</v>
      </c>
      <c r="F1663" s="6">
        <v>545.52</v>
      </c>
      <c r="G1663" s="5" t="s">
        <v>73</v>
      </c>
      <c r="H1663" s="5" t="s">
        <v>261</v>
      </c>
      <c r="I1663" s="5" t="s">
        <v>262</v>
      </c>
    </row>
    <row r="1664" spans="1:9" x14ac:dyDescent="0.25">
      <c r="A1664" t="s">
        <v>231</v>
      </c>
      <c r="B1664" t="s">
        <v>258</v>
      </c>
      <c r="C1664" t="s">
        <v>793</v>
      </c>
      <c r="D1664" s="1">
        <v>45120</v>
      </c>
      <c r="E1664" s="4" t="s">
        <v>259</v>
      </c>
      <c r="F1664" s="6">
        <v>502.98</v>
      </c>
      <c r="G1664" s="5" t="s">
        <v>73</v>
      </c>
      <c r="H1664" s="5" t="s">
        <v>261</v>
      </c>
      <c r="I1664" s="5" t="s">
        <v>262</v>
      </c>
    </row>
    <row r="1665" spans="1:9" x14ac:dyDescent="0.25">
      <c r="A1665" t="s">
        <v>231</v>
      </c>
      <c r="B1665" t="s">
        <v>258</v>
      </c>
      <c r="C1665" t="s">
        <v>793</v>
      </c>
      <c r="D1665" s="1">
        <v>45113</v>
      </c>
      <c r="E1665" s="4" t="s">
        <v>259</v>
      </c>
      <c r="F1665" s="6">
        <v>150.13</v>
      </c>
      <c r="G1665" s="5" t="s">
        <v>73</v>
      </c>
      <c r="H1665" s="5" t="s">
        <v>261</v>
      </c>
      <c r="I1665" s="5" t="s">
        <v>262</v>
      </c>
    </row>
    <row r="1666" spans="1:9" x14ac:dyDescent="0.25">
      <c r="A1666" t="s">
        <v>231</v>
      </c>
      <c r="B1666" t="s">
        <v>258</v>
      </c>
      <c r="C1666" t="s">
        <v>793</v>
      </c>
      <c r="D1666" s="1">
        <v>45108</v>
      </c>
      <c r="E1666" s="4" t="s">
        <v>260</v>
      </c>
      <c r="F1666" s="6">
        <v>-1660.04</v>
      </c>
      <c r="G1666" s="5" t="s">
        <v>73</v>
      </c>
      <c r="H1666" s="5" t="s">
        <v>261</v>
      </c>
      <c r="I1666" s="5" t="s">
        <v>263</v>
      </c>
    </row>
    <row r="1667" spans="1:9" x14ac:dyDescent="0.25">
      <c r="A1667" t="s">
        <v>231</v>
      </c>
      <c r="B1667" t="s">
        <v>258</v>
      </c>
      <c r="C1667" t="s">
        <v>793</v>
      </c>
      <c r="D1667" s="1">
        <v>45106</v>
      </c>
      <c r="E1667" s="4" t="s">
        <v>259</v>
      </c>
      <c r="F1667" s="6">
        <v>179.33</v>
      </c>
      <c r="G1667" s="5" t="s">
        <v>73</v>
      </c>
      <c r="H1667" s="5" t="s">
        <v>261</v>
      </c>
      <c r="I1667" s="5" t="s">
        <v>262</v>
      </c>
    </row>
    <row r="1668" spans="1:9" x14ac:dyDescent="0.25">
      <c r="A1668" t="s">
        <v>231</v>
      </c>
      <c r="B1668" t="s">
        <v>258</v>
      </c>
      <c r="C1668" t="s">
        <v>793</v>
      </c>
      <c r="D1668" s="1">
        <v>45099</v>
      </c>
      <c r="E1668" s="4" t="s">
        <v>259</v>
      </c>
      <c r="F1668" s="6">
        <v>131</v>
      </c>
      <c r="G1668" s="5" t="s">
        <v>73</v>
      </c>
      <c r="H1668" s="5" t="s">
        <v>261</v>
      </c>
      <c r="I1668" s="5" t="s">
        <v>262</v>
      </c>
    </row>
    <row r="1669" spans="1:9" x14ac:dyDescent="0.25">
      <c r="A1669" t="s">
        <v>231</v>
      </c>
      <c r="B1669" t="s">
        <v>258</v>
      </c>
      <c r="C1669" t="s">
        <v>793</v>
      </c>
      <c r="D1669" s="1">
        <v>45092</v>
      </c>
      <c r="E1669" s="4" t="s">
        <v>259</v>
      </c>
      <c r="F1669" s="6">
        <v>29.46</v>
      </c>
      <c r="G1669" s="5" t="s">
        <v>73</v>
      </c>
      <c r="H1669" s="5" t="s">
        <v>261</v>
      </c>
      <c r="I1669" s="5" t="s">
        <v>262</v>
      </c>
    </row>
    <row r="1670" spans="1:9" x14ac:dyDescent="0.25">
      <c r="A1670" t="s">
        <v>231</v>
      </c>
      <c r="B1670" t="s">
        <v>258</v>
      </c>
      <c r="C1670" t="s">
        <v>793</v>
      </c>
      <c r="D1670" s="1">
        <v>45085</v>
      </c>
      <c r="E1670" s="4" t="s">
        <v>259</v>
      </c>
      <c r="F1670" s="6">
        <v>716.22</v>
      </c>
      <c r="G1670" s="5" t="s">
        <v>73</v>
      </c>
      <c r="H1670" s="5" t="s">
        <v>261</v>
      </c>
      <c r="I1670" s="5" t="s">
        <v>262</v>
      </c>
    </row>
    <row r="1671" spans="1:9" x14ac:dyDescent="0.25">
      <c r="A1671" t="s">
        <v>231</v>
      </c>
      <c r="B1671" t="s">
        <v>258</v>
      </c>
      <c r="C1671" t="s">
        <v>793</v>
      </c>
      <c r="D1671" s="1">
        <v>45078</v>
      </c>
      <c r="E1671" s="4" t="s">
        <v>260</v>
      </c>
      <c r="F1671" s="6">
        <v>-1417.79</v>
      </c>
      <c r="G1671" s="5" t="s">
        <v>73</v>
      </c>
      <c r="H1671" s="5" t="s">
        <v>261</v>
      </c>
      <c r="I1671" s="5" t="s">
        <v>263</v>
      </c>
    </row>
    <row r="1672" spans="1:9" x14ac:dyDescent="0.25">
      <c r="A1672" t="s">
        <v>231</v>
      </c>
      <c r="B1672" t="s">
        <v>258</v>
      </c>
      <c r="C1672" t="s">
        <v>793</v>
      </c>
      <c r="D1672" s="1">
        <v>45078</v>
      </c>
      <c r="E1672" s="4" t="s">
        <v>259</v>
      </c>
      <c r="F1672" s="6">
        <v>332.3</v>
      </c>
      <c r="G1672" s="5" t="s">
        <v>73</v>
      </c>
      <c r="H1672" s="5" t="s">
        <v>261</v>
      </c>
      <c r="I1672" s="5" t="s">
        <v>262</v>
      </c>
    </row>
    <row r="1673" spans="1:9" x14ac:dyDescent="0.25">
      <c r="A1673" t="s">
        <v>231</v>
      </c>
      <c r="B1673" t="s">
        <v>258</v>
      </c>
      <c r="C1673" t="s">
        <v>793</v>
      </c>
      <c r="D1673" s="1">
        <v>45071</v>
      </c>
      <c r="E1673" s="4" t="s">
        <v>259</v>
      </c>
      <c r="F1673" s="6">
        <v>3.29</v>
      </c>
      <c r="G1673" s="5" t="s">
        <v>73</v>
      </c>
      <c r="H1673" s="5" t="s">
        <v>261</v>
      </c>
      <c r="I1673" s="5" t="s">
        <v>262</v>
      </c>
    </row>
    <row r="1674" spans="1:9" x14ac:dyDescent="0.25">
      <c r="A1674" t="s">
        <v>231</v>
      </c>
      <c r="B1674" t="s">
        <v>258</v>
      </c>
      <c r="C1674" t="s">
        <v>793</v>
      </c>
      <c r="D1674" s="1">
        <v>45064</v>
      </c>
      <c r="E1674" s="4" t="s">
        <v>259</v>
      </c>
      <c r="F1674" s="6">
        <v>527.51</v>
      </c>
      <c r="G1674" s="5" t="s">
        <v>73</v>
      </c>
      <c r="H1674" s="5" t="s">
        <v>261</v>
      </c>
      <c r="I1674" s="5" t="s">
        <v>262</v>
      </c>
    </row>
    <row r="1675" spans="1:9" x14ac:dyDescent="0.25">
      <c r="A1675" t="s">
        <v>231</v>
      </c>
      <c r="B1675" t="s">
        <v>258</v>
      </c>
      <c r="C1675" t="s">
        <v>793</v>
      </c>
      <c r="D1675" s="1">
        <v>45057</v>
      </c>
      <c r="E1675" s="4" t="s">
        <v>259</v>
      </c>
      <c r="F1675" s="6">
        <v>11.39</v>
      </c>
      <c r="G1675" s="5" t="s">
        <v>73</v>
      </c>
      <c r="H1675" s="5" t="s">
        <v>261</v>
      </c>
      <c r="I1675" s="5" t="s">
        <v>262</v>
      </c>
    </row>
    <row r="1676" spans="1:9" x14ac:dyDescent="0.25">
      <c r="A1676" t="s">
        <v>231</v>
      </c>
      <c r="B1676" t="s">
        <v>258</v>
      </c>
      <c r="C1676" t="s">
        <v>793</v>
      </c>
      <c r="D1676" s="1">
        <v>45050</v>
      </c>
      <c r="E1676" s="4" t="s">
        <v>259</v>
      </c>
      <c r="F1676" s="6">
        <v>478.52</v>
      </c>
      <c r="G1676" s="5" t="s">
        <v>73</v>
      </c>
      <c r="H1676" s="5" t="s">
        <v>261</v>
      </c>
      <c r="I1676" s="5" t="s">
        <v>262</v>
      </c>
    </row>
    <row r="1677" spans="1:9" x14ac:dyDescent="0.25">
      <c r="A1677" t="s">
        <v>231</v>
      </c>
      <c r="B1677" t="s">
        <v>258</v>
      </c>
      <c r="C1677" t="s">
        <v>793</v>
      </c>
      <c r="D1677" s="1">
        <v>45047</v>
      </c>
      <c r="E1677" s="4" t="s">
        <v>260</v>
      </c>
      <c r="F1677" s="6">
        <v>-275.95999999999998</v>
      </c>
      <c r="G1677" s="5" t="s">
        <v>73</v>
      </c>
      <c r="H1677" s="5" t="s">
        <v>261</v>
      </c>
      <c r="I1677" s="5" t="s">
        <v>263</v>
      </c>
    </row>
    <row r="1678" spans="1:9" x14ac:dyDescent="0.25">
      <c r="A1678" t="s">
        <v>231</v>
      </c>
      <c r="B1678" t="s">
        <v>258</v>
      </c>
      <c r="C1678" t="s">
        <v>793</v>
      </c>
      <c r="D1678" s="1">
        <v>45043</v>
      </c>
      <c r="E1678" s="4" t="s">
        <v>259</v>
      </c>
      <c r="F1678" s="6">
        <v>378.78</v>
      </c>
      <c r="G1678" s="5" t="s">
        <v>73</v>
      </c>
      <c r="H1678" s="5" t="s">
        <v>261</v>
      </c>
      <c r="I1678" s="5" t="s">
        <v>262</v>
      </c>
    </row>
    <row r="1679" spans="1:9" x14ac:dyDescent="0.25">
      <c r="A1679" t="s">
        <v>231</v>
      </c>
      <c r="B1679" t="s">
        <v>258</v>
      </c>
      <c r="C1679" t="s">
        <v>793</v>
      </c>
      <c r="D1679" s="1">
        <v>45036</v>
      </c>
      <c r="E1679" s="4" t="s">
        <v>259</v>
      </c>
      <c r="F1679" s="6">
        <v>134.94</v>
      </c>
      <c r="G1679" s="5" t="s">
        <v>73</v>
      </c>
      <c r="H1679" s="5" t="s">
        <v>261</v>
      </c>
      <c r="I1679" s="5" t="s">
        <v>262</v>
      </c>
    </row>
    <row r="1680" spans="1:9" x14ac:dyDescent="0.25">
      <c r="A1680" t="s">
        <v>231</v>
      </c>
      <c r="B1680" t="s">
        <v>258</v>
      </c>
      <c r="C1680" t="s">
        <v>793</v>
      </c>
      <c r="D1680" s="1">
        <v>45029</v>
      </c>
      <c r="E1680" s="4" t="s">
        <v>259</v>
      </c>
      <c r="F1680" s="6">
        <v>64.150000000000006</v>
      </c>
      <c r="G1680" s="5" t="s">
        <v>73</v>
      </c>
      <c r="H1680" s="5" t="s">
        <v>261</v>
      </c>
      <c r="I1680" s="5" t="s">
        <v>262</v>
      </c>
    </row>
    <row r="1681" spans="1:9" x14ac:dyDescent="0.25">
      <c r="A1681" t="s">
        <v>231</v>
      </c>
      <c r="B1681" t="s">
        <v>258</v>
      </c>
      <c r="C1681" t="s">
        <v>793</v>
      </c>
      <c r="D1681" s="1">
        <v>45022</v>
      </c>
      <c r="E1681" s="4" t="s">
        <v>259</v>
      </c>
      <c r="F1681" s="6">
        <v>642.65</v>
      </c>
      <c r="G1681" s="5" t="s">
        <v>73</v>
      </c>
      <c r="H1681" s="5" t="s">
        <v>261</v>
      </c>
      <c r="I1681" s="5" t="s">
        <v>262</v>
      </c>
    </row>
    <row r="1682" spans="1:9" x14ac:dyDescent="0.25">
      <c r="A1682" t="s">
        <v>231</v>
      </c>
      <c r="B1682" t="s">
        <v>258</v>
      </c>
      <c r="C1682" t="s">
        <v>793</v>
      </c>
      <c r="D1682" s="1">
        <v>45017</v>
      </c>
      <c r="E1682" s="4" t="s">
        <v>260</v>
      </c>
      <c r="F1682" s="6">
        <v>-826.64</v>
      </c>
      <c r="G1682" s="5" t="s">
        <v>73</v>
      </c>
      <c r="H1682" s="5" t="s">
        <v>261</v>
      </c>
      <c r="I1682" s="5" t="s">
        <v>263</v>
      </c>
    </row>
    <row r="1683" spans="1:9" x14ac:dyDescent="0.25">
      <c r="A1683" t="s">
        <v>231</v>
      </c>
      <c r="B1683" t="s">
        <v>258</v>
      </c>
      <c r="C1683" t="s">
        <v>794</v>
      </c>
      <c r="D1683" s="1">
        <v>45379</v>
      </c>
      <c r="E1683" s="3" t="s">
        <v>259</v>
      </c>
      <c r="F1683" s="2">
        <v>370.85</v>
      </c>
      <c r="G1683" t="s">
        <v>73</v>
      </c>
      <c r="H1683" t="s">
        <v>261</v>
      </c>
      <c r="I1683" t="s">
        <v>262</v>
      </c>
    </row>
    <row r="1684" spans="1:9" x14ac:dyDescent="0.25">
      <c r="A1684" t="s">
        <v>231</v>
      </c>
      <c r="B1684" t="s">
        <v>258</v>
      </c>
      <c r="C1684" t="s">
        <v>794</v>
      </c>
      <c r="D1684" s="1">
        <v>45372</v>
      </c>
      <c r="E1684" s="3" t="s">
        <v>259</v>
      </c>
      <c r="F1684" s="2">
        <v>362.16</v>
      </c>
      <c r="G1684" t="s">
        <v>73</v>
      </c>
      <c r="H1684" t="s">
        <v>261</v>
      </c>
      <c r="I1684" t="s">
        <v>262</v>
      </c>
    </row>
    <row r="1685" spans="1:9" x14ac:dyDescent="0.25">
      <c r="A1685" t="s">
        <v>231</v>
      </c>
      <c r="B1685" t="s">
        <v>258</v>
      </c>
      <c r="C1685" t="s">
        <v>794</v>
      </c>
      <c r="D1685" s="1">
        <v>45365</v>
      </c>
      <c r="E1685" s="3" t="s">
        <v>259</v>
      </c>
      <c r="F1685" s="2">
        <v>37.07</v>
      </c>
      <c r="G1685" t="s">
        <v>73</v>
      </c>
      <c r="H1685" t="s">
        <v>261</v>
      </c>
      <c r="I1685" t="s">
        <v>262</v>
      </c>
    </row>
    <row r="1686" spans="1:9" x14ac:dyDescent="0.25">
      <c r="A1686" t="s">
        <v>231</v>
      </c>
      <c r="B1686" t="s">
        <v>258</v>
      </c>
      <c r="C1686" t="s">
        <v>794</v>
      </c>
      <c r="D1686" s="1">
        <v>45358</v>
      </c>
      <c r="E1686" s="3" t="s">
        <v>259</v>
      </c>
      <c r="F1686" s="2">
        <v>470.66</v>
      </c>
      <c r="G1686" t="s">
        <v>73</v>
      </c>
      <c r="H1686" t="s">
        <v>261</v>
      </c>
      <c r="I1686" t="s">
        <v>262</v>
      </c>
    </row>
    <row r="1687" spans="1:9" x14ac:dyDescent="0.25">
      <c r="A1687" t="s">
        <v>231</v>
      </c>
      <c r="B1687" t="s">
        <v>258</v>
      </c>
      <c r="C1687" t="s">
        <v>794</v>
      </c>
      <c r="D1687" s="1">
        <v>45352</v>
      </c>
      <c r="E1687" s="3" t="s">
        <v>260</v>
      </c>
      <c r="F1687" s="2">
        <v>-1419</v>
      </c>
      <c r="G1687" t="s">
        <v>73</v>
      </c>
      <c r="H1687" t="s">
        <v>261</v>
      </c>
      <c r="I1687" t="s">
        <v>263</v>
      </c>
    </row>
    <row r="1688" spans="1:9" x14ac:dyDescent="0.25">
      <c r="A1688" t="s">
        <v>231</v>
      </c>
      <c r="B1688" t="s">
        <v>258</v>
      </c>
      <c r="C1688" t="s">
        <v>794</v>
      </c>
      <c r="D1688" s="1">
        <v>45351</v>
      </c>
      <c r="E1688" s="3" t="s">
        <v>259</v>
      </c>
      <c r="F1688" s="2">
        <v>193.32</v>
      </c>
      <c r="G1688" t="s">
        <v>73</v>
      </c>
      <c r="H1688" t="s">
        <v>261</v>
      </c>
      <c r="I1688" t="s">
        <v>262</v>
      </c>
    </row>
    <row r="1689" spans="1:9" x14ac:dyDescent="0.25">
      <c r="A1689" t="s">
        <v>231</v>
      </c>
      <c r="B1689" t="s">
        <v>258</v>
      </c>
      <c r="C1689" t="s">
        <v>794</v>
      </c>
      <c r="D1689" s="1">
        <v>45344</v>
      </c>
      <c r="E1689" s="3" t="s">
        <v>259</v>
      </c>
      <c r="F1689" s="2">
        <v>117.47</v>
      </c>
      <c r="G1689" t="s">
        <v>73</v>
      </c>
      <c r="H1689" t="s">
        <v>261</v>
      </c>
      <c r="I1689" t="s">
        <v>262</v>
      </c>
    </row>
    <row r="1690" spans="1:9" x14ac:dyDescent="0.25">
      <c r="A1690" t="s">
        <v>231</v>
      </c>
      <c r="B1690" t="s">
        <v>258</v>
      </c>
      <c r="C1690" t="s">
        <v>794</v>
      </c>
      <c r="D1690" s="1">
        <v>45337</v>
      </c>
      <c r="E1690" s="3" t="s">
        <v>259</v>
      </c>
      <c r="F1690" s="2">
        <v>350.9</v>
      </c>
      <c r="G1690" t="s">
        <v>73</v>
      </c>
      <c r="H1690" t="s">
        <v>261</v>
      </c>
      <c r="I1690" t="s">
        <v>262</v>
      </c>
    </row>
    <row r="1691" spans="1:9" x14ac:dyDescent="0.25">
      <c r="A1691" t="s">
        <v>231</v>
      </c>
      <c r="B1691" t="s">
        <v>258</v>
      </c>
      <c r="C1691" t="s">
        <v>794</v>
      </c>
      <c r="D1691" s="1">
        <v>45330</v>
      </c>
      <c r="E1691" s="3" t="s">
        <v>259</v>
      </c>
      <c r="F1691" s="2">
        <v>507.22</v>
      </c>
      <c r="G1691" t="s">
        <v>73</v>
      </c>
      <c r="H1691" t="s">
        <v>261</v>
      </c>
      <c r="I1691" t="s">
        <v>262</v>
      </c>
    </row>
    <row r="1692" spans="1:9" x14ac:dyDescent="0.25">
      <c r="A1692" t="s">
        <v>231</v>
      </c>
      <c r="B1692" t="s">
        <v>258</v>
      </c>
      <c r="C1692" t="s">
        <v>794</v>
      </c>
      <c r="D1692" s="1">
        <v>45323</v>
      </c>
      <c r="E1692" s="3" t="s">
        <v>260</v>
      </c>
      <c r="F1692" s="2">
        <v>-1466.68</v>
      </c>
      <c r="G1692" t="s">
        <v>73</v>
      </c>
      <c r="H1692" t="s">
        <v>261</v>
      </c>
      <c r="I1692" t="s">
        <v>263</v>
      </c>
    </row>
    <row r="1693" spans="1:9" x14ac:dyDescent="0.25">
      <c r="A1693" t="s">
        <v>231</v>
      </c>
      <c r="B1693" t="s">
        <v>258</v>
      </c>
      <c r="C1693" t="s">
        <v>794</v>
      </c>
      <c r="D1693" s="1">
        <v>45323</v>
      </c>
      <c r="E1693" s="3" t="s">
        <v>259</v>
      </c>
      <c r="F1693" s="2">
        <v>167.3</v>
      </c>
      <c r="G1693" t="s">
        <v>73</v>
      </c>
      <c r="H1693" t="s">
        <v>261</v>
      </c>
      <c r="I1693" t="s">
        <v>262</v>
      </c>
    </row>
    <row r="1694" spans="1:9" x14ac:dyDescent="0.25">
      <c r="A1694" t="s">
        <v>231</v>
      </c>
      <c r="B1694" t="s">
        <v>258</v>
      </c>
      <c r="C1694" t="s">
        <v>794</v>
      </c>
      <c r="D1694" s="1">
        <v>45316</v>
      </c>
      <c r="E1694" s="3" t="s">
        <v>259</v>
      </c>
      <c r="F1694" s="2">
        <v>120.88</v>
      </c>
      <c r="G1694" t="s">
        <v>73</v>
      </c>
      <c r="H1694" t="s">
        <v>261</v>
      </c>
      <c r="I1694" t="s">
        <v>262</v>
      </c>
    </row>
    <row r="1695" spans="1:9" x14ac:dyDescent="0.25">
      <c r="A1695" t="s">
        <v>231</v>
      </c>
      <c r="B1695" t="s">
        <v>258</v>
      </c>
      <c r="C1695" t="s">
        <v>794</v>
      </c>
      <c r="D1695" s="1">
        <v>45309</v>
      </c>
      <c r="E1695" s="3" t="s">
        <v>259</v>
      </c>
      <c r="F1695" s="2">
        <v>309.36</v>
      </c>
      <c r="G1695" t="s">
        <v>73</v>
      </c>
      <c r="H1695" t="s">
        <v>261</v>
      </c>
      <c r="I1695" t="s">
        <v>262</v>
      </c>
    </row>
    <row r="1696" spans="1:9" x14ac:dyDescent="0.25">
      <c r="A1696" t="s">
        <v>231</v>
      </c>
      <c r="B1696" t="s">
        <v>258</v>
      </c>
      <c r="C1696" t="s">
        <v>794</v>
      </c>
      <c r="D1696" s="1">
        <v>45302</v>
      </c>
      <c r="E1696" s="3" t="s">
        <v>259</v>
      </c>
      <c r="F1696" s="2">
        <v>94.33</v>
      </c>
      <c r="G1696" t="s">
        <v>73</v>
      </c>
      <c r="H1696" t="s">
        <v>261</v>
      </c>
      <c r="I1696" t="s">
        <v>262</v>
      </c>
    </row>
    <row r="1697" spans="1:9" x14ac:dyDescent="0.25">
      <c r="A1697" t="s">
        <v>231</v>
      </c>
      <c r="B1697" t="s">
        <v>258</v>
      </c>
      <c r="C1697" t="s">
        <v>794</v>
      </c>
      <c r="D1697" s="1">
        <v>45295</v>
      </c>
      <c r="E1697" s="3" t="s">
        <v>259</v>
      </c>
      <c r="F1697" s="2">
        <v>336.95</v>
      </c>
      <c r="G1697" t="s">
        <v>73</v>
      </c>
      <c r="H1697" t="s">
        <v>261</v>
      </c>
      <c r="I1697" t="s">
        <v>262</v>
      </c>
    </row>
    <row r="1698" spans="1:9" x14ac:dyDescent="0.25">
      <c r="A1698" t="s">
        <v>231</v>
      </c>
      <c r="B1698" t="s">
        <v>258</v>
      </c>
      <c r="C1698" t="s">
        <v>794</v>
      </c>
      <c r="D1698" s="1">
        <v>45292</v>
      </c>
      <c r="E1698" s="3" t="s">
        <v>260</v>
      </c>
      <c r="F1698" s="2">
        <v>-1319.97</v>
      </c>
      <c r="G1698" t="s">
        <v>73</v>
      </c>
      <c r="H1698" t="s">
        <v>261</v>
      </c>
      <c r="I1698" t="s">
        <v>263</v>
      </c>
    </row>
    <row r="1699" spans="1:9" x14ac:dyDescent="0.25">
      <c r="A1699" t="s">
        <v>231</v>
      </c>
      <c r="B1699" t="s">
        <v>258</v>
      </c>
      <c r="C1699" t="s">
        <v>794</v>
      </c>
      <c r="D1699" s="1">
        <v>45288</v>
      </c>
      <c r="E1699" s="3" t="s">
        <v>259</v>
      </c>
      <c r="F1699" s="2">
        <v>288.14999999999998</v>
      </c>
      <c r="G1699" t="s">
        <v>73</v>
      </c>
      <c r="H1699" t="s">
        <v>261</v>
      </c>
      <c r="I1699" t="s">
        <v>262</v>
      </c>
    </row>
    <row r="1700" spans="1:9" x14ac:dyDescent="0.25">
      <c r="A1700" t="s">
        <v>231</v>
      </c>
      <c r="B1700" t="s">
        <v>258</v>
      </c>
      <c r="C1700" t="s">
        <v>794</v>
      </c>
      <c r="D1700" s="1">
        <v>45281</v>
      </c>
      <c r="E1700" s="3" t="s">
        <v>259</v>
      </c>
      <c r="F1700" s="2">
        <v>147.22</v>
      </c>
      <c r="G1700" t="s">
        <v>73</v>
      </c>
      <c r="H1700" t="s">
        <v>261</v>
      </c>
      <c r="I1700" t="s">
        <v>262</v>
      </c>
    </row>
    <row r="1701" spans="1:9" x14ac:dyDescent="0.25">
      <c r="A1701" t="s">
        <v>231</v>
      </c>
      <c r="B1701" t="s">
        <v>258</v>
      </c>
      <c r="C1701" t="s">
        <v>794</v>
      </c>
      <c r="D1701" s="1">
        <v>45274</v>
      </c>
      <c r="E1701" s="3" t="s">
        <v>259</v>
      </c>
      <c r="F1701" s="2">
        <v>531.98</v>
      </c>
      <c r="G1701" t="s">
        <v>73</v>
      </c>
      <c r="H1701" t="s">
        <v>261</v>
      </c>
      <c r="I1701" t="s">
        <v>262</v>
      </c>
    </row>
    <row r="1702" spans="1:9" x14ac:dyDescent="0.25">
      <c r="A1702" t="s">
        <v>231</v>
      </c>
      <c r="B1702" t="s">
        <v>258</v>
      </c>
      <c r="C1702" t="s">
        <v>794</v>
      </c>
      <c r="D1702" s="1">
        <v>45267</v>
      </c>
      <c r="E1702" s="3" t="s">
        <v>259</v>
      </c>
      <c r="F1702" s="2">
        <v>102.01</v>
      </c>
      <c r="G1702" t="s">
        <v>73</v>
      </c>
      <c r="H1702" t="s">
        <v>261</v>
      </c>
      <c r="I1702" t="s">
        <v>262</v>
      </c>
    </row>
    <row r="1703" spans="1:9" x14ac:dyDescent="0.25">
      <c r="A1703" t="s">
        <v>231</v>
      </c>
      <c r="B1703" t="s">
        <v>258</v>
      </c>
      <c r="C1703" t="s">
        <v>794</v>
      </c>
      <c r="D1703" s="1">
        <v>45261</v>
      </c>
      <c r="E1703" s="3" t="s">
        <v>260</v>
      </c>
      <c r="F1703" s="2">
        <v>-28.9</v>
      </c>
      <c r="G1703" t="s">
        <v>73</v>
      </c>
      <c r="H1703" t="s">
        <v>261</v>
      </c>
      <c r="I1703" t="s">
        <v>263</v>
      </c>
    </row>
    <row r="1704" spans="1:9" x14ac:dyDescent="0.25">
      <c r="A1704" t="s">
        <v>231</v>
      </c>
      <c r="B1704" t="s">
        <v>258</v>
      </c>
      <c r="C1704" t="s">
        <v>794</v>
      </c>
      <c r="D1704" s="1">
        <v>45260</v>
      </c>
      <c r="E1704" s="3" t="s">
        <v>259</v>
      </c>
      <c r="F1704" s="2">
        <v>17.88</v>
      </c>
      <c r="G1704" t="s">
        <v>73</v>
      </c>
      <c r="H1704" t="s">
        <v>261</v>
      </c>
      <c r="I1704" t="s">
        <v>262</v>
      </c>
    </row>
    <row r="1705" spans="1:9" x14ac:dyDescent="0.25">
      <c r="A1705" t="s">
        <v>231</v>
      </c>
      <c r="B1705" t="s">
        <v>258</v>
      </c>
      <c r="C1705" t="s">
        <v>794</v>
      </c>
      <c r="D1705" s="1">
        <v>45253</v>
      </c>
      <c r="E1705" s="3" t="s">
        <v>259</v>
      </c>
      <c r="F1705" s="2">
        <v>499.97</v>
      </c>
      <c r="G1705" t="s">
        <v>73</v>
      </c>
      <c r="H1705" t="s">
        <v>261</v>
      </c>
      <c r="I1705" t="s">
        <v>262</v>
      </c>
    </row>
    <row r="1706" spans="1:9" x14ac:dyDescent="0.25">
      <c r="A1706" t="s">
        <v>231</v>
      </c>
      <c r="B1706" t="s">
        <v>258</v>
      </c>
      <c r="C1706" t="s">
        <v>794</v>
      </c>
      <c r="D1706" s="1">
        <v>45246</v>
      </c>
      <c r="E1706" s="3" t="s">
        <v>259</v>
      </c>
      <c r="F1706" s="2">
        <v>524.58000000000004</v>
      </c>
      <c r="G1706" t="s">
        <v>73</v>
      </c>
      <c r="H1706" t="s">
        <v>261</v>
      </c>
      <c r="I1706" t="s">
        <v>262</v>
      </c>
    </row>
    <row r="1707" spans="1:9" x14ac:dyDescent="0.25">
      <c r="A1707" t="s">
        <v>231</v>
      </c>
      <c r="B1707" t="s">
        <v>258</v>
      </c>
      <c r="C1707" t="s">
        <v>794</v>
      </c>
      <c r="D1707" s="1">
        <v>45239</v>
      </c>
      <c r="E1707" s="3" t="s">
        <v>259</v>
      </c>
      <c r="F1707" s="2">
        <v>198.08</v>
      </c>
      <c r="G1707" t="s">
        <v>73</v>
      </c>
      <c r="H1707" t="s">
        <v>261</v>
      </c>
      <c r="I1707" t="s">
        <v>262</v>
      </c>
    </row>
    <row r="1708" spans="1:9" x14ac:dyDescent="0.25">
      <c r="A1708" t="s">
        <v>231</v>
      </c>
      <c r="B1708" t="s">
        <v>258</v>
      </c>
      <c r="C1708" t="s">
        <v>794</v>
      </c>
      <c r="D1708" s="1">
        <v>45232</v>
      </c>
      <c r="E1708" s="3" t="s">
        <v>259</v>
      </c>
      <c r="F1708" s="2">
        <v>448.57</v>
      </c>
      <c r="G1708" t="s">
        <v>73</v>
      </c>
      <c r="H1708" t="s">
        <v>261</v>
      </c>
      <c r="I1708" t="s">
        <v>262</v>
      </c>
    </row>
    <row r="1709" spans="1:9" x14ac:dyDescent="0.25">
      <c r="A1709" t="s">
        <v>231</v>
      </c>
      <c r="B1709" t="s">
        <v>258</v>
      </c>
      <c r="C1709" t="s">
        <v>794</v>
      </c>
      <c r="D1709" s="1">
        <v>45231</v>
      </c>
      <c r="E1709" s="3" t="s">
        <v>260</v>
      </c>
      <c r="F1709" s="2">
        <v>-1326.73</v>
      </c>
      <c r="G1709" t="s">
        <v>73</v>
      </c>
      <c r="H1709" t="s">
        <v>261</v>
      </c>
      <c r="I1709" t="s">
        <v>263</v>
      </c>
    </row>
    <row r="1710" spans="1:9" x14ac:dyDescent="0.25">
      <c r="A1710" t="s">
        <v>231</v>
      </c>
      <c r="B1710" t="s">
        <v>258</v>
      </c>
      <c r="C1710" t="s">
        <v>794</v>
      </c>
      <c r="D1710" s="1">
        <v>45225</v>
      </c>
      <c r="E1710" s="3" t="s">
        <v>259</v>
      </c>
      <c r="F1710" s="2">
        <v>149.24</v>
      </c>
      <c r="G1710" t="s">
        <v>73</v>
      </c>
      <c r="H1710" t="s">
        <v>261</v>
      </c>
      <c r="I1710" t="s">
        <v>262</v>
      </c>
    </row>
    <row r="1711" spans="1:9" x14ac:dyDescent="0.25">
      <c r="A1711" t="s">
        <v>231</v>
      </c>
      <c r="B1711" t="s">
        <v>258</v>
      </c>
      <c r="C1711" t="s">
        <v>794</v>
      </c>
      <c r="D1711" s="1">
        <v>45218</v>
      </c>
      <c r="E1711" s="3" t="s">
        <v>259</v>
      </c>
      <c r="F1711" s="2">
        <v>226.74</v>
      </c>
      <c r="G1711" t="s">
        <v>73</v>
      </c>
      <c r="H1711" t="s">
        <v>261</v>
      </c>
      <c r="I1711" t="s">
        <v>262</v>
      </c>
    </row>
    <row r="1712" spans="1:9" x14ac:dyDescent="0.25">
      <c r="A1712" t="s">
        <v>231</v>
      </c>
      <c r="B1712" t="s">
        <v>258</v>
      </c>
      <c r="C1712" t="s">
        <v>794</v>
      </c>
      <c r="D1712" s="1">
        <v>45211</v>
      </c>
      <c r="E1712" s="3" t="s">
        <v>259</v>
      </c>
      <c r="F1712" s="2">
        <v>164.55</v>
      </c>
      <c r="G1712" t="s">
        <v>73</v>
      </c>
      <c r="H1712" t="s">
        <v>261</v>
      </c>
      <c r="I1712" t="s">
        <v>262</v>
      </c>
    </row>
    <row r="1713" spans="1:9" x14ac:dyDescent="0.25">
      <c r="A1713" t="s">
        <v>231</v>
      </c>
      <c r="B1713" t="s">
        <v>258</v>
      </c>
      <c r="C1713" t="s">
        <v>794</v>
      </c>
      <c r="D1713" s="1">
        <v>45204</v>
      </c>
      <c r="E1713" s="3" t="s">
        <v>259</v>
      </c>
      <c r="F1713" s="2">
        <v>194.51</v>
      </c>
      <c r="G1713" t="s">
        <v>73</v>
      </c>
      <c r="H1713" t="s">
        <v>261</v>
      </c>
      <c r="I1713" t="s">
        <v>262</v>
      </c>
    </row>
    <row r="1714" spans="1:9" x14ac:dyDescent="0.25">
      <c r="A1714" t="s">
        <v>231</v>
      </c>
      <c r="B1714" t="s">
        <v>258</v>
      </c>
      <c r="C1714" t="s">
        <v>794</v>
      </c>
      <c r="D1714" s="1">
        <v>45200</v>
      </c>
      <c r="E1714" s="3" t="s">
        <v>260</v>
      </c>
      <c r="F1714" s="2">
        <v>-1053.8900000000001</v>
      </c>
      <c r="G1714" t="s">
        <v>73</v>
      </c>
      <c r="H1714" t="s">
        <v>261</v>
      </c>
      <c r="I1714" t="s">
        <v>263</v>
      </c>
    </row>
    <row r="1715" spans="1:9" x14ac:dyDescent="0.25">
      <c r="A1715" t="s">
        <v>231</v>
      </c>
      <c r="B1715" t="s">
        <v>258</v>
      </c>
      <c r="C1715" t="s">
        <v>794</v>
      </c>
      <c r="D1715" s="1">
        <v>45197</v>
      </c>
      <c r="E1715" s="3" t="s">
        <v>259</v>
      </c>
      <c r="F1715" s="2">
        <v>210.98</v>
      </c>
      <c r="G1715" t="s">
        <v>73</v>
      </c>
      <c r="H1715" t="s">
        <v>261</v>
      </c>
      <c r="I1715" t="s">
        <v>262</v>
      </c>
    </row>
    <row r="1716" spans="1:9" x14ac:dyDescent="0.25">
      <c r="A1716" t="s">
        <v>231</v>
      </c>
      <c r="B1716" t="s">
        <v>258</v>
      </c>
      <c r="C1716" t="s">
        <v>794</v>
      </c>
      <c r="D1716" s="1">
        <v>45190</v>
      </c>
      <c r="E1716" s="3" t="s">
        <v>259</v>
      </c>
      <c r="F1716" s="2">
        <v>182.26</v>
      </c>
      <c r="G1716" t="s">
        <v>73</v>
      </c>
      <c r="H1716" t="s">
        <v>261</v>
      </c>
      <c r="I1716" t="s">
        <v>262</v>
      </c>
    </row>
    <row r="1717" spans="1:9" x14ac:dyDescent="0.25">
      <c r="A1717" t="s">
        <v>231</v>
      </c>
      <c r="B1717" t="s">
        <v>258</v>
      </c>
      <c r="C1717" t="s">
        <v>794</v>
      </c>
      <c r="D1717" s="1">
        <v>45183</v>
      </c>
      <c r="E1717" s="3" t="s">
        <v>259</v>
      </c>
      <c r="F1717" s="2">
        <v>357.3</v>
      </c>
      <c r="G1717" t="s">
        <v>73</v>
      </c>
      <c r="H1717" t="s">
        <v>261</v>
      </c>
      <c r="I1717" t="s">
        <v>262</v>
      </c>
    </row>
    <row r="1718" spans="1:9" x14ac:dyDescent="0.25">
      <c r="A1718" t="s">
        <v>231</v>
      </c>
      <c r="B1718" t="s">
        <v>258</v>
      </c>
      <c r="C1718" t="s">
        <v>794</v>
      </c>
      <c r="D1718" s="1">
        <v>45176</v>
      </c>
      <c r="E1718" s="3" t="s">
        <v>259</v>
      </c>
      <c r="F1718" s="2">
        <v>403.67</v>
      </c>
      <c r="G1718" t="s">
        <v>73</v>
      </c>
      <c r="H1718" t="s">
        <v>261</v>
      </c>
      <c r="I1718" t="s">
        <v>262</v>
      </c>
    </row>
    <row r="1719" spans="1:9" x14ac:dyDescent="0.25">
      <c r="A1719" t="s">
        <v>231</v>
      </c>
      <c r="B1719" t="s">
        <v>258</v>
      </c>
      <c r="C1719" t="s">
        <v>794</v>
      </c>
      <c r="D1719" s="1">
        <v>45170</v>
      </c>
      <c r="E1719" s="3" t="s">
        <v>260</v>
      </c>
      <c r="F1719" s="2">
        <v>-1813.92</v>
      </c>
      <c r="G1719" t="s">
        <v>73</v>
      </c>
      <c r="H1719" t="s">
        <v>261</v>
      </c>
      <c r="I1719" t="s">
        <v>263</v>
      </c>
    </row>
    <row r="1720" spans="1:9" x14ac:dyDescent="0.25">
      <c r="A1720" t="s">
        <v>231</v>
      </c>
      <c r="B1720" t="s">
        <v>258</v>
      </c>
      <c r="C1720" t="s">
        <v>794</v>
      </c>
      <c r="D1720" s="1">
        <v>45169</v>
      </c>
      <c r="E1720" s="3" t="s">
        <v>259</v>
      </c>
      <c r="F1720" s="2">
        <v>431.72</v>
      </c>
      <c r="G1720" t="s">
        <v>73</v>
      </c>
      <c r="H1720" t="s">
        <v>261</v>
      </c>
      <c r="I1720" t="s">
        <v>262</v>
      </c>
    </row>
    <row r="1721" spans="1:9" x14ac:dyDescent="0.25">
      <c r="A1721" t="s">
        <v>231</v>
      </c>
      <c r="B1721" t="s">
        <v>258</v>
      </c>
      <c r="C1721" t="s">
        <v>794</v>
      </c>
      <c r="D1721" s="1">
        <v>45162</v>
      </c>
      <c r="E1721" s="3" t="s">
        <v>259</v>
      </c>
      <c r="F1721" s="2">
        <v>465.92</v>
      </c>
      <c r="G1721" t="s">
        <v>73</v>
      </c>
      <c r="H1721" t="s">
        <v>261</v>
      </c>
      <c r="I1721" t="s">
        <v>262</v>
      </c>
    </row>
    <row r="1722" spans="1:9" x14ac:dyDescent="0.25">
      <c r="A1722" t="s">
        <v>231</v>
      </c>
      <c r="B1722" t="s">
        <v>258</v>
      </c>
      <c r="C1722" t="s">
        <v>794</v>
      </c>
      <c r="D1722" s="1">
        <v>45155</v>
      </c>
      <c r="E1722" s="3" t="s">
        <v>259</v>
      </c>
      <c r="F1722" s="2">
        <v>183.76</v>
      </c>
      <c r="G1722" t="s">
        <v>73</v>
      </c>
      <c r="H1722" t="s">
        <v>261</v>
      </c>
      <c r="I1722" t="s">
        <v>262</v>
      </c>
    </row>
    <row r="1723" spans="1:9" x14ac:dyDescent="0.25">
      <c r="A1723" t="s">
        <v>231</v>
      </c>
      <c r="B1723" t="s">
        <v>258</v>
      </c>
      <c r="C1723" t="s">
        <v>794</v>
      </c>
      <c r="D1723" s="1">
        <v>45148</v>
      </c>
      <c r="E1723" s="3" t="s">
        <v>259</v>
      </c>
      <c r="F1723" s="2">
        <v>552.03</v>
      </c>
      <c r="G1723" t="s">
        <v>73</v>
      </c>
      <c r="H1723" t="s">
        <v>261</v>
      </c>
      <c r="I1723" t="s">
        <v>262</v>
      </c>
    </row>
    <row r="1724" spans="1:9" x14ac:dyDescent="0.25">
      <c r="A1724" t="s">
        <v>231</v>
      </c>
      <c r="B1724" t="s">
        <v>258</v>
      </c>
      <c r="C1724" t="s">
        <v>794</v>
      </c>
      <c r="D1724" s="1">
        <v>45141</v>
      </c>
      <c r="E1724" s="3" t="s">
        <v>259</v>
      </c>
      <c r="F1724" s="2">
        <v>294.02999999999997</v>
      </c>
      <c r="G1724" t="s">
        <v>73</v>
      </c>
      <c r="H1724" t="s">
        <v>261</v>
      </c>
      <c r="I1724" t="s">
        <v>262</v>
      </c>
    </row>
    <row r="1725" spans="1:9" x14ac:dyDescent="0.25">
      <c r="A1725" t="s">
        <v>231</v>
      </c>
      <c r="B1725" t="s">
        <v>258</v>
      </c>
      <c r="C1725" t="s">
        <v>794</v>
      </c>
      <c r="D1725" s="1">
        <v>45139</v>
      </c>
      <c r="E1725" s="3" t="s">
        <v>260</v>
      </c>
      <c r="F1725" s="2">
        <v>-1624.25</v>
      </c>
      <c r="G1725" t="s">
        <v>73</v>
      </c>
      <c r="H1725" t="s">
        <v>261</v>
      </c>
      <c r="I1725" t="s">
        <v>263</v>
      </c>
    </row>
    <row r="1726" spans="1:9" x14ac:dyDescent="0.25">
      <c r="A1726" t="s">
        <v>231</v>
      </c>
      <c r="B1726" t="s">
        <v>258</v>
      </c>
      <c r="C1726" t="s">
        <v>794</v>
      </c>
      <c r="D1726" s="1">
        <v>45134</v>
      </c>
      <c r="E1726" s="3" t="s">
        <v>259</v>
      </c>
      <c r="F1726" s="2">
        <v>660.04</v>
      </c>
      <c r="G1726" t="s">
        <v>73</v>
      </c>
      <c r="H1726" t="s">
        <v>261</v>
      </c>
      <c r="I1726" t="s">
        <v>262</v>
      </c>
    </row>
    <row r="1727" spans="1:9" x14ac:dyDescent="0.25">
      <c r="A1727" t="s">
        <v>231</v>
      </c>
      <c r="B1727" t="s">
        <v>258</v>
      </c>
      <c r="C1727" t="s">
        <v>794</v>
      </c>
      <c r="D1727" s="1">
        <v>45127</v>
      </c>
      <c r="E1727" s="3" t="s">
        <v>259</v>
      </c>
      <c r="F1727" s="2">
        <v>73.180000000000007</v>
      </c>
      <c r="G1727" t="s">
        <v>73</v>
      </c>
      <c r="H1727" t="s">
        <v>261</v>
      </c>
      <c r="I1727" t="s">
        <v>262</v>
      </c>
    </row>
    <row r="1728" spans="1:9" x14ac:dyDescent="0.25">
      <c r="A1728" t="s">
        <v>231</v>
      </c>
      <c r="B1728" t="s">
        <v>258</v>
      </c>
      <c r="C1728" t="s">
        <v>794</v>
      </c>
      <c r="D1728" s="1">
        <v>45120</v>
      </c>
      <c r="E1728" s="3" t="s">
        <v>259</v>
      </c>
      <c r="F1728" s="2">
        <v>344.07</v>
      </c>
      <c r="G1728" t="s">
        <v>73</v>
      </c>
      <c r="H1728" t="s">
        <v>261</v>
      </c>
      <c r="I1728" t="s">
        <v>262</v>
      </c>
    </row>
    <row r="1729" spans="1:9" x14ac:dyDescent="0.25">
      <c r="A1729" t="s">
        <v>231</v>
      </c>
      <c r="B1729" t="s">
        <v>258</v>
      </c>
      <c r="C1729" t="s">
        <v>794</v>
      </c>
      <c r="D1729" s="1">
        <v>45113</v>
      </c>
      <c r="E1729" s="3" t="s">
        <v>259</v>
      </c>
      <c r="F1729" s="2">
        <v>326.77999999999997</v>
      </c>
      <c r="G1729" t="s">
        <v>73</v>
      </c>
      <c r="H1729" t="s">
        <v>261</v>
      </c>
      <c r="I1729" t="s">
        <v>262</v>
      </c>
    </row>
    <row r="1730" spans="1:9" x14ac:dyDescent="0.25">
      <c r="A1730" t="s">
        <v>231</v>
      </c>
      <c r="B1730" t="s">
        <v>258</v>
      </c>
      <c r="C1730" t="s">
        <v>794</v>
      </c>
      <c r="D1730" s="1">
        <v>45108</v>
      </c>
      <c r="E1730" s="3" t="s">
        <v>260</v>
      </c>
      <c r="F1730" s="2">
        <v>-1311.14</v>
      </c>
      <c r="G1730" t="s">
        <v>73</v>
      </c>
      <c r="H1730" t="s">
        <v>261</v>
      </c>
      <c r="I1730" t="s">
        <v>263</v>
      </c>
    </row>
    <row r="1731" spans="1:9" x14ac:dyDescent="0.25">
      <c r="A1731" t="s">
        <v>231</v>
      </c>
      <c r="B1731" t="s">
        <v>258</v>
      </c>
      <c r="C1731" t="s">
        <v>794</v>
      </c>
      <c r="D1731" s="1">
        <v>45106</v>
      </c>
      <c r="E1731" s="3" t="s">
        <v>259</v>
      </c>
      <c r="F1731" s="2">
        <v>141.03</v>
      </c>
      <c r="G1731" t="s">
        <v>73</v>
      </c>
      <c r="H1731" t="s">
        <v>261</v>
      </c>
      <c r="I1731" t="s">
        <v>262</v>
      </c>
    </row>
    <row r="1732" spans="1:9" x14ac:dyDescent="0.25">
      <c r="A1732" t="s">
        <v>231</v>
      </c>
      <c r="B1732" t="s">
        <v>258</v>
      </c>
      <c r="C1732" t="s">
        <v>794</v>
      </c>
      <c r="D1732" s="1">
        <v>45099</v>
      </c>
      <c r="E1732" s="3" t="s">
        <v>259</v>
      </c>
      <c r="F1732" s="2">
        <v>366.46</v>
      </c>
      <c r="G1732" t="s">
        <v>73</v>
      </c>
      <c r="H1732" t="s">
        <v>261</v>
      </c>
      <c r="I1732" t="s">
        <v>262</v>
      </c>
    </row>
    <row r="1733" spans="1:9" x14ac:dyDescent="0.25">
      <c r="A1733" t="s">
        <v>231</v>
      </c>
      <c r="B1733" t="s">
        <v>258</v>
      </c>
      <c r="C1733" t="s">
        <v>794</v>
      </c>
      <c r="D1733" s="1">
        <v>45092</v>
      </c>
      <c r="E1733" s="3" t="s">
        <v>259</v>
      </c>
      <c r="F1733" s="2">
        <v>666.13</v>
      </c>
      <c r="G1733" t="s">
        <v>73</v>
      </c>
      <c r="H1733" t="s">
        <v>261</v>
      </c>
      <c r="I1733" t="s">
        <v>262</v>
      </c>
    </row>
    <row r="1734" spans="1:9" x14ac:dyDescent="0.25">
      <c r="A1734" t="s">
        <v>231</v>
      </c>
      <c r="B1734" t="s">
        <v>258</v>
      </c>
      <c r="C1734" t="s">
        <v>794</v>
      </c>
      <c r="D1734" s="1">
        <v>45085</v>
      </c>
      <c r="E1734" s="3" t="s">
        <v>259</v>
      </c>
      <c r="F1734" s="2">
        <v>290.95999999999998</v>
      </c>
      <c r="G1734" t="s">
        <v>73</v>
      </c>
      <c r="H1734" t="s">
        <v>261</v>
      </c>
      <c r="I1734" t="s">
        <v>262</v>
      </c>
    </row>
    <row r="1735" spans="1:9" x14ac:dyDescent="0.25">
      <c r="A1735" t="s">
        <v>231</v>
      </c>
      <c r="B1735" t="s">
        <v>258</v>
      </c>
      <c r="C1735" t="s">
        <v>794</v>
      </c>
      <c r="D1735" s="1">
        <v>45078</v>
      </c>
      <c r="E1735" s="3" t="s">
        <v>260</v>
      </c>
      <c r="F1735" s="2">
        <v>-1218.26</v>
      </c>
      <c r="G1735" t="s">
        <v>73</v>
      </c>
      <c r="H1735" t="s">
        <v>261</v>
      </c>
      <c r="I1735" t="s">
        <v>263</v>
      </c>
    </row>
    <row r="1736" spans="1:9" x14ac:dyDescent="0.25">
      <c r="A1736" t="s">
        <v>231</v>
      </c>
      <c r="B1736" t="s">
        <v>258</v>
      </c>
      <c r="C1736" t="s">
        <v>794</v>
      </c>
      <c r="D1736" s="1">
        <v>45078</v>
      </c>
      <c r="E1736" s="3" t="s">
        <v>259</v>
      </c>
      <c r="F1736" s="2">
        <v>459.4</v>
      </c>
      <c r="G1736" t="s">
        <v>73</v>
      </c>
      <c r="H1736" t="s">
        <v>261</v>
      </c>
      <c r="I1736" t="s">
        <v>262</v>
      </c>
    </row>
    <row r="1737" spans="1:9" x14ac:dyDescent="0.25">
      <c r="A1737" t="s">
        <v>231</v>
      </c>
      <c r="B1737" t="s">
        <v>258</v>
      </c>
      <c r="C1737" t="s">
        <v>794</v>
      </c>
      <c r="D1737" s="1">
        <v>45071</v>
      </c>
      <c r="E1737" s="3" t="s">
        <v>259</v>
      </c>
      <c r="F1737" s="2">
        <v>209.27</v>
      </c>
      <c r="G1737" t="s">
        <v>73</v>
      </c>
      <c r="H1737" t="s">
        <v>261</v>
      </c>
      <c r="I1737" t="s">
        <v>262</v>
      </c>
    </row>
    <row r="1738" spans="1:9" x14ac:dyDescent="0.25">
      <c r="A1738" t="s">
        <v>231</v>
      </c>
      <c r="B1738" t="s">
        <v>258</v>
      </c>
      <c r="C1738" t="s">
        <v>794</v>
      </c>
      <c r="D1738" s="1">
        <v>45064</v>
      </c>
      <c r="E1738" s="3" t="s">
        <v>259</v>
      </c>
      <c r="F1738" s="2">
        <v>295.98</v>
      </c>
      <c r="G1738" t="s">
        <v>73</v>
      </c>
      <c r="H1738" t="s">
        <v>261</v>
      </c>
      <c r="I1738" t="s">
        <v>262</v>
      </c>
    </row>
    <row r="1739" spans="1:9" x14ac:dyDescent="0.25">
      <c r="A1739" t="s">
        <v>231</v>
      </c>
      <c r="B1739" t="s">
        <v>258</v>
      </c>
      <c r="C1739" t="s">
        <v>794</v>
      </c>
      <c r="D1739" s="1">
        <v>45057</v>
      </c>
      <c r="E1739" s="3" t="s">
        <v>259</v>
      </c>
      <c r="F1739" s="2">
        <v>47.27</v>
      </c>
      <c r="G1739" t="s">
        <v>73</v>
      </c>
      <c r="H1739" t="s">
        <v>261</v>
      </c>
      <c r="I1739" t="s">
        <v>262</v>
      </c>
    </row>
    <row r="1740" spans="1:9" x14ac:dyDescent="0.25">
      <c r="A1740" t="s">
        <v>231</v>
      </c>
      <c r="B1740" t="s">
        <v>258</v>
      </c>
      <c r="C1740" t="s">
        <v>794</v>
      </c>
      <c r="D1740" s="1">
        <v>45050</v>
      </c>
      <c r="E1740" s="3" t="s">
        <v>259</v>
      </c>
      <c r="F1740" s="2">
        <v>270.47000000000003</v>
      </c>
      <c r="G1740" t="s">
        <v>73</v>
      </c>
      <c r="H1740" t="s">
        <v>261</v>
      </c>
      <c r="I1740" t="s">
        <v>262</v>
      </c>
    </row>
    <row r="1741" spans="1:9" x14ac:dyDescent="0.25">
      <c r="A1741" t="s">
        <v>231</v>
      </c>
      <c r="B1741" t="s">
        <v>258</v>
      </c>
      <c r="C1741" t="s">
        <v>794</v>
      </c>
      <c r="D1741" s="1">
        <v>45047</v>
      </c>
      <c r="E1741" s="3" t="s">
        <v>260</v>
      </c>
      <c r="F1741" s="2">
        <v>-1718.83</v>
      </c>
      <c r="G1741" t="s">
        <v>73</v>
      </c>
      <c r="H1741" t="s">
        <v>261</v>
      </c>
      <c r="I1741" t="s">
        <v>263</v>
      </c>
    </row>
    <row r="1742" spans="1:9" x14ac:dyDescent="0.25">
      <c r="A1742" t="s">
        <v>231</v>
      </c>
      <c r="B1742" t="s">
        <v>258</v>
      </c>
      <c r="C1742" t="s">
        <v>794</v>
      </c>
      <c r="D1742" s="1">
        <v>45043</v>
      </c>
      <c r="E1742" s="3" t="s">
        <v>259</v>
      </c>
      <c r="F1742" s="2">
        <v>152.47</v>
      </c>
      <c r="G1742" t="s">
        <v>73</v>
      </c>
      <c r="H1742" t="s">
        <v>261</v>
      </c>
      <c r="I1742" t="s">
        <v>262</v>
      </c>
    </row>
    <row r="1743" spans="1:9" x14ac:dyDescent="0.25">
      <c r="A1743" t="s">
        <v>231</v>
      </c>
      <c r="B1743" t="s">
        <v>258</v>
      </c>
      <c r="C1743" t="s">
        <v>794</v>
      </c>
      <c r="D1743" s="1">
        <v>45036</v>
      </c>
      <c r="E1743" s="3" t="s">
        <v>259</v>
      </c>
      <c r="F1743" s="2">
        <v>187.79</v>
      </c>
      <c r="G1743" t="s">
        <v>73</v>
      </c>
      <c r="H1743" t="s">
        <v>261</v>
      </c>
      <c r="I1743" t="s">
        <v>262</v>
      </c>
    </row>
    <row r="1744" spans="1:9" x14ac:dyDescent="0.25">
      <c r="A1744" t="s">
        <v>231</v>
      </c>
      <c r="B1744" t="s">
        <v>258</v>
      </c>
      <c r="C1744" t="s">
        <v>794</v>
      </c>
      <c r="D1744" s="1">
        <v>45029</v>
      </c>
      <c r="E1744" s="3" t="s">
        <v>259</v>
      </c>
      <c r="F1744" s="2">
        <v>7.08</v>
      </c>
      <c r="G1744" t="s">
        <v>73</v>
      </c>
      <c r="H1744" t="s">
        <v>261</v>
      </c>
      <c r="I1744" t="s">
        <v>262</v>
      </c>
    </row>
    <row r="1745" spans="1:9" x14ac:dyDescent="0.25">
      <c r="A1745" t="s">
        <v>231</v>
      </c>
      <c r="B1745" t="s">
        <v>258</v>
      </c>
      <c r="C1745" t="s">
        <v>794</v>
      </c>
      <c r="D1745" s="1">
        <v>45022</v>
      </c>
      <c r="E1745" s="3" t="s">
        <v>259</v>
      </c>
      <c r="F1745" s="2">
        <v>361.43</v>
      </c>
      <c r="G1745" t="s">
        <v>73</v>
      </c>
      <c r="H1745" t="s">
        <v>261</v>
      </c>
      <c r="I1745" t="s">
        <v>262</v>
      </c>
    </row>
    <row r="1746" spans="1:9" x14ac:dyDescent="0.25">
      <c r="A1746" t="s">
        <v>231</v>
      </c>
      <c r="B1746" t="s">
        <v>258</v>
      </c>
      <c r="C1746" t="s">
        <v>794</v>
      </c>
      <c r="D1746" s="1">
        <v>45017</v>
      </c>
      <c r="E1746" s="3" t="s">
        <v>260</v>
      </c>
      <c r="F1746" s="2">
        <v>-1799.77</v>
      </c>
      <c r="G1746" t="s">
        <v>73</v>
      </c>
      <c r="H1746" t="s">
        <v>261</v>
      </c>
      <c r="I1746" t="s">
        <v>263</v>
      </c>
    </row>
    <row r="1747" spans="1:9" x14ac:dyDescent="0.25">
      <c r="A1747" t="s">
        <v>231</v>
      </c>
      <c r="B1747" t="s">
        <v>258</v>
      </c>
      <c r="C1747" t="s">
        <v>795</v>
      </c>
      <c r="D1747" s="1">
        <v>45379</v>
      </c>
      <c r="E1747" s="3" t="s">
        <v>259</v>
      </c>
      <c r="F1747" s="2">
        <v>149.57</v>
      </c>
      <c r="G1747" t="s">
        <v>73</v>
      </c>
      <c r="H1747" t="s">
        <v>261</v>
      </c>
      <c r="I1747" t="s">
        <v>262</v>
      </c>
    </row>
    <row r="1748" spans="1:9" x14ac:dyDescent="0.25">
      <c r="A1748" t="s">
        <v>231</v>
      </c>
      <c r="B1748" t="s">
        <v>258</v>
      </c>
      <c r="C1748" t="s">
        <v>795</v>
      </c>
      <c r="D1748" s="1">
        <v>45372</v>
      </c>
      <c r="E1748" s="3" t="s">
        <v>259</v>
      </c>
      <c r="F1748" s="2">
        <v>46.02</v>
      </c>
      <c r="G1748" t="s">
        <v>73</v>
      </c>
      <c r="H1748" t="s">
        <v>261</v>
      </c>
      <c r="I1748" t="s">
        <v>262</v>
      </c>
    </row>
    <row r="1749" spans="1:9" x14ac:dyDescent="0.25">
      <c r="A1749" t="s">
        <v>231</v>
      </c>
      <c r="B1749" t="s">
        <v>258</v>
      </c>
      <c r="C1749" t="s">
        <v>795</v>
      </c>
      <c r="D1749" s="1">
        <v>45365</v>
      </c>
      <c r="E1749" s="3" t="s">
        <v>259</v>
      </c>
      <c r="F1749" s="2">
        <v>343.64</v>
      </c>
      <c r="G1749" t="s">
        <v>73</v>
      </c>
      <c r="H1749" t="s">
        <v>261</v>
      </c>
      <c r="I1749" t="s">
        <v>262</v>
      </c>
    </row>
    <row r="1750" spans="1:9" x14ac:dyDescent="0.25">
      <c r="A1750" t="s">
        <v>231</v>
      </c>
      <c r="B1750" t="s">
        <v>258</v>
      </c>
      <c r="C1750" t="s">
        <v>795</v>
      </c>
      <c r="D1750" s="1">
        <v>45358</v>
      </c>
      <c r="E1750" s="3" t="s">
        <v>259</v>
      </c>
      <c r="F1750" s="2">
        <v>184.92</v>
      </c>
      <c r="G1750" t="s">
        <v>73</v>
      </c>
      <c r="H1750" t="s">
        <v>261</v>
      </c>
      <c r="I1750" t="s">
        <v>262</v>
      </c>
    </row>
    <row r="1751" spans="1:9" x14ac:dyDescent="0.25">
      <c r="A1751" t="s">
        <v>231</v>
      </c>
      <c r="B1751" t="s">
        <v>258</v>
      </c>
      <c r="C1751" t="s">
        <v>795</v>
      </c>
      <c r="D1751" s="1">
        <v>45352</v>
      </c>
      <c r="E1751" s="3" t="s">
        <v>260</v>
      </c>
      <c r="F1751" s="2">
        <v>-1085.95</v>
      </c>
      <c r="G1751" t="s">
        <v>73</v>
      </c>
      <c r="H1751" t="s">
        <v>261</v>
      </c>
      <c r="I1751" t="s">
        <v>263</v>
      </c>
    </row>
    <row r="1752" spans="1:9" x14ac:dyDescent="0.25">
      <c r="A1752" t="s">
        <v>231</v>
      </c>
      <c r="B1752" t="s">
        <v>258</v>
      </c>
      <c r="C1752" t="s">
        <v>795</v>
      </c>
      <c r="D1752" s="1">
        <v>45351</v>
      </c>
      <c r="E1752" s="3" t="s">
        <v>259</v>
      </c>
      <c r="F1752" s="2">
        <v>350.7</v>
      </c>
      <c r="G1752" t="s">
        <v>73</v>
      </c>
      <c r="H1752" t="s">
        <v>261</v>
      </c>
      <c r="I1752" t="s">
        <v>262</v>
      </c>
    </row>
    <row r="1753" spans="1:9" x14ac:dyDescent="0.25">
      <c r="A1753" t="s">
        <v>231</v>
      </c>
      <c r="B1753" t="s">
        <v>258</v>
      </c>
      <c r="C1753" t="s">
        <v>795</v>
      </c>
      <c r="D1753" s="1">
        <v>45344</v>
      </c>
      <c r="E1753" s="3" t="s">
        <v>259</v>
      </c>
      <c r="F1753" s="2">
        <v>282.52</v>
      </c>
      <c r="G1753" t="s">
        <v>73</v>
      </c>
      <c r="H1753" t="s">
        <v>261</v>
      </c>
      <c r="I1753" t="s">
        <v>262</v>
      </c>
    </row>
    <row r="1754" spans="1:9" x14ac:dyDescent="0.25">
      <c r="A1754" t="s">
        <v>231</v>
      </c>
      <c r="B1754" t="s">
        <v>258</v>
      </c>
      <c r="C1754" t="s">
        <v>795</v>
      </c>
      <c r="D1754" s="1">
        <v>45337</v>
      </c>
      <c r="E1754" s="3" t="s">
        <v>259</v>
      </c>
      <c r="F1754" s="2">
        <v>136.65</v>
      </c>
      <c r="G1754" t="s">
        <v>73</v>
      </c>
      <c r="H1754" t="s">
        <v>261</v>
      </c>
      <c r="I1754" t="s">
        <v>262</v>
      </c>
    </row>
    <row r="1755" spans="1:9" x14ac:dyDescent="0.25">
      <c r="A1755" t="s">
        <v>231</v>
      </c>
      <c r="B1755" t="s">
        <v>258</v>
      </c>
      <c r="C1755" t="s">
        <v>795</v>
      </c>
      <c r="D1755" s="1">
        <v>45330</v>
      </c>
      <c r="E1755" s="3" t="s">
        <v>259</v>
      </c>
      <c r="F1755" s="2">
        <v>93.48</v>
      </c>
      <c r="G1755" t="s">
        <v>73</v>
      </c>
      <c r="H1755" t="s">
        <v>261</v>
      </c>
      <c r="I1755" t="s">
        <v>262</v>
      </c>
    </row>
    <row r="1756" spans="1:9" x14ac:dyDescent="0.25">
      <c r="A1756" t="s">
        <v>231</v>
      </c>
      <c r="B1756" t="s">
        <v>258</v>
      </c>
      <c r="C1756" t="s">
        <v>795</v>
      </c>
      <c r="D1756" s="1">
        <v>45323</v>
      </c>
      <c r="E1756" s="3" t="s">
        <v>260</v>
      </c>
      <c r="F1756" s="2">
        <v>-1057.03</v>
      </c>
      <c r="G1756" t="s">
        <v>73</v>
      </c>
      <c r="H1756" t="s">
        <v>261</v>
      </c>
      <c r="I1756" t="s">
        <v>263</v>
      </c>
    </row>
    <row r="1757" spans="1:9" x14ac:dyDescent="0.25">
      <c r="A1757" t="s">
        <v>231</v>
      </c>
      <c r="B1757" t="s">
        <v>258</v>
      </c>
      <c r="C1757" t="s">
        <v>795</v>
      </c>
      <c r="D1757" s="1">
        <v>45323</v>
      </c>
      <c r="E1757" s="3" t="s">
        <v>259</v>
      </c>
      <c r="F1757" s="2">
        <v>76.02</v>
      </c>
      <c r="G1757" t="s">
        <v>73</v>
      </c>
      <c r="H1757" t="s">
        <v>261</v>
      </c>
      <c r="I1757" t="s">
        <v>262</v>
      </c>
    </row>
    <row r="1758" spans="1:9" x14ac:dyDescent="0.25">
      <c r="A1758" t="s">
        <v>231</v>
      </c>
      <c r="B1758" t="s">
        <v>258</v>
      </c>
      <c r="C1758" t="s">
        <v>795</v>
      </c>
      <c r="D1758" s="1">
        <v>45316</v>
      </c>
      <c r="E1758" s="3" t="s">
        <v>259</v>
      </c>
      <c r="F1758" s="2">
        <v>115.2</v>
      </c>
      <c r="G1758" t="s">
        <v>73</v>
      </c>
      <c r="H1758" t="s">
        <v>261</v>
      </c>
      <c r="I1758" t="s">
        <v>262</v>
      </c>
    </row>
    <row r="1759" spans="1:9" x14ac:dyDescent="0.25">
      <c r="A1759" t="s">
        <v>231</v>
      </c>
      <c r="B1759" t="s">
        <v>258</v>
      </c>
      <c r="C1759" t="s">
        <v>795</v>
      </c>
      <c r="D1759" s="1">
        <v>45309</v>
      </c>
      <c r="E1759" s="3" t="s">
        <v>259</v>
      </c>
      <c r="F1759" s="2">
        <v>325.49</v>
      </c>
      <c r="G1759" t="s">
        <v>73</v>
      </c>
      <c r="H1759" t="s">
        <v>261</v>
      </c>
      <c r="I1759" t="s">
        <v>262</v>
      </c>
    </row>
    <row r="1760" spans="1:9" x14ac:dyDescent="0.25">
      <c r="A1760" t="s">
        <v>231</v>
      </c>
      <c r="B1760" t="s">
        <v>258</v>
      </c>
      <c r="C1760" t="s">
        <v>795</v>
      </c>
      <c r="D1760" s="1">
        <v>45302</v>
      </c>
      <c r="E1760" s="3" t="s">
        <v>259</v>
      </c>
      <c r="F1760" s="2">
        <v>206.27</v>
      </c>
      <c r="G1760" t="s">
        <v>73</v>
      </c>
      <c r="H1760" t="s">
        <v>261</v>
      </c>
      <c r="I1760" t="s">
        <v>262</v>
      </c>
    </row>
    <row r="1761" spans="1:9" x14ac:dyDescent="0.25">
      <c r="A1761" t="s">
        <v>231</v>
      </c>
      <c r="B1761" t="s">
        <v>258</v>
      </c>
      <c r="C1761" t="s">
        <v>795</v>
      </c>
      <c r="D1761" s="1">
        <v>45295</v>
      </c>
      <c r="E1761" s="3" t="s">
        <v>259</v>
      </c>
      <c r="F1761" s="2">
        <v>12.56</v>
      </c>
      <c r="G1761" t="s">
        <v>73</v>
      </c>
      <c r="H1761" t="s">
        <v>261</v>
      </c>
      <c r="I1761" t="s">
        <v>262</v>
      </c>
    </row>
    <row r="1762" spans="1:9" x14ac:dyDescent="0.25">
      <c r="A1762" t="s">
        <v>231</v>
      </c>
      <c r="B1762" t="s">
        <v>258</v>
      </c>
      <c r="C1762" t="s">
        <v>795</v>
      </c>
      <c r="D1762" s="1">
        <v>45292</v>
      </c>
      <c r="E1762" s="3" t="s">
        <v>260</v>
      </c>
      <c r="F1762" s="2">
        <v>-437.23</v>
      </c>
      <c r="G1762" t="s">
        <v>73</v>
      </c>
      <c r="H1762" t="s">
        <v>261</v>
      </c>
      <c r="I1762" t="s">
        <v>263</v>
      </c>
    </row>
    <row r="1763" spans="1:9" x14ac:dyDescent="0.25">
      <c r="A1763" t="s">
        <v>231</v>
      </c>
      <c r="B1763" t="s">
        <v>258</v>
      </c>
      <c r="C1763" t="s">
        <v>795</v>
      </c>
      <c r="D1763" s="1">
        <v>45288</v>
      </c>
      <c r="E1763" s="3" t="s">
        <v>259</v>
      </c>
      <c r="F1763" s="2">
        <v>247.36</v>
      </c>
      <c r="G1763" t="s">
        <v>73</v>
      </c>
      <c r="H1763" t="s">
        <v>261</v>
      </c>
      <c r="I1763" t="s">
        <v>262</v>
      </c>
    </row>
    <row r="1764" spans="1:9" x14ac:dyDescent="0.25">
      <c r="A1764" t="s">
        <v>231</v>
      </c>
      <c r="B1764" t="s">
        <v>258</v>
      </c>
      <c r="C1764" t="s">
        <v>795</v>
      </c>
      <c r="D1764" s="1">
        <v>45281</v>
      </c>
      <c r="E1764" s="3" t="s">
        <v>259</v>
      </c>
      <c r="F1764" s="2">
        <v>197.86</v>
      </c>
      <c r="G1764" t="s">
        <v>73</v>
      </c>
      <c r="H1764" t="s">
        <v>261</v>
      </c>
      <c r="I1764" t="s">
        <v>262</v>
      </c>
    </row>
    <row r="1765" spans="1:9" x14ac:dyDescent="0.25">
      <c r="A1765" t="s">
        <v>231</v>
      </c>
      <c r="B1765" t="s">
        <v>258</v>
      </c>
      <c r="C1765" t="s">
        <v>795</v>
      </c>
      <c r="D1765" s="1">
        <v>45274</v>
      </c>
      <c r="E1765" s="3" t="s">
        <v>259</v>
      </c>
      <c r="F1765" s="2">
        <v>293.68</v>
      </c>
      <c r="G1765" t="s">
        <v>73</v>
      </c>
      <c r="H1765" t="s">
        <v>261</v>
      </c>
      <c r="I1765" t="s">
        <v>262</v>
      </c>
    </row>
    <row r="1766" spans="1:9" x14ac:dyDescent="0.25">
      <c r="A1766" t="s">
        <v>231</v>
      </c>
      <c r="B1766" t="s">
        <v>258</v>
      </c>
      <c r="C1766" t="s">
        <v>795</v>
      </c>
      <c r="D1766" s="1">
        <v>45267</v>
      </c>
      <c r="E1766" s="3" t="s">
        <v>259</v>
      </c>
      <c r="F1766" s="2">
        <v>247.85</v>
      </c>
      <c r="G1766" t="s">
        <v>73</v>
      </c>
      <c r="H1766" t="s">
        <v>261</v>
      </c>
      <c r="I1766" t="s">
        <v>262</v>
      </c>
    </row>
    <row r="1767" spans="1:9" x14ac:dyDescent="0.25">
      <c r="A1767" t="s">
        <v>231</v>
      </c>
      <c r="B1767" t="s">
        <v>258</v>
      </c>
      <c r="C1767" t="s">
        <v>795</v>
      </c>
      <c r="D1767" s="1">
        <v>45261</v>
      </c>
      <c r="E1767" s="3" t="s">
        <v>260</v>
      </c>
      <c r="F1767" s="2">
        <v>-1170.72</v>
      </c>
      <c r="G1767" t="s">
        <v>73</v>
      </c>
      <c r="H1767" t="s">
        <v>261</v>
      </c>
      <c r="I1767" t="s">
        <v>263</v>
      </c>
    </row>
    <row r="1768" spans="1:9" x14ac:dyDescent="0.25">
      <c r="A1768" t="s">
        <v>231</v>
      </c>
      <c r="B1768" t="s">
        <v>258</v>
      </c>
      <c r="C1768" t="s">
        <v>795</v>
      </c>
      <c r="D1768" s="1">
        <v>45260</v>
      </c>
      <c r="E1768" s="3" t="s">
        <v>259</v>
      </c>
      <c r="F1768" s="2">
        <v>51.65</v>
      </c>
      <c r="G1768" t="s">
        <v>73</v>
      </c>
      <c r="H1768" t="s">
        <v>261</v>
      </c>
      <c r="I1768" t="s">
        <v>262</v>
      </c>
    </row>
    <row r="1769" spans="1:9" x14ac:dyDescent="0.25">
      <c r="A1769" t="s">
        <v>231</v>
      </c>
      <c r="B1769" t="s">
        <v>258</v>
      </c>
      <c r="C1769" t="s">
        <v>795</v>
      </c>
      <c r="D1769" s="1">
        <v>45253</v>
      </c>
      <c r="E1769" s="3" t="s">
        <v>259</v>
      </c>
      <c r="F1769" s="2">
        <v>7.8</v>
      </c>
      <c r="G1769" t="s">
        <v>73</v>
      </c>
      <c r="H1769" t="s">
        <v>261</v>
      </c>
      <c r="I1769" t="s">
        <v>262</v>
      </c>
    </row>
    <row r="1770" spans="1:9" x14ac:dyDescent="0.25">
      <c r="A1770" t="s">
        <v>231</v>
      </c>
      <c r="B1770" t="s">
        <v>258</v>
      </c>
      <c r="C1770" t="s">
        <v>795</v>
      </c>
      <c r="D1770" s="1">
        <v>45246</v>
      </c>
      <c r="E1770" s="3" t="s">
        <v>259</v>
      </c>
      <c r="F1770" s="2">
        <v>348.21</v>
      </c>
      <c r="G1770" t="s">
        <v>73</v>
      </c>
      <c r="H1770" t="s">
        <v>261</v>
      </c>
      <c r="I1770" t="s">
        <v>262</v>
      </c>
    </row>
    <row r="1771" spans="1:9" x14ac:dyDescent="0.25">
      <c r="A1771" t="s">
        <v>231</v>
      </c>
      <c r="B1771" t="s">
        <v>258</v>
      </c>
      <c r="C1771" t="s">
        <v>795</v>
      </c>
      <c r="D1771" s="1">
        <v>45239</v>
      </c>
      <c r="E1771" s="3" t="s">
        <v>259</v>
      </c>
      <c r="F1771" s="2">
        <v>266.19</v>
      </c>
      <c r="G1771" t="s">
        <v>73</v>
      </c>
      <c r="H1771" t="s">
        <v>261</v>
      </c>
      <c r="I1771" t="s">
        <v>262</v>
      </c>
    </row>
    <row r="1772" spans="1:9" x14ac:dyDescent="0.25">
      <c r="A1772" t="s">
        <v>231</v>
      </c>
      <c r="B1772" t="s">
        <v>258</v>
      </c>
      <c r="C1772" t="s">
        <v>795</v>
      </c>
      <c r="D1772" s="1">
        <v>45232</v>
      </c>
      <c r="E1772" s="3" t="s">
        <v>259</v>
      </c>
      <c r="F1772" s="2">
        <v>316.89</v>
      </c>
      <c r="G1772" t="s">
        <v>73</v>
      </c>
      <c r="H1772" t="s">
        <v>261</v>
      </c>
      <c r="I1772" t="s">
        <v>262</v>
      </c>
    </row>
    <row r="1773" spans="1:9" x14ac:dyDescent="0.25">
      <c r="A1773" t="s">
        <v>231</v>
      </c>
      <c r="B1773" t="s">
        <v>258</v>
      </c>
      <c r="C1773" t="s">
        <v>795</v>
      </c>
      <c r="D1773" s="1">
        <v>45231</v>
      </c>
      <c r="E1773" s="3" t="s">
        <v>260</v>
      </c>
      <c r="F1773" s="2">
        <v>-1173.74</v>
      </c>
      <c r="G1773" t="s">
        <v>73</v>
      </c>
      <c r="H1773" t="s">
        <v>261</v>
      </c>
      <c r="I1773" t="s">
        <v>263</v>
      </c>
    </row>
    <row r="1774" spans="1:9" x14ac:dyDescent="0.25">
      <c r="A1774" t="s">
        <v>231</v>
      </c>
      <c r="B1774" t="s">
        <v>258</v>
      </c>
      <c r="C1774" t="s">
        <v>795</v>
      </c>
      <c r="D1774" s="1">
        <v>45225</v>
      </c>
      <c r="E1774" s="3" t="s">
        <v>259</v>
      </c>
      <c r="F1774" s="2">
        <v>351.04</v>
      </c>
      <c r="G1774" t="s">
        <v>73</v>
      </c>
      <c r="H1774" t="s">
        <v>261</v>
      </c>
      <c r="I1774" t="s">
        <v>262</v>
      </c>
    </row>
    <row r="1775" spans="1:9" x14ac:dyDescent="0.25">
      <c r="A1775" t="s">
        <v>231</v>
      </c>
      <c r="B1775" t="s">
        <v>258</v>
      </c>
      <c r="C1775" t="s">
        <v>795</v>
      </c>
      <c r="D1775" s="1">
        <v>45218</v>
      </c>
      <c r="E1775" s="3" t="s">
        <v>259</v>
      </c>
      <c r="F1775" s="2">
        <v>181.26</v>
      </c>
      <c r="G1775" t="s">
        <v>73</v>
      </c>
      <c r="H1775" t="s">
        <v>261</v>
      </c>
      <c r="I1775" t="s">
        <v>262</v>
      </c>
    </row>
    <row r="1776" spans="1:9" x14ac:dyDescent="0.25">
      <c r="A1776" t="s">
        <v>231</v>
      </c>
      <c r="B1776" t="s">
        <v>258</v>
      </c>
      <c r="C1776" t="s">
        <v>795</v>
      </c>
      <c r="D1776" s="1">
        <v>45211</v>
      </c>
      <c r="E1776" s="3" t="s">
        <v>259</v>
      </c>
      <c r="F1776" s="2">
        <v>124.47</v>
      </c>
      <c r="G1776" t="s">
        <v>73</v>
      </c>
      <c r="H1776" t="s">
        <v>261</v>
      </c>
      <c r="I1776" t="s">
        <v>262</v>
      </c>
    </row>
    <row r="1777" spans="1:9" x14ac:dyDescent="0.25">
      <c r="A1777" t="s">
        <v>231</v>
      </c>
      <c r="B1777" t="s">
        <v>258</v>
      </c>
      <c r="C1777" t="s">
        <v>795</v>
      </c>
      <c r="D1777" s="1">
        <v>45204</v>
      </c>
      <c r="E1777" s="3" t="s">
        <v>259</v>
      </c>
      <c r="F1777" s="2">
        <v>356.64</v>
      </c>
      <c r="G1777" t="s">
        <v>73</v>
      </c>
      <c r="H1777" t="s">
        <v>261</v>
      </c>
      <c r="I1777" t="s">
        <v>262</v>
      </c>
    </row>
    <row r="1778" spans="1:9" x14ac:dyDescent="0.25">
      <c r="A1778" t="s">
        <v>231</v>
      </c>
      <c r="B1778" t="s">
        <v>258</v>
      </c>
      <c r="C1778" t="s">
        <v>795</v>
      </c>
      <c r="D1778" s="1">
        <v>45200</v>
      </c>
      <c r="E1778" s="3" t="s">
        <v>260</v>
      </c>
      <c r="F1778" s="2">
        <v>-83.54</v>
      </c>
      <c r="G1778" t="s">
        <v>73</v>
      </c>
      <c r="H1778" t="s">
        <v>261</v>
      </c>
      <c r="I1778" t="s">
        <v>263</v>
      </c>
    </row>
    <row r="1779" spans="1:9" x14ac:dyDescent="0.25">
      <c r="A1779" t="s">
        <v>231</v>
      </c>
      <c r="B1779" t="s">
        <v>258</v>
      </c>
      <c r="C1779" t="s">
        <v>795</v>
      </c>
      <c r="D1779" s="1">
        <v>45197</v>
      </c>
      <c r="E1779" s="3" t="s">
        <v>259</v>
      </c>
      <c r="F1779" s="2">
        <v>309.32</v>
      </c>
      <c r="G1779" t="s">
        <v>73</v>
      </c>
      <c r="H1779" t="s">
        <v>261</v>
      </c>
      <c r="I1779" t="s">
        <v>262</v>
      </c>
    </row>
    <row r="1780" spans="1:9" x14ac:dyDescent="0.25">
      <c r="A1780" t="s">
        <v>231</v>
      </c>
      <c r="B1780" t="s">
        <v>258</v>
      </c>
      <c r="C1780" t="s">
        <v>795</v>
      </c>
      <c r="D1780" s="1">
        <v>45190</v>
      </c>
      <c r="E1780" s="3" t="s">
        <v>259</v>
      </c>
      <c r="F1780" s="2">
        <v>53.71</v>
      </c>
      <c r="G1780" t="s">
        <v>73</v>
      </c>
      <c r="H1780" t="s">
        <v>261</v>
      </c>
      <c r="I1780" t="s">
        <v>262</v>
      </c>
    </row>
    <row r="1781" spans="1:9" x14ac:dyDescent="0.25">
      <c r="A1781" t="s">
        <v>231</v>
      </c>
      <c r="B1781" t="s">
        <v>258</v>
      </c>
      <c r="C1781" t="s">
        <v>795</v>
      </c>
      <c r="D1781" s="1">
        <v>45183</v>
      </c>
      <c r="E1781" s="3" t="s">
        <v>259</v>
      </c>
      <c r="F1781" s="2">
        <v>237.22</v>
      </c>
      <c r="G1781" t="s">
        <v>73</v>
      </c>
      <c r="H1781" t="s">
        <v>261</v>
      </c>
      <c r="I1781" t="s">
        <v>262</v>
      </c>
    </row>
    <row r="1782" spans="1:9" x14ac:dyDescent="0.25">
      <c r="A1782" t="s">
        <v>231</v>
      </c>
      <c r="B1782" t="s">
        <v>258</v>
      </c>
      <c r="C1782" t="s">
        <v>795</v>
      </c>
      <c r="D1782" s="1">
        <v>45176</v>
      </c>
      <c r="E1782" s="3" t="s">
        <v>259</v>
      </c>
      <c r="F1782" s="2">
        <v>350.01</v>
      </c>
      <c r="G1782" t="s">
        <v>73</v>
      </c>
      <c r="H1782" t="s">
        <v>261</v>
      </c>
      <c r="I1782" t="s">
        <v>262</v>
      </c>
    </row>
    <row r="1783" spans="1:9" x14ac:dyDescent="0.25">
      <c r="A1783" t="s">
        <v>231</v>
      </c>
      <c r="B1783" t="s">
        <v>258</v>
      </c>
      <c r="C1783" t="s">
        <v>795</v>
      </c>
      <c r="D1783" s="1">
        <v>45170</v>
      </c>
      <c r="E1783" s="3" t="s">
        <v>260</v>
      </c>
      <c r="F1783" s="2">
        <v>-616.19000000000005</v>
      </c>
      <c r="G1783" t="s">
        <v>73</v>
      </c>
      <c r="H1783" t="s">
        <v>261</v>
      </c>
      <c r="I1783" t="s">
        <v>263</v>
      </c>
    </row>
    <row r="1784" spans="1:9" x14ac:dyDescent="0.25">
      <c r="A1784" t="s">
        <v>231</v>
      </c>
      <c r="B1784" t="s">
        <v>258</v>
      </c>
      <c r="C1784" t="s">
        <v>795</v>
      </c>
      <c r="D1784" s="1">
        <v>45169</v>
      </c>
      <c r="E1784" s="3" t="s">
        <v>259</v>
      </c>
      <c r="F1784" s="2">
        <v>122.67</v>
      </c>
      <c r="G1784" t="s">
        <v>73</v>
      </c>
      <c r="H1784" t="s">
        <v>261</v>
      </c>
      <c r="I1784" t="s">
        <v>262</v>
      </c>
    </row>
    <row r="1785" spans="1:9" x14ac:dyDescent="0.25">
      <c r="A1785" t="s">
        <v>231</v>
      </c>
      <c r="B1785" t="s">
        <v>258</v>
      </c>
      <c r="C1785" t="s">
        <v>795</v>
      </c>
      <c r="D1785" s="1">
        <v>45162</v>
      </c>
      <c r="E1785" s="3" t="s">
        <v>259</v>
      </c>
      <c r="F1785" s="2">
        <v>80.58</v>
      </c>
      <c r="G1785" t="s">
        <v>73</v>
      </c>
      <c r="H1785" t="s">
        <v>261</v>
      </c>
      <c r="I1785" t="s">
        <v>262</v>
      </c>
    </row>
    <row r="1786" spans="1:9" x14ac:dyDescent="0.25">
      <c r="A1786" t="s">
        <v>231</v>
      </c>
      <c r="B1786" t="s">
        <v>258</v>
      </c>
      <c r="C1786" t="s">
        <v>795</v>
      </c>
      <c r="D1786" s="1">
        <v>45155</v>
      </c>
      <c r="E1786" s="3" t="s">
        <v>259</v>
      </c>
      <c r="F1786" s="2">
        <v>19.45</v>
      </c>
      <c r="G1786" t="s">
        <v>73</v>
      </c>
      <c r="H1786" t="s">
        <v>261</v>
      </c>
      <c r="I1786" t="s">
        <v>262</v>
      </c>
    </row>
    <row r="1787" spans="1:9" x14ac:dyDescent="0.25">
      <c r="A1787" t="s">
        <v>231</v>
      </c>
      <c r="B1787" t="s">
        <v>258</v>
      </c>
      <c r="C1787" t="s">
        <v>795</v>
      </c>
      <c r="D1787" s="1">
        <v>45148</v>
      </c>
      <c r="E1787" s="3" t="s">
        <v>259</v>
      </c>
      <c r="F1787" s="2">
        <v>361.45</v>
      </c>
      <c r="G1787" t="s">
        <v>73</v>
      </c>
      <c r="H1787" t="s">
        <v>261</v>
      </c>
      <c r="I1787" t="s">
        <v>262</v>
      </c>
    </row>
    <row r="1788" spans="1:9" x14ac:dyDescent="0.25">
      <c r="A1788" t="s">
        <v>231</v>
      </c>
      <c r="B1788" t="s">
        <v>258</v>
      </c>
      <c r="C1788" t="s">
        <v>795</v>
      </c>
      <c r="D1788" s="1">
        <v>45141</v>
      </c>
      <c r="E1788" s="3" t="s">
        <v>259</v>
      </c>
      <c r="F1788" s="2">
        <v>257.16000000000003</v>
      </c>
      <c r="G1788" t="s">
        <v>73</v>
      </c>
      <c r="H1788" t="s">
        <v>261</v>
      </c>
      <c r="I1788" t="s">
        <v>262</v>
      </c>
    </row>
    <row r="1789" spans="1:9" x14ac:dyDescent="0.25">
      <c r="A1789" t="s">
        <v>231</v>
      </c>
      <c r="B1789" t="s">
        <v>258</v>
      </c>
      <c r="C1789" t="s">
        <v>795</v>
      </c>
      <c r="D1789" s="1">
        <v>45139</v>
      </c>
      <c r="E1789" s="3" t="s">
        <v>260</v>
      </c>
      <c r="F1789" s="2">
        <v>-124.68</v>
      </c>
      <c r="G1789" t="s">
        <v>73</v>
      </c>
      <c r="H1789" t="s">
        <v>261</v>
      </c>
      <c r="I1789" t="s">
        <v>263</v>
      </c>
    </row>
    <row r="1790" spans="1:9" x14ac:dyDescent="0.25">
      <c r="A1790" t="s">
        <v>231</v>
      </c>
      <c r="B1790" t="s">
        <v>258</v>
      </c>
      <c r="C1790" t="s">
        <v>795</v>
      </c>
      <c r="D1790" s="1">
        <v>45134</v>
      </c>
      <c r="E1790" s="3" t="s">
        <v>259</v>
      </c>
      <c r="F1790" s="2">
        <v>176.49</v>
      </c>
      <c r="G1790" t="s">
        <v>73</v>
      </c>
      <c r="H1790" t="s">
        <v>261</v>
      </c>
      <c r="I1790" t="s">
        <v>262</v>
      </c>
    </row>
    <row r="1791" spans="1:9" x14ac:dyDescent="0.25">
      <c r="A1791" t="s">
        <v>231</v>
      </c>
      <c r="B1791" t="s">
        <v>258</v>
      </c>
      <c r="C1791" t="s">
        <v>795</v>
      </c>
      <c r="D1791" s="1">
        <v>45127</v>
      </c>
      <c r="E1791" s="3" t="s">
        <v>259</v>
      </c>
      <c r="F1791" s="2">
        <v>104.4</v>
      </c>
      <c r="G1791" t="s">
        <v>73</v>
      </c>
      <c r="H1791" t="s">
        <v>261</v>
      </c>
      <c r="I1791" t="s">
        <v>262</v>
      </c>
    </row>
    <row r="1792" spans="1:9" x14ac:dyDescent="0.25">
      <c r="A1792" t="s">
        <v>231</v>
      </c>
      <c r="B1792" t="s">
        <v>258</v>
      </c>
      <c r="C1792" t="s">
        <v>795</v>
      </c>
      <c r="D1792" s="1">
        <v>45120</v>
      </c>
      <c r="E1792" s="3" t="s">
        <v>259</v>
      </c>
      <c r="F1792" s="2">
        <v>157.22999999999999</v>
      </c>
      <c r="G1792" t="s">
        <v>73</v>
      </c>
      <c r="H1792" t="s">
        <v>261</v>
      </c>
      <c r="I1792" t="s">
        <v>262</v>
      </c>
    </row>
    <row r="1793" spans="1:9" x14ac:dyDescent="0.25">
      <c r="A1793" t="s">
        <v>231</v>
      </c>
      <c r="B1793" t="s">
        <v>258</v>
      </c>
      <c r="C1793" t="s">
        <v>795</v>
      </c>
      <c r="D1793" s="1">
        <v>45113</v>
      </c>
      <c r="E1793" s="3" t="s">
        <v>259</v>
      </c>
      <c r="F1793" s="2">
        <v>121.5</v>
      </c>
      <c r="G1793" t="s">
        <v>73</v>
      </c>
      <c r="H1793" t="s">
        <v>261</v>
      </c>
      <c r="I1793" t="s">
        <v>262</v>
      </c>
    </row>
    <row r="1794" spans="1:9" x14ac:dyDescent="0.25">
      <c r="A1794" t="s">
        <v>231</v>
      </c>
      <c r="B1794" t="s">
        <v>258</v>
      </c>
      <c r="C1794" t="s">
        <v>795</v>
      </c>
      <c r="D1794" s="1">
        <v>45108</v>
      </c>
      <c r="E1794" s="3" t="s">
        <v>260</v>
      </c>
      <c r="F1794" s="2">
        <v>-829.51</v>
      </c>
      <c r="G1794" t="s">
        <v>73</v>
      </c>
      <c r="H1794" t="s">
        <v>261</v>
      </c>
      <c r="I1794" t="s">
        <v>263</v>
      </c>
    </row>
    <row r="1795" spans="1:9" x14ac:dyDescent="0.25">
      <c r="A1795" t="s">
        <v>231</v>
      </c>
      <c r="B1795" t="s">
        <v>258</v>
      </c>
      <c r="C1795" t="s">
        <v>795</v>
      </c>
      <c r="D1795" s="1">
        <v>45106</v>
      </c>
      <c r="E1795" s="3" t="s">
        <v>259</v>
      </c>
      <c r="F1795" s="2">
        <v>222.28</v>
      </c>
      <c r="G1795" t="s">
        <v>73</v>
      </c>
      <c r="H1795" t="s">
        <v>261</v>
      </c>
      <c r="I1795" t="s">
        <v>262</v>
      </c>
    </row>
    <row r="1796" spans="1:9" x14ac:dyDescent="0.25">
      <c r="A1796" t="s">
        <v>231</v>
      </c>
      <c r="B1796" t="s">
        <v>258</v>
      </c>
      <c r="C1796" t="s">
        <v>795</v>
      </c>
      <c r="D1796" s="1">
        <v>45099</v>
      </c>
      <c r="E1796" s="3" t="s">
        <v>259</v>
      </c>
      <c r="F1796" s="2">
        <v>277.11</v>
      </c>
      <c r="G1796" t="s">
        <v>73</v>
      </c>
      <c r="H1796" t="s">
        <v>261</v>
      </c>
      <c r="I1796" t="s">
        <v>262</v>
      </c>
    </row>
    <row r="1797" spans="1:9" x14ac:dyDescent="0.25">
      <c r="A1797" t="s">
        <v>231</v>
      </c>
      <c r="B1797" t="s">
        <v>258</v>
      </c>
      <c r="C1797" t="s">
        <v>795</v>
      </c>
      <c r="D1797" s="1">
        <v>45092</v>
      </c>
      <c r="E1797" s="3" t="s">
        <v>259</v>
      </c>
      <c r="F1797" s="2">
        <v>0.85</v>
      </c>
      <c r="G1797" t="s">
        <v>73</v>
      </c>
      <c r="H1797" t="s">
        <v>261</v>
      </c>
      <c r="I1797" t="s">
        <v>262</v>
      </c>
    </row>
    <row r="1798" spans="1:9" x14ac:dyDescent="0.25">
      <c r="A1798" t="s">
        <v>231</v>
      </c>
      <c r="B1798" t="s">
        <v>258</v>
      </c>
      <c r="C1798" t="s">
        <v>795</v>
      </c>
      <c r="D1798" s="1">
        <v>45085</v>
      </c>
      <c r="E1798" s="3" t="s">
        <v>259</v>
      </c>
      <c r="F1798" s="2">
        <v>4.55</v>
      </c>
      <c r="G1798" t="s">
        <v>73</v>
      </c>
      <c r="H1798" t="s">
        <v>261</v>
      </c>
      <c r="I1798" t="s">
        <v>262</v>
      </c>
    </row>
    <row r="1799" spans="1:9" x14ac:dyDescent="0.25">
      <c r="A1799" t="s">
        <v>231</v>
      </c>
      <c r="B1799" t="s">
        <v>258</v>
      </c>
      <c r="C1799" t="s">
        <v>795</v>
      </c>
      <c r="D1799" s="1">
        <v>45078</v>
      </c>
      <c r="E1799" s="3" t="s">
        <v>260</v>
      </c>
      <c r="F1799" s="2">
        <v>-1021.26</v>
      </c>
      <c r="G1799" t="s">
        <v>73</v>
      </c>
      <c r="H1799" t="s">
        <v>261</v>
      </c>
      <c r="I1799" t="s">
        <v>263</v>
      </c>
    </row>
    <row r="1800" spans="1:9" x14ac:dyDescent="0.25">
      <c r="A1800" t="s">
        <v>231</v>
      </c>
      <c r="B1800" t="s">
        <v>258</v>
      </c>
      <c r="C1800" t="s">
        <v>795</v>
      </c>
      <c r="D1800" s="1">
        <v>45078</v>
      </c>
      <c r="E1800" s="3" t="s">
        <v>259</v>
      </c>
      <c r="F1800" s="2">
        <v>361.71</v>
      </c>
      <c r="G1800" t="s">
        <v>73</v>
      </c>
      <c r="H1800" t="s">
        <v>261</v>
      </c>
      <c r="I1800" t="s">
        <v>262</v>
      </c>
    </row>
    <row r="1801" spans="1:9" x14ac:dyDescent="0.25">
      <c r="A1801" t="s">
        <v>231</v>
      </c>
      <c r="B1801" t="s">
        <v>258</v>
      </c>
      <c r="C1801" t="s">
        <v>795</v>
      </c>
      <c r="D1801" s="1">
        <v>45071</v>
      </c>
      <c r="E1801" s="3" t="s">
        <v>259</v>
      </c>
      <c r="F1801" s="2">
        <v>285.47000000000003</v>
      </c>
      <c r="G1801" t="s">
        <v>73</v>
      </c>
      <c r="H1801" t="s">
        <v>261</v>
      </c>
      <c r="I1801" t="s">
        <v>262</v>
      </c>
    </row>
    <row r="1802" spans="1:9" x14ac:dyDescent="0.25">
      <c r="A1802" t="s">
        <v>231</v>
      </c>
      <c r="B1802" t="s">
        <v>258</v>
      </c>
      <c r="C1802" t="s">
        <v>795</v>
      </c>
      <c r="D1802" s="1">
        <v>45064</v>
      </c>
      <c r="E1802" s="3" t="s">
        <v>259</v>
      </c>
      <c r="F1802" s="2">
        <v>258.07</v>
      </c>
      <c r="G1802" t="s">
        <v>73</v>
      </c>
      <c r="H1802" t="s">
        <v>261</v>
      </c>
      <c r="I1802" t="s">
        <v>262</v>
      </c>
    </row>
    <row r="1803" spans="1:9" x14ac:dyDescent="0.25">
      <c r="A1803" t="s">
        <v>231</v>
      </c>
      <c r="B1803" t="s">
        <v>258</v>
      </c>
      <c r="C1803" t="s">
        <v>795</v>
      </c>
      <c r="D1803" s="1">
        <v>45057</v>
      </c>
      <c r="E1803" s="3" t="s">
        <v>259</v>
      </c>
      <c r="F1803" s="2">
        <v>21.8</v>
      </c>
      <c r="G1803" t="s">
        <v>73</v>
      </c>
      <c r="H1803" t="s">
        <v>261</v>
      </c>
      <c r="I1803" t="s">
        <v>262</v>
      </c>
    </row>
    <row r="1804" spans="1:9" x14ac:dyDescent="0.25">
      <c r="A1804" t="s">
        <v>231</v>
      </c>
      <c r="B1804" t="s">
        <v>258</v>
      </c>
      <c r="C1804" t="s">
        <v>795</v>
      </c>
      <c r="D1804" s="1">
        <v>45050</v>
      </c>
      <c r="E1804" s="3" t="s">
        <v>259</v>
      </c>
      <c r="F1804" s="2">
        <v>189.57</v>
      </c>
      <c r="G1804" t="s">
        <v>73</v>
      </c>
      <c r="H1804" t="s">
        <v>261</v>
      </c>
      <c r="I1804" t="s">
        <v>262</v>
      </c>
    </row>
    <row r="1805" spans="1:9" x14ac:dyDescent="0.25">
      <c r="A1805" t="s">
        <v>231</v>
      </c>
      <c r="B1805" t="s">
        <v>258</v>
      </c>
      <c r="C1805" t="s">
        <v>795</v>
      </c>
      <c r="D1805" s="1">
        <v>45047</v>
      </c>
      <c r="E1805" s="3" t="s">
        <v>260</v>
      </c>
      <c r="F1805" s="2">
        <v>-131.56</v>
      </c>
      <c r="G1805" t="s">
        <v>73</v>
      </c>
      <c r="H1805" t="s">
        <v>261</v>
      </c>
      <c r="I1805" t="s">
        <v>263</v>
      </c>
    </row>
    <row r="1806" spans="1:9" x14ac:dyDescent="0.25">
      <c r="A1806" t="s">
        <v>231</v>
      </c>
      <c r="B1806" t="s">
        <v>258</v>
      </c>
      <c r="C1806" t="s">
        <v>795</v>
      </c>
      <c r="D1806" s="1">
        <v>45043</v>
      </c>
      <c r="E1806" s="3" t="s">
        <v>259</v>
      </c>
      <c r="F1806" s="2">
        <v>341.75</v>
      </c>
      <c r="G1806" t="s">
        <v>73</v>
      </c>
      <c r="H1806" t="s">
        <v>261</v>
      </c>
      <c r="I1806" t="s">
        <v>262</v>
      </c>
    </row>
    <row r="1807" spans="1:9" x14ac:dyDescent="0.25">
      <c r="A1807" t="s">
        <v>231</v>
      </c>
      <c r="B1807" t="s">
        <v>258</v>
      </c>
      <c r="C1807" t="s">
        <v>795</v>
      </c>
      <c r="D1807" s="1">
        <v>45036</v>
      </c>
      <c r="E1807" s="3" t="s">
        <v>259</v>
      </c>
      <c r="F1807" s="2">
        <v>275.33999999999997</v>
      </c>
      <c r="G1807" t="s">
        <v>73</v>
      </c>
      <c r="H1807" t="s">
        <v>261</v>
      </c>
      <c r="I1807" t="s">
        <v>262</v>
      </c>
    </row>
    <row r="1808" spans="1:9" x14ac:dyDescent="0.25">
      <c r="A1808" t="s">
        <v>231</v>
      </c>
      <c r="B1808" t="s">
        <v>258</v>
      </c>
      <c r="C1808" t="s">
        <v>795</v>
      </c>
      <c r="D1808" s="1">
        <v>45029</v>
      </c>
      <c r="E1808" s="3" t="s">
        <v>259</v>
      </c>
      <c r="F1808" s="2">
        <v>52.35</v>
      </c>
      <c r="G1808" t="s">
        <v>73</v>
      </c>
      <c r="H1808" t="s">
        <v>261</v>
      </c>
      <c r="I1808" t="s">
        <v>262</v>
      </c>
    </row>
    <row r="1809" spans="1:9" x14ac:dyDescent="0.25">
      <c r="A1809" t="s">
        <v>231</v>
      </c>
      <c r="B1809" t="s">
        <v>258</v>
      </c>
      <c r="C1809" t="s">
        <v>795</v>
      </c>
      <c r="D1809" s="1">
        <v>45022</v>
      </c>
      <c r="E1809" s="3" t="s">
        <v>259</v>
      </c>
      <c r="F1809" s="2">
        <v>285.85000000000002</v>
      </c>
      <c r="G1809" t="s">
        <v>73</v>
      </c>
      <c r="H1809" t="s">
        <v>261</v>
      </c>
      <c r="I1809" t="s">
        <v>262</v>
      </c>
    </row>
    <row r="1810" spans="1:9" x14ac:dyDescent="0.25">
      <c r="A1810" t="s">
        <v>231</v>
      </c>
      <c r="B1810" t="s">
        <v>258</v>
      </c>
      <c r="C1810" t="s">
        <v>795</v>
      </c>
      <c r="D1810" s="1">
        <v>45017</v>
      </c>
      <c r="E1810" s="3" t="s">
        <v>260</v>
      </c>
      <c r="F1810" s="2">
        <v>-608.49</v>
      </c>
      <c r="G1810" t="s">
        <v>73</v>
      </c>
      <c r="H1810" t="s">
        <v>261</v>
      </c>
      <c r="I1810" t="s">
        <v>263</v>
      </c>
    </row>
    <row r="1811" spans="1:9" x14ac:dyDescent="0.25">
      <c r="A1811" t="s">
        <v>264</v>
      </c>
      <c r="B1811" t="s">
        <v>100</v>
      </c>
      <c r="C1811" t="s">
        <v>774</v>
      </c>
      <c r="D1811" s="1">
        <v>45018</v>
      </c>
      <c r="E1811" t="s">
        <v>265</v>
      </c>
      <c r="F1811">
        <v>-11.71</v>
      </c>
      <c r="G1811" t="s">
        <v>70</v>
      </c>
      <c r="H1811" t="s">
        <v>264</v>
      </c>
      <c r="I1811" t="s">
        <v>72</v>
      </c>
    </row>
    <row r="1812" spans="1:9" x14ac:dyDescent="0.25">
      <c r="A1812" t="s">
        <v>264</v>
      </c>
      <c r="B1812" t="s">
        <v>100</v>
      </c>
      <c r="C1812" t="s">
        <v>774</v>
      </c>
      <c r="D1812" s="1">
        <v>45018</v>
      </c>
      <c r="E1812" t="s">
        <v>265</v>
      </c>
      <c r="F1812">
        <v>-7.56</v>
      </c>
      <c r="G1812" t="s">
        <v>70</v>
      </c>
      <c r="H1812" t="s">
        <v>264</v>
      </c>
      <c r="I1812" t="s">
        <v>72</v>
      </c>
    </row>
    <row r="1813" spans="1:9" x14ac:dyDescent="0.25">
      <c r="A1813" t="s">
        <v>264</v>
      </c>
      <c r="B1813" t="s">
        <v>100</v>
      </c>
      <c r="C1813" t="s">
        <v>774</v>
      </c>
      <c r="D1813" s="1">
        <v>45019</v>
      </c>
      <c r="E1813" t="s">
        <v>265</v>
      </c>
      <c r="F1813">
        <v>-3.08</v>
      </c>
      <c r="G1813" t="s">
        <v>70</v>
      </c>
      <c r="H1813" t="s">
        <v>264</v>
      </c>
      <c r="I1813" t="s">
        <v>72</v>
      </c>
    </row>
    <row r="1814" spans="1:9" x14ac:dyDescent="0.25">
      <c r="A1814" t="s">
        <v>264</v>
      </c>
      <c r="B1814" t="s">
        <v>100</v>
      </c>
      <c r="C1814" t="s">
        <v>774</v>
      </c>
      <c r="D1814" s="1">
        <v>45019</v>
      </c>
      <c r="E1814" t="s">
        <v>266</v>
      </c>
      <c r="F1814">
        <v>-22.57</v>
      </c>
      <c r="G1814" t="s">
        <v>68</v>
      </c>
      <c r="H1814" t="s">
        <v>69</v>
      </c>
      <c r="I1814" t="s">
        <v>69</v>
      </c>
    </row>
    <row r="1815" spans="1:9" x14ac:dyDescent="0.25">
      <c r="A1815" t="s">
        <v>264</v>
      </c>
      <c r="B1815" t="s">
        <v>100</v>
      </c>
      <c r="C1815" t="s">
        <v>774</v>
      </c>
      <c r="D1815" s="1">
        <v>45021</v>
      </c>
      <c r="E1815" t="s">
        <v>267</v>
      </c>
      <c r="F1815">
        <v>1354.19</v>
      </c>
      <c r="G1815" t="s">
        <v>70</v>
      </c>
      <c r="H1815" t="s">
        <v>264</v>
      </c>
      <c r="I1815" t="s">
        <v>72</v>
      </c>
    </row>
    <row r="1816" spans="1:9" x14ac:dyDescent="0.25">
      <c r="A1816" t="s">
        <v>264</v>
      </c>
      <c r="B1816" t="s">
        <v>100</v>
      </c>
      <c r="C1816" t="s">
        <v>774</v>
      </c>
      <c r="D1816" s="1">
        <v>45022</v>
      </c>
      <c r="E1816" t="s">
        <v>268</v>
      </c>
      <c r="F1816">
        <v>155.5</v>
      </c>
      <c r="G1816" t="s">
        <v>70</v>
      </c>
      <c r="H1816" t="s">
        <v>264</v>
      </c>
      <c r="I1816" t="s">
        <v>72</v>
      </c>
    </row>
    <row r="1817" spans="1:9" x14ac:dyDescent="0.25">
      <c r="A1817" t="s">
        <v>264</v>
      </c>
      <c r="B1817" t="s">
        <v>100</v>
      </c>
      <c r="C1817" t="s">
        <v>774</v>
      </c>
      <c r="D1817" s="1">
        <v>45022</v>
      </c>
      <c r="E1817" t="s">
        <v>269</v>
      </c>
      <c r="F1817">
        <v>-10.67</v>
      </c>
      <c r="G1817" t="s">
        <v>70</v>
      </c>
      <c r="H1817" t="s">
        <v>264</v>
      </c>
      <c r="I1817" t="s">
        <v>72</v>
      </c>
    </row>
    <row r="1818" spans="1:9" x14ac:dyDescent="0.25">
      <c r="A1818" t="s">
        <v>264</v>
      </c>
      <c r="B1818" t="s">
        <v>100</v>
      </c>
      <c r="C1818" t="s">
        <v>774</v>
      </c>
      <c r="D1818" s="1">
        <v>45022</v>
      </c>
      <c r="E1818" t="s">
        <v>270</v>
      </c>
      <c r="F1818">
        <v>-7.74</v>
      </c>
      <c r="G1818" t="s">
        <v>70</v>
      </c>
      <c r="H1818" t="s">
        <v>264</v>
      </c>
      <c r="I1818" t="s">
        <v>72</v>
      </c>
    </row>
    <row r="1819" spans="1:9" x14ac:dyDescent="0.25">
      <c r="A1819" t="s">
        <v>264</v>
      </c>
      <c r="B1819" t="s">
        <v>100</v>
      </c>
      <c r="C1819" t="s">
        <v>774</v>
      </c>
      <c r="D1819" s="1">
        <v>45022</v>
      </c>
      <c r="E1819" t="s">
        <v>265</v>
      </c>
      <c r="F1819">
        <v>-89.21</v>
      </c>
      <c r="G1819" t="s">
        <v>70</v>
      </c>
      <c r="H1819" t="s">
        <v>264</v>
      </c>
      <c r="I1819" t="s">
        <v>72</v>
      </c>
    </row>
    <row r="1820" spans="1:9" x14ac:dyDescent="0.25">
      <c r="A1820" t="s">
        <v>264</v>
      </c>
      <c r="B1820" t="s">
        <v>100</v>
      </c>
      <c r="C1820" t="s">
        <v>774</v>
      </c>
      <c r="D1820" s="1">
        <v>45024</v>
      </c>
      <c r="E1820" t="s">
        <v>265</v>
      </c>
      <c r="F1820">
        <v>-67.19</v>
      </c>
      <c r="G1820" t="s">
        <v>70</v>
      </c>
      <c r="H1820" t="s">
        <v>264</v>
      </c>
      <c r="I1820" t="s">
        <v>72</v>
      </c>
    </row>
    <row r="1821" spans="1:9" x14ac:dyDescent="0.25">
      <c r="A1821" t="s">
        <v>264</v>
      </c>
      <c r="B1821" t="s">
        <v>100</v>
      </c>
      <c r="C1821" t="s">
        <v>774</v>
      </c>
      <c r="D1821" s="1">
        <v>45027</v>
      </c>
      <c r="E1821" t="s">
        <v>271</v>
      </c>
      <c r="F1821">
        <v>-50.03</v>
      </c>
      <c r="G1821" t="s">
        <v>70</v>
      </c>
      <c r="H1821" t="s">
        <v>264</v>
      </c>
      <c r="I1821" t="s">
        <v>72</v>
      </c>
    </row>
    <row r="1822" spans="1:9" x14ac:dyDescent="0.25">
      <c r="A1822" t="s">
        <v>264</v>
      </c>
      <c r="B1822" t="s">
        <v>100</v>
      </c>
      <c r="C1822" t="s">
        <v>774</v>
      </c>
      <c r="D1822" s="1">
        <v>45027</v>
      </c>
      <c r="E1822" t="s">
        <v>272</v>
      </c>
      <c r="F1822">
        <v>-349.5</v>
      </c>
      <c r="G1822" t="s">
        <v>70</v>
      </c>
      <c r="H1822" t="s">
        <v>264</v>
      </c>
      <c r="I1822" t="s">
        <v>72</v>
      </c>
    </row>
    <row r="1823" spans="1:9" x14ac:dyDescent="0.25">
      <c r="A1823" t="s">
        <v>264</v>
      </c>
      <c r="B1823" t="s">
        <v>100</v>
      </c>
      <c r="C1823" t="s">
        <v>774</v>
      </c>
      <c r="D1823" s="1">
        <v>45027</v>
      </c>
      <c r="E1823" t="s">
        <v>273</v>
      </c>
      <c r="F1823">
        <v>-293.02999999999997</v>
      </c>
      <c r="G1823" t="s">
        <v>70</v>
      </c>
      <c r="H1823" t="s">
        <v>264</v>
      </c>
      <c r="I1823" t="s">
        <v>72</v>
      </c>
    </row>
    <row r="1824" spans="1:9" x14ac:dyDescent="0.25">
      <c r="A1824" t="s">
        <v>264</v>
      </c>
      <c r="B1824" t="s">
        <v>100</v>
      </c>
      <c r="C1824" t="s">
        <v>774</v>
      </c>
      <c r="D1824" s="1">
        <v>45028</v>
      </c>
      <c r="E1824" t="s">
        <v>274</v>
      </c>
      <c r="F1824">
        <v>4855.08</v>
      </c>
      <c r="G1824" t="s">
        <v>74</v>
      </c>
      <c r="H1824" t="s">
        <v>256</v>
      </c>
      <c r="I1824" t="s">
        <v>346</v>
      </c>
    </row>
    <row r="1825" spans="1:9" x14ac:dyDescent="0.25">
      <c r="A1825" t="s">
        <v>264</v>
      </c>
      <c r="B1825" t="s">
        <v>100</v>
      </c>
      <c r="C1825" t="s">
        <v>774</v>
      </c>
      <c r="D1825" s="1">
        <v>45028</v>
      </c>
      <c r="E1825" t="s">
        <v>265</v>
      </c>
      <c r="F1825">
        <v>-176.4</v>
      </c>
      <c r="G1825" t="s">
        <v>70</v>
      </c>
      <c r="H1825" t="s">
        <v>264</v>
      </c>
      <c r="I1825" t="s">
        <v>72</v>
      </c>
    </row>
    <row r="1826" spans="1:9" x14ac:dyDescent="0.25">
      <c r="A1826" t="s">
        <v>264</v>
      </c>
      <c r="B1826" t="s">
        <v>100</v>
      </c>
      <c r="C1826" t="s">
        <v>774</v>
      </c>
      <c r="D1826" s="1">
        <v>45028</v>
      </c>
      <c r="E1826" t="s">
        <v>275</v>
      </c>
      <c r="F1826">
        <v>139.87</v>
      </c>
      <c r="G1826" t="s">
        <v>70</v>
      </c>
      <c r="H1826" t="s">
        <v>264</v>
      </c>
      <c r="I1826" t="s">
        <v>72</v>
      </c>
    </row>
    <row r="1827" spans="1:9" x14ac:dyDescent="0.25">
      <c r="A1827" t="s">
        <v>264</v>
      </c>
      <c r="B1827" t="s">
        <v>100</v>
      </c>
      <c r="C1827" t="s">
        <v>774</v>
      </c>
      <c r="D1827" s="1">
        <v>45028</v>
      </c>
      <c r="E1827" t="s">
        <v>268</v>
      </c>
      <c r="F1827">
        <v>165.94</v>
      </c>
      <c r="G1827" t="s">
        <v>70</v>
      </c>
      <c r="H1827" t="s">
        <v>264</v>
      </c>
      <c r="I1827" t="s">
        <v>72</v>
      </c>
    </row>
    <row r="1828" spans="1:9" x14ac:dyDescent="0.25">
      <c r="A1828" t="s">
        <v>264</v>
      </c>
      <c r="B1828" t="s">
        <v>100</v>
      </c>
      <c r="C1828" t="s">
        <v>774</v>
      </c>
      <c r="D1828" s="1">
        <v>45028</v>
      </c>
      <c r="E1828" t="s">
        <v>276</v>
      </c>
      <c r="F1828">
        <v>-2258.38</v>
      </c>
      <c r="G1828" t="s">
        <v>70</v>
      </c>
      <c r="H1828" t="s">
        <v>264</v>
      </c>
      <c r="I1828" t="s">
        <v>72</v>
      </c>
    </row>
    <row r="1829" spans="1:9" x14ac:dyDescent="0.25">
      <c r="A1829" t="s">
        <v>264</v>
      </c>
      <c r="B1829" t="s">
        <v>100</v>
      </c>
      <c r="C1829" t="s">
        <v>774</v>
      </c>
      <c r="D1829" s="1">
        <v>45028</v>
      </c>
      <c r="E1829" t="s">
        <v>269</v>
      </c>
      <c r="F1829">
        <v>-2399.5100000000002</v>
      </c>
      <c r="G1829" t="s">
        <v>70</v>
      </c>
      <c r="H1829" t="s">
        <v>264</v>
      </c>
      <c r="I1829" t="s">
        <v>72</v>
      </c>
    </row>
    <row r="1830" spans="1:9" x14ac:dyDescent="0.25">
      <c r="A1830" t="s">
        <v>264</v>
      </c>
      <c r="B1830" t="s">
        <v>100</v>
      </c>
      <c r="C1830" t="s">
        <v>774</v>
      </c>
      <c r="D1830" s="1">
        <v>45030</v>
      </c>
      <c r="E1830" t="s">
        <v>277</v>
      </c>
      <c r="F1830">
        <v>-126.12</v>
      </c>
      <c r="G1830" t="s">
        <v>70</v>
      </c>
      <c r="H1830" t="s">
        <v>264</v>
      </c>
      <c r="I1830" t="s">
        <v>72</v>
      </c>
    </row>
    <row r="1831" spans="1:9" x14ac:dyDescent="0.25">
      <c r="A1831" t="s">
        <v>264</v>
      </c>
      <c r="B1831" t="s">
        <v>100</v>
      </c>
      <c r="C1831" t="s">
        <v>774</v>
      </c>
      <c r="D1831" s="1">
        <v>45030</v>
      </c>
      <c r="E1831" t="s">
        <v>278</v>
      </c>
      <c r="F1831">
        <v>-18.88</v>
      </c>
      <c r="G1831" t="s">
        <v>347</v>
      </c>
      <c r="H1831" t="s">
        <v>348</v>
      </c>
      <c r="I1831" t="s">
        <v>348</v>
      </c>
    </row>
    <row r="1832" spans="1:9" x14ac:dyDescent="0.25">
      <c r="A1832" t="s">
        <v>264</v>
      </c>
      <c r="B1832" t="s">
        <v>100</v>
      </c>
      <c r="C1832" t="s">
        <v>774</v>
      </c>
      <c r="D1832" s="1">
        <v>45031</v>
      </c>
      <c r="E1832" t="s">
        <v>265</v>
      </c>
      <c r="F1832">
        <v>-300.98</v>
      </c>
      <c r="G1832" t="s">
        <v>70</v>
      </c>
      <c r="H1832" t="s">
        <v>264</v>
      </c>
      <c r="I1832" t="s">
        <v>72</v>
      </c>
    </row>
    <row r="1833" spans="1:9" x14ac:dyDescent="0.25">
      <c r="A1833" t="s">
        <v>264</v>
      </c>
      <c r="B1833" t="s">
        <v>100</v>
      </c>
      <c r="C1833" t="s">
        <v>774</v>
      </c>
      <c r="D1833" s="1">
        <v>45031</v>
      </c>
      <c r="E1833" t="s">
        <v>265</v>
      </c>
      <c r="F1833">
        <v>-26.95</v>
      </c>
      <c r="G1833" t="s">
        <v>70</v>
      </c>
      <c r="H1833" t="s">
        <v>264</v>
      </c>
      <c r="I1833" t="s">
        <v>72</v>
      </c>
    </row>
    <row r="1834" spans="1:9" x14ac:dyDescent="0.25">
      <c r="A1834" t="s">
        <v>264</v>
      </c>
      <c r="B1834" t="s">
        <v>100</v>
      </c>
      <c r="C1834" t="s">
        <v>774</v>
      </c>
      <c r="D1834" s="1">
        <v>45033</v>
      </c>
      <c r="E1834" t="s">
        <v>279</v>
      </c>
      <c r="F1834">
        <v>-15.63</v>
      </c>
      <c r="G1834" t="s">
        <v>92</v>
      </c>
      <c r="H1834" t="s">
        <v>349</v>
      </c>
      <c r="I1834" t="s">
        <v>349</v>
      </c>
    </row>
    <row r="1835" spans="1:9" x14ac:dyDescent="0.25">
      <c r="A1835" t="s">
        <v>264</v>
      </c>
      <c r="B1835" t="s">
        <v>100</v>
      </c>
      <c r="C1835" t="s">
        <v>774</v>
      </c>
      <c r="D1835" s="1">
        <v>45035</v>
      </c>
      <c r="E1835" t="s">
        <v>265</v>
      </c>
      <c r="F1835">
        <v>-23.29</v>
      </c>
      <c r="G1835" t="s">
        <v>70</v>
      </c>
      <c r="H1835" t="s">
        <v>264</v>
      </c>
      <c r="I1835" t="s">
        <v>72</v>
      </c>
    </row>
    <row r="1836" spans="1:9" x14ac:dyDescent="0.25">
      <c r="A1836" t="s">
        <v>264</v>
      </c>
      <c r="B1836" t="s">
        <v>100</v>
      </c>
      <c r="C1836" t="s">
        <v>774</v>
      </c>
      <c r="D1836" s="1">
        <v>45035</v>
      </c>
      <c r="E1836" t="s">
        <v>265</v>
      </c>
      <c r="F1836">
        <v>-2.9</v>
      </c>
      <c r="G1836" t="s">
        <v>70</v>
      </c>
      <c r="H1836" t="s">
        <v>264</v>
      </c>
      <c r="I1836" t="s">
        <v>72</v>
      </c>
    </row>
    <row r="1837" spans="1:9" x14ac:dyDescent="0.25">
      <c r="A1837" t="s">
        <v>264</v>
      </c>
      <c r="B1837" t="s">
        <v>100</v>
      </c>
      <c r="C1837" t="s">
        <v>774</v>
      </c>
      <c r="D1837" s="1">
        <v>45036</v>
      </c>
      <c r="E1837" t="s">
        <v>267</v>
      </c>
      <c r="F1837">
        <v>2044.07</v>
      </c>
      <c r="G1837" t="s">
        <v>70</v>
      </c>
      <c r="H1837" t="s">
        <v>264</v>
      </c>
      <c r="I1837" t="s">
        <v>72</v>
      </c>
    </row>
    <row r="1838" spans="1:9" x14ac:dyDescent="0.25">
      <c r="A1838" t="s">
        <v>264</v>
      </c>
      <c r="B1838" t="s">
        <v>100</v>
      </c>
      <c r="C1838" t="s">
        <v>774</v>
      </c>
      <c r="D1838" s="1">
        <v>45036</v>
      </c>
      <c r="E1838" t="s">
        <v>267</v>
      </c>
      <c r="F1838">
        <v>590.62</v>
      </c>
      <c r="G1838" t="s">
        <v>70</v>
      </c>
      <c r="H1838" t="s">
        <v>264</v>
      </c>
      <c r="I1838" t="s">
        <v>72</v>
      </c>
    </row>
    <row r="1839" spans="1:9" x14ac:dyDescent="0.25">
      <c r="A1839" t="s">
        <v>264</v>
      </c>
      <c r="B1839" t="s">
        <v>100</v>
      </c>
      <c r="C1839" t="s">
        <v>774</v>
      </c>
      <c r="D1839" s="1">
        <v>45036</v>
      </c>
      <c r="E1839" t="s">
        <v>280</v>
      </c>
      <c r="F1839">
        <v>-1020.2</v>
      </c>
      <c r="G1839" t="s">
        <v>70</v>
      </c>
      <c r="H1839" t="s">
        <v>264</v>
      </c>
      <c r="I1839" t="s">
        <v>72</v>
      </c>
    </row>
    <row r="1840" spans="1:9" x14ac:dyDescent="0.25">
      <c r="A1840" t="s">
        <v>264</v>
      </c>
      <c r="B1840" t="s">
        <v>100</v>
      </c>
      <c r="C1840" t="s">
        <v>774</v>
      </c>
      <c r="D1840" s="1">
        <v>45037</v>
      </c>
      <c r="E1840" t="s">
        <v>271</v>
      </c>
      <c r="F1840">
        <v>-1468.4</v>
      </c>
      <c r="G1840" t="s">
        <v>70</v>
      </c>
      <c r="H1840" t="s">
        <v>264</v>
      </c>
      <c r="I1840" t="s">
        <v>72</v>
      </c>
    </row>
    <row r="1841" spans="1:9" x14ac:dyDescent="0.25">
      <c r="A1841" t="s">
        <v>264</v>
      </c>
      <c r="B1841" t="s">
        <v>100</v>
      </c>
      <c r="C1841" t="s">
        <v>774</v>
      </c>
      <c r="D1841" s="1">
        <v>45037</v>
      </c>
      <c r="E1841" t="s">
        <v>272</v>
      </c>
      <c r="F1841">
        <v>-884.31</v>
      </c>
      <c r="G1841" t="s">
        <v>70</v>
      </c>
      <c r="H1841" t="s">
        <v>264</v>
      </c>
      <c r="I1841" t="s">
        <v>72</v>
      </c>
    </row>
    <row r="1842" spans="1:9" x14ac:dyDescent="0.25">
      <c r="A1842" t="s">
        <v>264</v>
      </c>
      <c r="B1842" t="s">
        <v>100</v>
      </c>
      <c r="C1842" t="s">
        <v>774</v>
      </c>
      <c r="D1842" s="1">
        <v>45037</v>
      </c>
      <c r="E1842" t="s">
        <v>273</v>
      </c>
      <c r="F1842">
        <v>-493.81</v>
      </c>
      <c r="G1842" t="s">
        <v>70</v>
      </c>
      <c r="H1842" t="s">
        <v>264</v>
      </c>
      <c r="I1842" t="s">
        <v>72</v>
      </c>
    </row>
    <row r="1843" spans="1:9" x14ac:dyDescent="0.25">
      <c r="A1843" t="s">
        <v>264</v>
      </c>
      <c r="B1843" t="s">
        <v>100</v>
      </c>
      <c r="C1843" t="s">
        <v>774</v>
      </c>
      <c r="D1843" s="1">
        <v>45041</v>
      </c>
      <c r="E1843" t="s">
        <v>265</v>
      </c>
      <c r="F1843">
        <v>-52.77</v>
      </c>
      <c r="G1843" t="s">
        <v>70</v>
      </c>
      <c r="H1843" t="s">
        <v>264</v>
      </c>
      <c r="I1843" t="s">
        <v>72</v>
      </c>
    </row>
    <row r="1844" spans="1:9" x14ac:dyDescent="0.25">
      <c r="A1844" t="s">
        <v>264</v>
      </c>
      <c r="B1844" t="s">
        <v>100</v>
      </c>
      <c r="C1844" t="s">
        <v>774</v>
      </c>
      <c r="D1844" s="1">
        <v>45041</v>
      </c>
      <c r="E1844" t="s">
        <v>265</v>
      </c>
      <c r="F1844">
        <v>-1.0900000000000001</v>
      </c>
      <c r="G1844" t="s">
        <v>70</v>
      </c>
      <c r="H1844" t="s">
        <v>264</v>
      </c>
      <c r="I1844" t="s">
        <v>72</v>
      </c>
    </row>
    <row r="1845" spans="1:9" x14ac:dyDescent="0.25">
      <c r="A1845" t="s">
        <v>264</v>
      </c>
      <c r="B1845" t="s">
        <v>100</v>
      </c>
      <c r="C1845" t="s">
        <v>774</v>
      </c>
      <c r="D1845" s="1">
        <v>45042</v>
      </c>
      <c r="E1845" t="s">
        <v>274</v>
      </c>
      <c r="F1845">
        <v>300.04000000000002</v>
      </c>
      <c r="G1845" t="s">
        <v>74</v>
      </c>
      <c r="H1845" t="s">
        <v>256</v>
      </c>
      <c r="I1845" t="s">
        <v>346</v>
      </c>
    </row>
    <row r="1846" spans="1:9" x14ac:dyDescent="0.25">
      <c r="A1846" t="s">
        <v>264</v>
      </c>
      <c r="B1846" t="s">
        <v>100</v>
      </c>
      <c r="C1846" t="s">
        <v>774</v>
      </c>
      <c r="D1846" s="1">
        <v>45042</v>
      </c>
      <c r="E1846" t="s">
        <v>276</v>
      </c>
      <c r="F1846">
        <v>-1735.67</v>
      </c>
      <c r="G1846" t="s">
        <v>70</v>
      </c>
      <c r="H1846" t="s">
        <v>264</v>
      </c>
      <c r="I1846" t="s">
        <v>72</v>
      </c>
    </row>
    <row r="1847" spans="1:9" x14ac:dyDescent="0.25">
      <c r="A1847" t="s">
        <v>264</v>
      </c>
      <c r="B1847" t="s">
        <v>100</v>
      </c>
      <c r="C1847" t="s">
        <v>774</v>
      </c>
      <c r="D1847" s="1">
        <v>45043</v>
      </c>
      <c r="E1847" t="s">
        <v>265</v>
      </c>
      <c r="F1847">
        <v>-1673.32</v>
      </c>
      <c r="G1847" t="s">
        <v>70</v>
      </c>
      <c r="H1847" t="s">
        <v>264</v>
      </c>
      <c r="I1847" t="s">
        <v>72</v>
      </c>
    </row>
    <row r="1848" spans="1:9" x14ac:dyDescent="0.25">
      <c r="A1848" t="s">
        <v>264</v>
      </c>
      <c r="B1848" t="s">
        <v>100</v>
      </c>
      <c r="C1848" t="s">
        <v>774</v>
      </c>
      <c r="D1848" s="1">
        <v>45043</v>
      </c>
      <c r="E1848" t="s">
        <v>265</v>
      </c>
      <c r="F1848">
        <v>-161.41999999999999</v>
      </c>
      <c r="G1848" t="s">
        <v>70</v>
      </c>
      <c r="H1848" t="s">
        <v>264</v>
      </c>
      <c r="I1848" t="s">
        <v>72</v>
      </c>
    </row>
    <row r="1849" spans="1:9" x14ac:dyDescent="0.25">
      <c r="A1849" t="s">
        <v>264</v>
      </c>
      <c r="B1849" t="s">
        <v>100</v>
      </c>
      <c r="C1849" t="s">
        <v>774</v>
      </c>
      <c r="D1849" s="1">
        <v>45043</v>
      </c>
      <c r="E1849" t="s">
        <v>265</v>
      </c>
      <c r="F1849">
        <v>-3.51</v>
      </c>
      <c r="G1849" t="s">
        <v>70</v>
      </c>
      <c r="H1849" t="s">
        <v>264</v>
      </c>
      <c r="I1849" t="s">
        <v>72</v>
      </c>
    </row>
    <row r="1850" spans="1:9" x14ac:dyDescent="0.25">
      <c r="A1850" t="s">
        <v>264</v>
      </c>
      <c r="B1850" t="s">
        <v>100</v>
      </c>
      <c r="C1850" t="s">
        <v>774</v>
      </c>
      <c r="D1850" s="1">
        <v>45043</v>
      </c>
      <c r="E1850" t="s">
        <v>265</v>
      </c>
      <c r="F1850">
        <v>-18.420000000000002</v>
      </c>
      <c r="G1850" t="s">
        <v>70</v>
      </c>
      <c r="H1850" t="s">
        <v>264</v>
      </c>
      <c r="I1850" t="s">
        <v>72</v>
      </c>
    </row>
    <row r="1851" spans="1:9" x14ac:dyDescent="0.25">
      <c r="A1851" t="s">
        <v>264</v>
      </c>
      <c r="B1851" t="s">
        <v>100</v>
      </c>
      <c r="C1851" t="s">
        <v>774</v>
      </c>
      <c r="D1851" s="1">
        <v>45043</v>
      </c>
      <c r="E1851" t="s">
        <v>268</v>
      </c>
      <c r="F1851">
        <v>205.53</v>
      </c>
      <c r="G1851" t="s">
        <v>70</v>
      </c>
      <c r="H1851" t="s">
        <v>264</v>
      </c>
      <c r="I1851" t="s">
        <v>72</v>
      </c>
    </row>
    <row r="1852" spans="1:9" x14ac:dyDescent="0.25">
      <c r="A1852" t="s">
        <v>264</v>
      </c>
      <c r="B1852" t="s">
        <v>100</v>
      </c>
      <c r="C1852" t="s">
        <v>774</v>
      </c>
      <c r="D1852" s="1">
        <v>45044</v>
      </c>
      <c r="E1852" t="s">
        <v>269</v>
      </c>
      <c r="F1852">
        <v>-575.34</v>
      </c>
      <c r="G1852" t="s">
        <v>70</v>
      </c>
      <c r="H1852" t="s">
        <v>264</v>
      </c>
      <c r="I1852" t="s">
        <v>72</v>
      </c>
    </row>
    <row r="1853" spans="1:9" x14ac:dyDescent="0.25">
      <c r="A1853" t="s">
        <v>264</v>
      </c>
      <c r="B1853" t="s">
        <v>100</v>
      </c>
      <c r="C1853" t="s">
        <v>774</v>
      </c>
      <c r="D1853" s="1">
        <v>45044</v>
      </c>
      <c r="E1853" t="s">
        <v>265</v>
      </c>
      <c r="F1853">
        <v>-163.08000000000001</v>
      </c>
      <c r="G1853" t="s">
        <v>70</v>
      </c>
      <c r="H1853" t="s">
        <v>264</v>
      </c>
      <c r="I1853" t="s">
        <v>72</v>
      </c>
    </row>
    <row r="1854" spans="1:9" x14ac:dyDescent="0.25">
      <c r="A1854" t="s">
        <v>264</v>
      </c>
      <c r="B1854" t="s">
        <v>100</v>
      </c>
      <c r="C1854" t="s">
        <v>774</v>
      </c>
      <c r="D1854" s="1">
        <v>45044</v>
      </c>
      <c r="E1854" t="s">
        <v>281</v>
      </c>
      <c r="F1854">
        <v>-21.66</v>
      </c>
      <c r="G1854" t="s">
        <v>347</v>
      </c>
      <c r="H1854" t="s">
        <v>348</v>
      </c>
      <c r="I1854" t="s">
        <v>348</v>
      </c>
    </row>
    <row r="1855" spans="1:9" x14ac:dyDescent="0.25">
      <c r="A1855" t="s">
        <v>264</v>
      </c>
      <c r="B1855" t="s">
        <v>100</v>
      </c>
      <c r="C1855" t="s">
        <v>774</v>
      </c>
      <c r="D1855" s="1">
        <v>45045</v>
      </c>
      <c r="E1855" t="s">
        <v>265</v>
      </c>
      <c r="F1855">
        <v>-48.94</v>
      </c>
      <c r="G1855" t="s">
        <v>70</v>
      </c>
      <c r="H1855" t="s">
        <v>264</v>
      </c>
      <c r="I1855" t="s">
        <v>72</v>
      </c>
    </row>
    <row r="1856" spans="1:9" x14ac:dyDescent="0.25">
      <c r="A1856" t="s">
        <v>264</v>
      </c>
      <c r="B1856" t="s">
        <v>100</v>
      </c>
      <c r="C1856" t="s">
        <v>774</v>
      </c>
      <c r="D1856" s="1">
        <v>45045</v>
      </c>
      <c r="E1856" t="s">
        <v>265</v>
      </c>
      <c r="F1856">
        <v>-6.55</v>
      </c>
      <c r="G1856" t="s">
        <v>70</v>
      </c>
      <c r="H1856" t="s">
        <v>264</v>
      </c>
      <c r="I1856" t="s">
        <v>72</v>
      </c>
    </row>
    <row r="1857" spans="1:9" x14ac:dyDescent="0.25">
      <c r="A1857" t="s">
        <v>264</v>
      </c>
      <c r="B1857" t="s">
        <v>100</v>
      </c>
      <c r="C1857" t="s">
        <v>774</v>
      </c>
      <c r="D1857" s="1">
        <v>45045</v>
      </c>
      <c r="E1857" t="s">
        <v>267</v>
      </c>
      <c r="F1857">
        <v>160.25</v>
      </c>
      <c r="G1857" t="s">
        <v>70</v>
      </c>
      <c r="H1857" t="s">
        <v>264</v>
      </c>
      <c r="I1857" t="s">
        <v>72</v>
      </c>
    </row>
    <row r="1858" spans="1:9" x14ac:dyDescent="0.25">
      <c r="A1858" t="s">
        <v>264</v>
      </c>
      <c r="B1858" t="s">
        <v>100</v>
      </c>
      <c r="C1858" t="s">
        <v>774</v>
      </c>
      <c r="D1858" s="1">
        <v>45045</v>
      </c>
      <c r="E1858" t="s">
        <v>265</v>
      </c>
      <c r="F1858">
        <v>-29.72</v>
      </c>
      <c r="G1858" t="s">
        <v>70</v>
      </c>
      <c r="H1858" t="s">
        <v>264</v>
      </c>
      <c r="I1858" t="s">
        <v>72</v>
      </c>
    </row>
    <row r="1859" spans="1:9" x14ac:dyDescent="0.25">
      <c r="A1859" t="s">
        <v>264</v>
      </c>
      <c r="B1859" t="s">
        <v>100</v>
      </c>
      <c r="C1859" t="s">
        <v>774</v>
      </c>
      <c r="D1859" s="1">
        <v>45046</v>
      </c>
      <c r="E1859" t="s">
        <v>265</v>
      </c>
      <c r="F1859">
        <v>-55.92</v>
      </c>
      <c r="G1859" t="s">
        <v>70</v>
      </c>
      <c r="H1859" t="s">
        <v>264</v>
      </c>
      <c r="I1859" t="s">
        <v>72</v>
      </c>
    </row>
    <row r="1860" spans="1:9" x14ac:dyDescent="0.25">
      <c r="A1860" t="s">
        <v>264</v>
      </c>
      <c r="B1860" t="s">
        <v>100</v>
      </c>
      <c r="C1860" t="s">
        <v>774</v>
      </c>
      <c r="D1860" s="1">
        <v>45048</v>
      </c>
      <c r="E1860" t="s">
        <v>265</v>
      </c>
      <c r="F1860">
        <v>-94.97</v>
      </c>
      <c r="G1860" t="s">
        <v>70</v>
      </c>
      <c r="H1860" t="s">
        <v>264</v>
      </c>
      <c r="I1860" t="s">
        <v>72</v>
      </c>
    </row>
    <row r="1861" spans="1:9" x14ac:dyDescent="0.25">
      <c r="A1861" t="s">
        <v>264</v>
      </c>
      <c r="B1861" t="s">
        <v>100</v>
      </c>
      <c r="C1861" t="s">
        <v>774</v>
      </c>
      <c r="D1861" s="1">
        <v>45049</v>
      </c>
      <c r="E1861" t="s">
        <v>265</v>
      </c>
      <c r="F1861">
        <v>-110.17</v>
      </c>
      <c r="G1861" t="s">
        <v>70</v>
      </c>
      <c r="H1861" t="s">
        <v>264</v>
      </c>
      <c r="I1861" t="s">
        <v>72</v>
      </c>
    </row>
    <row r="1862" spans="1:9" x14ac:dyDescent="0.25">
      <c r="A1862" t="s">
        <v>264</v>
      </c>
      <c r="B1862" t="s">
        <v>100</v>
      </c>
      <c r="C1862" t="s">
        <v>774</v>
      </c>
      <c r="D1862" s="1">
        <v>45049</v>
      </c>
      <c r="E1862" t="s">
        <v>267</v>
      </c>
      <c r="F1862">
        <v>4244.8599999999997</v>
      </c>
      <c r="G1862" t="s">
        <v>70</v>
      </c>
      <c r="H1862" t="s">
        <v>264</v>
      </c>
      <c r="I1862" t="s">
        <v>72</v>
      </c>
    </row>
    <row r="1863" spans="1:9" x14ac:dyDescent="0.25">
      <c r="A1863" t="s">
        <v>264</v>
      </c>
      <c r="B1863" t="s">
        <v>100</v>
      </c>
      <c r="C1863" t="s">
        <v>774</v>
      </c>
      <c r="D1863" s="1">
        <v>45049</v>
      </c>
      <c r="E1863" t="s">
        <v>275</v>
      </c>
      <c r="F1863">
        <v>703.85</v>
      </c>
      <c r="G1863" t="s">
        <v>70</v>
      </c>
      <c r="H1863" t="s">
        <v>264</v>
      </c>
      <c r="I1863" t="s">
        <v>72</v>
      </c>
    </row>
    <row r="1864" spans="1:9" x14ac:dyDescent="0.25">
      <c r="A1864" t="s">
        <v>264</v>
      </c>
      <c r="B1864" t="s">
        <v>100</v>
      </c>
      <c r="C1864" t="s">
        <v>774</v>
      </c>
      <c r="D1864" s="1">
        <v>45050</v>
      </c>
      <c r="E1864" t="s">
        <v>268</v>
      </c>
      <c r="F1864">
        <v>38.47</v>
      </c>
      <c r="G1864" t="s">
        <v>70</v>
      </c>
      <c r="H1864" t="s">
        <v>264</v>
      </c>
      <c r="I1864" t="s">
        <v>72</v>
      </c>
    </row>
    <row r="1865" spans="1:9" x14ac:dyDescent="0.25">
      <c r="A1865" t="s">
        <v>264</v>
      </c>
      <c r="B1865" t="s">
        <v>100</v>
      </c>
      <c r="C1865" t="s">
        <v>774</v>
      </c>
      <c r="D1865" s="1">
        <v>45050</v>
      </c>
      <c r="E1865" t="s">
        <v>265</v>
      </c>
      <c r="F1865">
        <v>-167.45</v>
      </c>
      <c r="G1865" t="s">
        <v>70</v>
      </c>
      <c r="H1865" t="s">
        <v>264</v>
      </c>
      <c r="I1865" t="s">
        <v>72</v>
      </c>
    </row>
    <row r="1866" spans="1:9" x14ac:dyDescent="0.25">
      <c r="A1866" t="s">
        <v>264</v>
      </c>
      <c r="B1866" t="s">
        <v>100</v>
      </c>
      <c r="C1866" t="s">
        <v>774</v>
      </c>
      <c r="D1866" s="1">
        <v>45051</v>
      </c>
      <c r="E1866" t="s">
        <v>271</v>
      </c>
      <c r="F1866">
        <v>-812.53</v>
      </c>
      <c r="G1866" t="s">
        <v>70</v>
      </c>
      <c r="H1866" t="s">
        <v>264</v>
      </c>
      <c r="I1866" t="s">
        <v>72</v>
      </c>
    </row>
    <row r="1867" spans="1:9" x14ac:dyDescent="0.25">
      <c r="A1867" t="s">
        <v>264</v>
      </c>
      <c r="B1867" t="s">
        <v>100</v>
      </c>
      <c r="C1867" t="s">
        <v>774</v>
      </c>
      <c r="D1867" s="1">
        <v>45051</v>
      </c>
      <c r="E1867" t="s">
        <v>272</v>
      </c>
      <c r="F1867">
        <v>-206.53</v>
      </c>
      <c r="G1867" t="s">
        <v>70</v>
      </c>
      <c r="H1867" t="s">
        <v>264</v>
      </c>
      <c r="I1867" t="s">
        <v>72</v>
      </c>
    </row>
    <row r="1868" spans="1:9" x14ac:dyDescent="0.25">
      <c r="A1868" t="s">
        <v>264</v>
      </c>
      <c r="B1868" t="s">
        <v>100</v>
      </c>
      <c r="C1868" t="s">
        <v>774</v>
      </c>
      <c r="D1868" s="1">
        <v>45051</v>
      </c>
      <c r="E1868" t="s">
        <v>273</v>
      </c>
      <c r="F1868">
        <v>-35.270000000000003</v>
      </c>
      <c r="G1868" t="s">
        <v>70</v>
      </c>
      <c r="H1868" t="s">
        <v>264</v>
      </c>
      <c r="I1868" t="s">
        <v>72</v>
      </c>
    </row>
    <row r="1869" spans="1:9" x14ac:dyDescent="0.25">
      <c r="A1869" t="s">
        <v>264</v>
      </c>
      <c r="B1869" t="s">
        <v>100</v>
      </c>
      <c r="C1869" t="s">
        <v>774</v>
      </c>
      <c r="D1869" s="1">
        <v>45052</v>
      </c>
      <c r="E1869" t="s">
        <v>270</v>
      </c>
      <c r="F1869">
        <v>-15.46</v>
      </c>
      <c r="G1869" t="s">
        <v>70</v>
      </c>
      <c r="H1869" t="s">
        <v>264</v>
      </c>
      <c r="I1869" t="s">
        <v>72</v>
      </c>
    </row>
    <row r="1870" spans="1:9" x14ac:dyDescent="0.25">
      <c r="A1870" t="s">
        <v>264</v>
      </c>
      <c r="B1870" t="s">
        <v>100</v>
      </c>
      <c r="C1870" t="s">
        <v>774</v>
      </c>
      <c r="D1870" s="1">
        <v>45054</v>
      </c>
      <c r="E1870" t="s">
        <v>265</v>
      </c>
      <c r="F1870">
        <v>-83.03</v>
      </c>
      <c r="G1870" t="s">
        <v>70</v>
      </c>
      <c r="H1870" t="s">
        <v>264</v>
      </c>
      <c r="I1870" t="s">
        <v>72</v>
      </c>
    </row>
    <row r="1871" spans="1:9" x14ac:dyDescent="0.25">
      <c r="A1871" t="s">
        <v>264</v>
      </c>
      <c r="B1871" t="s">
        <v>100</v>
      </c>
      <c r="C1871" t="s">
        <v>774</v>
      </c>
      <c r="D1871" s="1">
        <v>45054</v>
      </c>
      <c r="E1871" t="s">
        <v>267</v>
      </c>
      <c r="F1871">
        <v>1508.81</v>
      </c>
      <c r="G1871" t="s">
        <v>70</v>
      </c>
      <c r="H1871" t="s">
        <v>264</v>
      </c>
      <c r="I1871" t="s">
        <v>72</v>
      </c>
    </row>
    <row r="1872" spans="1:9" x14ac:dyDescent="0.25">
      <c r="A1872" t="s">
        <v>264</v>
      </c>
      <c r="B1872" t="s">
        <v>100</v>
      </c>
      <c r="C1872" t="s">
        <v>774</v>
      </c>
      <c r="D1872" s="1">
        <v>45054</v>
      </c>
      <c r="E1872" t="s">
        <v>265</v>
      </c>
      <c r="F1872">
        <v>-1950.15</v>
      </c>
      <c r="G1872" t="s">
        <v>70</v>
      </c>
      <c r="H1872" t="s">
        <v>264</v>
      </c>
      <c r="I1872" t="s">
        <v>72</v>
      </c>
    </row>
    <row r="1873" spans="1:9" x14ac:dyDescent="0.25">
      <c r="A1873" t="s">
        <v>264</v>
      </c>
      <c r="B1873" t="s">
        <v>100</v>
      </c>
      <c r="C1873" t="s">
        <v>774</v>
      </c>
      <c r="D1873" s="1">
        <v>45054</v>
      </c>
      <c r="E1873" t="s">
        <v>265</v>
      </c>
      <c r="F1873">
        <v>-0.71</v>
      </c>
      <c r="G1873" t="s">
        <v>70</v>
      </c>
      <c r="H1873" t="s">
        <v>264</v>
      </c>
      <c r="I1873" t="s">
        <v>72</v>
      </c>
    </row>
    <row r="1874" spans="1:9" x14ac:dyDescent="0.25">
      <c r="A1874" t="s">
        <v>264</v>
      </c>
      <c r="B1874" t="s">
        <v>100</v>
      </c>
      <c r="C1874" t="s">
        <v>774</v>
      </c>
      <c r="D1874" s="1">
        <v>45055</v>
      </c>
      <c r="E1874" t="s">
        <v>265</v>
      </c>
      <c r="F1874">
        <v>-1.55</v>
      </c>
      <c r="G1874" t="s">
        <v>70</v>
      </c>
      <c r="H1874" t="s">
        <v>264</v>
      </c>
      <c r="I1874" t="s">
        <v>72</v>
      </c>
    </row>
    <row r="1875" spans="1:9" x14ac:dyDescent="0.25">
      <c r="A1875" t="s">
        <v>264</v>
      </c>
      <c r="B1875" t="s">
        <v>100</v>
      </c>
      <c r="C1875" t="s">
        <v>774</v>
      </c>
      <c r="D1875" s="1">
        <v>45056</v>
      </c>
      <c r="E1875" t="s">
        <v>267</v>
      </c>
      <c r="F1875">
        <v>2119.8000000000002</v>
      </c>
      <c r="G1875" t="s">
        <v>70</v>
      </c>
      <c r="H1875" t="s">
        <v>264</v>
      </c>
      <c r="I1875" t="s">
        <v>72</v>
      </c>
    </row>
    <row r="1876" spans="1:9" x14ac:dyDescent="0.25">
      <c r="A1876" t="s">
        <v>264</v>
      </c>
      <c r="B1876" t="s">
        <v>100</v>
      </c>
      <c r="C1876" t="s">
        <v>774</v>
      </c>
      <c r="D1876" s="1">
        <v>45056</v>
      </c>
      <c r="E1876" t="s">
        <v>268</v>
      </c>
      <c r="F1876">
        <v>575.59</v>
      </c>
      <c r="G1876" t="s">
        <v>70</v>
      </c>
      <c r="H1876" t="s">
        <v>264</v>
      </c>
      <c r="I1876" t="s">
        <v>72</v>
      </c>
    </row>
    <row r="1877" spans="1:9" x14ac:dyDescent="0.25">
      <c r="A1877" t="s">
        <v>264</v>
      </c>
      <c r="B1877" t="s">
        <v>100</v>
      </c>
      <c r="C1877" t="s">
        <v>774</v>
      </c>
      <c r="D1877" s="1">
        <v>45056</v>
      </c>
      <c r="E1877" t="s">
        <v>274</v>
      </c>
      <c r="F1877">
        <v>2900.02</v>
      </c>
      <c r="G1877" t="s">
        <v>74</v>
      </c>
      <c r="H1877" t="s">
        <v>256</v>
      </c>
      <c r="I1877" t="s">
        <v>346</v>
      </c>
    </row>
    <row r="1878" spans="1:9" x14ac:dyDescent="0.25">
      <c r="A1878" t="s">
        <v>264</v>
      </c>
      <c r="B1878" t="s">
        <v>100</v>
      </c>
      <c r="C1878" t="s">
        <v>774</v>
      </c>
      <c r="D1878" s="1">
        <v>45056</v>
      </c>
      <c r="E1878" t="s">
        <v>267</v>
      </c>
      <c r="F1878">
        <v>521.64</v>
      </c>
      <c r="G1878" t="s">
        <v>70</v>
      </c>
      <c r="H1878" t="s">
        <v>264</v>
      </c>
      <c r="I1878" t="s">
        <v>72</v>
      </c>
    </row>
    <row r="1879" spans="1:9" x14ac:dyDescent="0.25">
      <c r="A1879" t="s">
        <v>264</v>
      </c>
      <c r="B1879" t="s">
        <v>100</v>
      </c>
      <c r="C1879" t="s">
        <v>774</v>
      </c>
      <c r="D1879" s="1">
        <v>45056</v>
      </c>
      <c r="E1879" t="s">
        <v>282</v>
      </c>
      <c r="F1879">
        <v>-6950.38</v>
      </c>
      <c r="G1879" t="s">
        <v>70</v>
      </c>
      <c r="H1879" t="s">
        <v>264</v>
      </c>
      <c r="I1879" t="s">
        <v>72</v>
      </c>
    </row>
    <row r="1880" spans="1:9" x14ac:dyDescent="0.25">
      <c r="A1880" t="s">
        <v>264</v>
      </c>
      <c r="B1880" t="s">
        <v>100</v>
      </c>
      <c r="C1880" t="s">
        <v>774</v>
      </c>
      <c r="D1880" s="1">
        <v>45056</v>
      </c>
      <c r="E1880" t="s">
        <v>276</v>
      </c>
      <c r="F1880">
        <v>-1869.07</v>
      </c>
      <c r="G1880" t="s">
        <v>70</v>
      </c>
      <c r="H1880" t="s">
        <v>264</v>
      </c>
      <c r="I1880" t="s">
        <v>72</v>
      </c>
    </row>
    <row r="1881" spans="1:9" x14ac:dyDescent="0.25">
      <c r="A1881" t="s">
        <v>264</v>
      </c>
      <c r="B1881" t="s">
        <v>100</v>
      </c>
      <c r="C1881" t="s">
        <v>774</v>
      </c>
      <c r="D1881" s="1">
        <v>45056</v>
      </c>
      <c r="E1881" t="s">
        <v>267</v>
      </c>
      <c r="F1881">
        <v>672.05</v>
      </c>
      <c r="G1881" t="s">
        <v>70</v>
      </c>
      <c r="H1881" t="s">
        <v>264</v>
      </c>
      <c r="I1881" t="s">
        <v>72</v>
      </c>
    </row>
    <row r="1882" spans="1:9" x14ac:dyDescent="0.25">
      <c r="A1882" t="s">
        <v>264</v>
      </c>
      <c r="B1882" t="s">
        <v>100</v>
      </c>
      <c r="C1882" t="s">
        <v>774</v>
      </c>
      <c r="D1882" s="1">
        <v>45057</v>
      </c>
      <c r="E1882" t="s">
        <v>265</v>
      </c>
      <c r="F1882">
        <v>-3.5</v>
      </c>
      <c r="G1882" t="s">
        <v>70</v>
      </c>
      <c r="H1882" t="s">
        <v>264</v>
      </c>
      <c r="I1882" t="s">
        <v>72</v>
      </c>
    </row>
    <row r="1883" spans="1:9" x14ac:dyDescent="0.25">
      <c r="A1883" t="s">
        <v>264</v>
      </c>
      <c r="B1883" t="s">
        <v>100</v>
      </c>
      <c r="C1883" t="s">
        <v>774</v>
      </c>
      <c r="D1883" s="1">
        <v>45057</v>
      </c>
      <c r="E1883" t="s">
        <v>277</v>
      </c>
      <c r="F1883">
        <v>-79.349999999999994</v>
      </c>
      <c r="G1883" t="s">
        <v>70</v>
      </c>
      <c r="H1883" t="s">
        <v>264</v>
      </c>
      <c r="I1883" t="s">
        <v>72</v>
      </c>
    </row>
    <row r="1884" spans="1:9" x14ac:dyDescent="0.25">
      <c r="A1884" t="s">
        <v>264</v>
      </c>
      <c r="B1884" t="s">
        <v>100</v>
      </c>
      <c r="C1884" t="s">
        <v>774</v>
      </c>
      <c r="D1884" s="1">
        <v>45057</v>
      </c>
      <c r="E1884" t="s">
        <v>265</v>
      </c>
      <c r="F1884">
        <v>-1.43</v>
      </c>
      <c r="G1884" t="s">
        <v>70</v>
      </c>
      <c r="H1884" t="s">
        <v>264</v>
      </c>
      <c r="I1884" t="s">
        <v>72</v>
      </c>
    </row>
    <row r="1885" spans="1:9" x14ac:dyDescent="0.25">
      <c r="A1885" t="s">
        <v>264</v>
      </c>
      <c r="B1885" t="s">
        <v>100</v>
      </c>
      <c r="C1885" t="s">
        <v>774</v>
      </c>
      <c r="D1885" s="1">
        <v>45057</v>
      </c>
      <c r="E1885" t="s">
        <v>265</v>
      </c>
      <c r="F1885">
        <v>-8.82</v>
      </c>
      <c r="G1885" t="s">
        <v>70</v>
      </c>
      <c r="H1885" t="s">
        <v>264</v>
      </c>
      <c r="I1885" t="s">
        <v>72</v>
      </c>
    </row>
    <row r="1886" spans="1:9" x14ac:dyDescent="0.25">
      <c r="A1886" t="s">
        <v>264</v>
      </c>
      <c r="B1886" t="s">
        <v>100</v>
      </c>
      <c r="C1886" t="s">
        <v>774</v>
      </c>
      <c r="D1886" s="1">
        <v>45057</v>
      </c>
      <c r="E1886" t="s">
        <v>265</v>
      </c>
      <c r="F1886">
        <v>-20.149999999999999</v>
      </c>
      <c r="G1886" t="s">
        <v>70</v>
      </c>
      <c r="H1886" t="s">
        <v>264</v>
      </c>
      <c r="I1886" t="s">
        <v>72</v>
      </c>
    </row>
    <row r="1887" spans="1:9" x14ac:dyDescent="0.25">
      <c r="A1887" t="s">
        <v>264</v>
      </c>
      <c r="B1887" t="s">
        <v>100</v>
      </c>
      <c r="C1887" t="s">
        <v>774</v>
      </c>
      <c r="D1887" s="1">
        <v>45057</v>
      </c>
      <c r="E1887" t="s">
        <v>283</v>
      </c>
      <c r="F1887">
        <v>-51.43</v>
      </c>
      <c r="G1887" t="s">
        <v>350</v>
      </c>
      <c r="H1887" t="s">
        <v>351</v>
      </c>
      <c r="I1887" t="s">
        <v>351</v>
      </c>
    </row>
    <row r="1888" spans="1:9" x14ac:dyDescent="0.25">
      <c r="A1888" t="s">
        <v>264</v>
      </c>
      <c r="B1888" t="s">
        <v>100</v>
      </c>
      <c r="C1888" t="s">
        <v>774</v>
      </c>
      <c r="D1888" s="1">
        <v>45058</v>
      </c>
      <c r="E1888" t="s">
        <v>284</v>
      </c>
      <c r="F1888">
        <v>-9.75</v>
      </c>
      <c r="G1888" t="s">
        <v>347</v>
      </c>
      <c r="H1888" t="s">
        <v>348</v>
      </c>
      <c r="I1888" t="s">
        <v>348</v>
      </c>
    </row>
    <row r="1889" spans="1:9" x14ac:dyDescent="0.25">
      <c r="A1889" t="s">
        <v>264</v>
      </c>
      <c r="B1889" t="s">
        <v>100</v>
      </c>
      <c r="C1889" t="s">
        <v>774</v>
      </c>
      <c r="D1889" s="1">
        <v>45059</v>
      </c>
      <c r="E1889" t="s">
        <v>265</v>
      </c>
      <c r="F1889">
        <v>-0.19</v>
      </c>
      <c r="G1889" t="s">
        <v>70</v>
      </c>
      <c r="H1889" t="s">
        <v>264</v>
      </c>
      <c r="I1889" t="s">
        <v>72</v>
      </c>
    </row>
    <row r="1890" spans="1:9" x14ac:dyDescent="0.25">
      <c r="A1890" t="s">
        <v>264</v>
      </c>
      <c r="B1890" t="s">
        <v>100</v>
      </c>
      <c r="C1890" t="s">
        <v>774</v>
      </c>
      <c r="D1890" s="1">
        <v>45059</v>
      </c>
      <c r="E1890" t="s">
        <v>285</v>
      </c>
      <c r="F1890">
        <v>-52.9</v>
      </c>
      <c r="G1890" t="s">
        <v>79</v>
      </c>
      <c r="H1890" t="s">
        <v>96</v>
      </c>
      <c r="I1890" t="s">
        <v>96</v>
      </c>
    </row>
    <row r="1891" spans="1:9" x14ac:dyDescent="0.25">
      <c r="A1891" t="s">
        <v>264</v>
      </c>
      <c r="B1891" t="s">
        <v>100</v>
      </c>
      <c r="C1891" t="s">
        <v>774</v>
      </c>
      <c r="D1891" s="1">
        <v>45059</v>
      </c>
      <c r="E1891" t="s">
        <v>267</v>
      </c>
      <c r="F1891">
        <v>67.86</v>
      </c>
      <c r="G1891" t="s">
        <v>70</v>
      </c>
      <c r="H1891" t="s">
        <v>264</v>
      </c>
      <c r="I1891" t="s">
        <v>72</v>
      </c>
    </row>
    <row r="1892" spans="1:9" x14ac:dyDescent="0.25">
      <c r="A1892" t="s">
        <v>264</v>
      </c>
      <c r="B1892" t="s">
        <v>100</v>
      </c>
      <c r="C1892" t="s">
        <v>774</v>
      </c>
      <c r="D1892" s="1">
        <v>45059</v>
      </c>
      <c r="E1892" t="s">
        <v>285</v>
      </c>
      <c r="F1892">
        <v>-12.64</v>
      </c>
      <c r="G1892" t="s">
        <v>79</v>
      </c>
      <c r="H1892" t="s">
        <v>96</v>
      </c>
      <c r="I1892" t="s">
        <v>96</v>
      </c>
    </row>
    <row r="1893" spans="1:9" x14ac:dyDescent="0.25">
      <c r="A1893" t="s">
        <v>264</v>
      </c>
      <c r="B1893" t="s">
        <v>100</v>
      </c>
      <c r="C1893" t="s">
        <v>774</v>
      </c>
      <c r="D1893" s="1">
        <v>45061</v>
      </c>
      <c r="E1893" t="s">
        <v>267</v>
      </c>
      <c r="F1893">
        <v>312.23</v>
      </c>
      <c r="G1893" t="s">
        <v>70</v>
      </c>
      <c r="H1893" t="s">
        <v>264</v>
      </c>
      <c r="I1893" t="s">
        <v>72</v>
      </c>
    </row>
    <row r="1894" spans="1:9" x14ac:dyDescent="0.25">
      <c r="A1894" t="s">
        <v>264</v>
      </c>
      <c r="B1894" t="s">
        <v>100</v>
      </c>
      <c r="C1894" t="s">
        <v>774</v>
      </c>
      <c r="D1894" s="1">
        <v>45061</v>
      </c>
      <c r="E1894" t="s">
        <v>265</v>
      </c>
      <c r="F1894">
        <v>-119.6</v>
      </c>
      <c r="G1894" t="s">
        <v>70</v>
      </c>
      <c r="H1894" t="s">
        <v>264</v>
      </c>
      <c r="I1894" t="s">
        <v>72</v>
      </c>
    </row>
    <row r="1895" spans="1:9" x14ac:dyDescent="0.25">
      <c r="A1895" t="s">
        <v>264</v>
      </c>
      <c r="B1895" t="s">
        <v>100</v>
      </c>
      <c r="C1895" t="s">
        <v>774</v>
      </c>
      <c r="D1895" s="1">
        <v>45061</v>
      </c>
      <c r="E1895" t="s">
        <v>286</v>
      </c>
      <c r="F1895">
        <v>-110.09</v>
      </c>
      <c r="G1895" t="s">
        <v>70</v>
      </c>
      <c r="H1895" t="s">
        <v>264</v>
      </c>
      <c r="I1895" t="s">
        <v>72</v>
      </c>
    </row>
    <row r="1896" spans="1:9" x14ac:dyDescent="0.25">
      <c r="A1896" t="s">
        <v>264</v>
      </c>
      <c r="B1896" t="s">
        <v>100</v>
      </c>
      <c r="C1896" t="s">
        <v>774</v>
      </c>
      <c r="D1896" s="1">
        <v>45061</v>
      </c>
      <c r="E1896" t="s">
        <v>265</v>
      </c>
      <c r="F1896">
        <v>0</v>
      </c>
      <c r="G1896" t="s">
        <v>70</v>
      </c>
      <c r="H1896" t="s">
        <v>264</v>
      </c>
      <c r="I1896" t="s">
        <v>72</v>
      </c>
    </row>
    <row r="1897" spans="1:9" x14ac:dyDescent="0.25">
      <c r="A1897" t="s">
        <v>264</v>
      </c>
      <c r="B1897" t="s">
        <v>100</v>
      </c>
      <c r="C1897" t="s">
        <v>774</v>
      </c>
      <c r="D1897" s="1">
        <v>45062</v>
      </c>
      <c r="E1897" t="s">
        <v>265</v>
      </c>
      <c r="F1897">
        <v>-124.32</v>
      </c>
      <c r="G1897" t="s">
        <v>70</v>
      </c>
      <c r="H1897" t="s">
        <v>264</v>
      </c>
      <c r="I1897" t="s">
        <v>72</v>
      </c>
    </row>
    <row r="1898" spans="1:9" x14ac:dyDescent="0.25">
      <c r="A1898" t="s">
        <v>264</v>
      </c>
      <c r="B1898" t="s">
        <v>100</v>
      </c>
      <c r="C1898" t="s">
        <v>774</v>
      </c>
      <c r="D1898" s="1">
        <v>45063</v>
      </c>
      <c r="E1898" t="s">
        <v>287</v>
      </c>
      <c r="F1898">
        <v>-3.49</v>
      </c>
      <c r="G1898" t="s">
        <v>92</v>
      </c>
      <c r="H1898" t="s">
        <v>349</v>
      </c>
      <c r="I1898" t="s">
        <v>349</v>
      </c>
    </row>
    <row r="1899" spans="1:9" x14ac:dyDescent="0.25">
      <c r="A1899" t="s">
        <v>264</v>
      </c>
      <c r="B1899" t="s">
        <v>100</v>
      </c>
      <c r="C1899" t="s">
        <v>774</v>
      </c>
      <c r="D1899" s="1">
        <v>45064</v>
      </c>
      <c r="E1899" t="s">
        <v>267</v>
      </c>
      <c r="F1899">
        <v>3620.84</v>
      </c>
      <c r="G1899" t="s">
        <v>70</v>
      </c>
      <c r="H1899" t="s">
        <v>264</v>
      </c>
      <c r="I1899" t="s">
        <v>72</v>
      </c>
    </row>
    <row r="1900" spans="1:9" x14ac:dyDescent="0.25">
      <c r="A1900" t="s">
        <v>264</v>
      </c>
      <c r="B1900" t="s">
        <v>100</v>
      </c>
      <c r="C1900" t="s">
        <v>774</v>
      </c>
      <c r="D1900" s="1">
        <v>45064</v>
      </c>
      <c r="E1900" t="s">
        <v>275</v>
      </c>
      <c r="F1900">
        <v>18.260000000000002</v>
      </c>
      <c r="G1900" t="s">
        <v>70</v>
      </c>
      <c r="H1900" t="s">
        <v>264</v>
      </c>
      <c r="I1900" t="s">
        <v>72</v>
      </c>
    </row>
    <row r="1901" spans="1:9" x14ac:dyDescent="0.25">
      <c r="A1901" t="s">
        <v>264</v>
      </c>
      <c r="B1901" t="s">
        <v>100</v>
      </c>
      <c r="C1901" t="s">
        <v>774</v>
      </c>
      <c r="D1901" s="1">
        <v>45065</v>
      </c>
      <c r="E1901" t="s">
        <v>267</v>
      </c>
      <c r="F1901">
        <v>19.61</v>
      </c>
      <c r="G1901" t="s">
        <v>70</v>
      </c>
      <c r="H1901" t="s">
        <v>264</v>
      </c>
      <c r="I1901" t="s">
        <v>72</v>
      </c>
    </row>
    <row r="1902" spans="1:9" x14ac:dyDescent="0.25">
      <c r="A1902" t="s">
        <v>264</v>
      </c>
      <c r="B1902" t="s">
        <v>100</v>
      </c>
      <c r="C1902" t="s">
        <v>774</v>
      </c>
      <c r="D1902" s="1">
        <v>45065</v>
      </c>
      <c r="E1902" t="s">
        <v>270</v>
      </c>
      <c r="F1902">
        <v>-57.58</v>
      </c>
      <c r="G1902" t="s">
        <v>70</v>
      </c>
      <c r="H1902" t="s">
        <v>264</v>
      </c>
      <c r="I1902" t="s">
        <v>72</v>
      </c>
    </row>
    <row r="1903" spans="1:9" x14ac:dyDescent="0.25">
      <c r="A1903" t="s">
        <v>264</v>
      </c>
      <c r="B1903" t="s">
        <v>100</v>
      </c>
      <c r="C1903" t="s">
        <v>774</v>
      </c>
      <c r="D1903" s="1">
        <v>45065</v>
      </c>
      <c r="E1903" t="s">
        <v>267</v>
      </c>
      <c r="F1903">
        <v>157.91999999999999</v>
      </c>
      <c r="G1903" t="s">
        <v>70</v>
      </c>
      <c r="H1903" t="s">
        <v>264</v>
      </c>
      <c r="I1903" t="s">
        <v>72</v>
      </c>
    </row>
    <row r="1904" spans="1:9" x14ac:dyDescent="0.25">
      <c r="A1904" t="s">
        <v>264</v>
      </c>
      <c r="B1904" t="s">
        <v>100</v>
      </c>
      <c r="C1904" t="s">
        <v>774</v>
      </c>
      <c r="D1904" s="1">
        <v>45065</v>
      </c>
      <c r="E1904" t="s">
        <v>265</v>
      </c>
      <c r="F1904">
        <v>-95.32</v>
      </c>
      <c r="G1904" t="s">
        <v>70</v>
      </c>
      <c r="H1904" t="s">
        <v>264</v>
      </c>
      <c r="I1904" t="s">
        <v>72</v>
      </c>
    </row>
    <row r="1905" spans="1:9" x14ac:dyDescent="0.25">
      <c r="A1905" t="s">
        <v>264</v>
      </c>
      <c r="B1905" t="s">
        <v>100</v>
      </c>
      <c r="C1905" t="s">
        <v>774</v>
      </c>
      <c r="D1905" s="1">
        <v>45065</v>
      </c>
      <c r="E1905" t="s">
        <v>267</v>
      </c>
      <c r="F1905">
        <v>80.52</v>
      </c>
      <c r="G1905" t="s">
        <v>70</v>
      </c>
      <c r="H1905" t="s">
        <v>264</v>
      </c>
      <c r="I1905" t="s">
        <v>72</v>
      </c>
    </row>
    <row r="1906" spans="1:9" x14ac:dyDescent="0.25">
      <c r="A1906" t="s">
        <v>264</v>
      </c>
      <c r="B1906" t="s">
        <v>100</v>
      </c>
      <c r="C1906" t="s">
        <v>774</v>
      </c>
      <c r="D1906" s="1">
        <v>45065</v>
      </c>
      <c r="E1906" t="s">
        <v>286</v>
      </c>
      <c r="F1906">
        <v>-117.06</v>
      </c>
      <c r="G1906" t="s">
        <v>70</v>
      </c>
      <c r="H1906" t="s">
        <v>264</v>
      </c>
      <c r="I1906" t="s">
        <v>72</v>
      </c>
    </row>
    <row r="1907" spans="1:9" x14ac:dyDescent="0.25">
      <c r="A1907" t="s">
        <v>264</v>
      </c>
      <c r="B1907" t="s">
        <v>100</v>
      </c>
      <c r="C1907" t="s">
        <v>774</v>
      </c>
      <c r="D1907" s="1">
        <v>45065</v>
      </c>
      <c r="E1907" t="s">
        <v>271</v>
      </c>
      <c r="F1907">
        <v>-928.94</v>
      </c>
      <c r="G1907" t="s">
        <v>70</v>
      </c>
      <c r="H1907" t="s">
        <v>264</v>
      </c>
      <c r="I1907" t="s">
        <v>72</v>
      </c>
    </row>
    <row r="1908" spans="1:9" x14ac:dyDescent="0.25">
      <c r="A1908" t="s">
        <v>264</v>
      </c>
      <c r="B1908" t="s">
        <v>100</v>
      </c>
      <c r="C1908" t="s">
        <v>774</v>
      </c>
      <c r="D1908" s="1">
        <v>45065</v>
      </c>
      <c r="E1908" t="s">
        <v>272</v>
      </c>
      <c r="F1908">
        <v>-453.7</v>
      </c>
      <c r="G1908" t="s">
        <v>70</v>
      </c>
      <c r="H1908" t="s">
        <v>264</v>
      </c>
      <c r="I1908" t="s">
        <v>72</v>
      </c>
    </row>
    <row r="1909" spans="1:9" x14ac:dyDescent="0.25">
      <c r="A1909" t="s">
        <v>264</v>
      </c>
      <c r="B1909" t="s">
        <v>100</v>
      </c>
      <c r="C1909" t="s">
        <v>774</v>
      </c>
      <c r="D1909" s="1">
        <v>45065</v>
      </c>
      <c r="E1909" t="s">
        <v>273</v>
      </c>
      <c r="F1909">
        <v>-472.63</v>
      </c>
      <c r="G1909" t="s">
        <v>70</v>
      </c>
      <c r="H1909" t="s">
        <v>264</v>
      </c>
      <c r="I1909" t="s">
        <v>72</v>
      </c>
    </row>
    <row r="1910" spans="1:9" x14ac:dyDescent="0.25">
      <c r="A1910" t="s">
        <v>264</v>
      </c>
      <c r="B1910" t="s">
        <v>100</v>
      </c>
      <c r="C1910" t="s">
        <v>774</v>
      </c>
      <c r="D1910" s="1">
        <v>45066</v>
      </c>
      <c r="E1910" t="s">
        <v>267</v>
      </c>
      <c r="F1910">
        <v>376.25</v>
      </c>
      <c r="G1910" t="s">
        <v>70</v>
      </c>
      <c r="H1910" t="s">
        <v>264</v>
      </c>
      <c r="I1910" t="s">
        <v>72</v>
      </c>
    </row>
    <row r="1911" spans="1:9" x14ac:dyDescent="0.25">
      <c r="A1911" t="s">
        <v>264</v>
      </c>
      <c r="B1911" t="s">
        <v>100</v>
      </c>
      <c r="C1911" t="s">
        <v>774</v>
      </c>
      <c r="D1911" s="1">
        <v>45066</v>
      </c>
      <c r="E1911" t="s">
        <v>265</v>
      </c>
      <c r="F1911">
        <v>-297.18</v>
      </c>
      <c r="G1911" t="s">
        <v>70</v>
      </c>
      <c r="H1911" t="s">
        <v>264</v>
      </c>
      <c r="I1911" t="s">
        <v>72</v>
      </c>
    </row>
    <row r="1912" spans="1:9" x14ac:dyDescent="0.25">
      <c r="A1912" t="s">
        <v>264</v>
      </c>
      <c r="B1912" t="s">
        <v>100</v>
      </c>
      <c r="C1912" t="s">
        <v>774</v>
      </c>
      <c r="D1912" s="1">
        <v>45067</v>
      </c>
      <c r="E1912" t="s">
        <v>265</v>
      </c>
      <c r="F1912">
        <v>-122.24</v>
      </c>
      <c r="G1912" t="s">
        <v>70</v>
      </c>
      <c r="H1912" t="s">
        <v>264</v>
      </c>
      <c r="I1912" t="s">
        <v>72</v>
      </c>
    </row>
    <row r="1913" spans="1:9" x14ac:dyDescent="0.25">
      <c r="A1913" t="s">
        <v>264</v>
      </c>
      <c r="B1913" t="s">
        <v>100</v>
      </c>
      <c r="C1913" t="s">
        <v>774</v>
      </c>
      <c r="D1913" s="1">
        <v>45069</v>
      </c>
      <c r="E1913" t="s">
        <v>286</v>
      </c>
      <c r="F1913">
        <v>-4.49</v>
      </c>
      <c r="G1913" t="s">
        <v>70</v>
      </c>
      <c r="H1913" t="s">
        <v>264</v>
      </c>
      <c r="I1913" t="s">
        <v>72</v>
      </c>
    </row>
    <row r="1914" spans="1:9" x14ac:dyDescent="0.25">
      <c r="A1914" t="s">
        <v>264</v>
      </c>
      <c r="B1914" t="s">
        <v>100</v>
      </c>
      <c r="C1914" t="s">
        <v>774</v>
      </c>
      <c r="D1914" s="1">
        <v>45070</v>
      </c>
      <c r="E1914" t="s">
        <v>274</v>
      </c>
      <c r="F1914">
        <v>2772.66</v>
      </c>
      <c r="G1914" t="s">
        <v>74</v>
      </c>
      <c r="H1914" t="s">
        <v>256</v>
      </c>
      <c r="I1914" t="s">
        <v>346</v>
      </c>
    </row>
    <row r="1915" spans="1:9" x14ac:dyDescent="0.25">
      <c r="A1915" t="s">
        <v>264</v>
      </c>
      <c r="B1915" t="s">
        <v>100</v>
      </c>
      <c r="C1915" t="s">
        <v>774</v>
      </c>
      <c r="D1915" s="1">
        <v>45070</v>
      </c>
      <c r="E1915" t="s">
        <v>268</v>
      </c>
      <c r="F1915">
        <v>1004.96</v>
      </c>
      <c r="G1915" t="s">
        <v>70</v>
      </c>
      <c r="H1915" t="s">
        <v>264</v>
      </c>
      <c r="I1915" t="s">
        <v>72</v>
      </c>
    </row>
    <row r="1916" spans="1:9" x14ac:dyDescent="0.25">
      <c r="A1916" t="s">
        <v>264</v>
      </c>
      <c r="B1916" t="s">
        <v>100</v>
      </c>
      <c r="C1916" t="s">
        <v>774</v>
      </c>
      <c r="D1916" s="1">
        <v>45070</v>
      </c>
      <c r="E1916" t="s">
        <v>288</v>
      </c>
      <c r="F1916">
        <v>-1013.04</v>
      </c>
      <c r="G1916" t="s">
        <v>70</v>
      </c>
      <c r="H1916" t="s">
        <v>264</v>
      </c>
      <c r="I1916" t="s">
        <v>72</v>
      </c>
    </row>
    <row r="1917" spans="1:9" x14ac:dyDescent="0.25">
      <c r="A1917" t="s">
        <v>264</v>
      </c>
      <c r="B1917" t="s">
        <v>100</v>
      </c>
      <c r="C1917" t="s">
        <v>774</v>
      </c>
      <c r="D1917" s="1">
        <v>45070</v>
      </c>
      <c r="E1917" t="s">
        <v>276</v>
      </c>
      <c r="F1917">
        <v>-2392</v>
      </c>
      <c r="G1917" t="s">
        <v>70</v>
      </c>
      <c r="H1917" t="s">
        <v>264</v>
      </c>
      <c r="I1917" t="s">
        <v>72</v>
      </c>
    </row>
    <row r="1918" spans="1:9" x14ac:dyDescent="0.25">
      <c r="A1918" t="s">
        <v>264</v>
      </c>
      <c r="B1918" t="s">
        <v>100</v>
      </c>
      <c r="C1918" t="s">
        <v>774</v>
      </c>
      <c r="D1918" s="1">
        <v>45071</v>
      </c>
      <c r="E1918" t="s">
        <v>269</v>
      </c>
      <c r="F1918">
        <v>-1160.74</v>
      </c>
      <c r="G1918" t="s">
        <v>70</v>
      </c>
      <c r="H1918" t="s">
        <v>264</v>
      </c>
      <c r="I1918" t="s">
        <v>72</v>
      </c>
    </row>
    <row r="1919" spans="1:9" x14ac:dyDescent="0.25">
      <c r="A1919" t="s">
        <v>264</v>
      </c>
      <c r="B1919" t="s">
        <v>100</v>
      </c>
      <c r="C1919" t="s">
        <v>774</v>
      </c>
      <c r="D1919" s="1">
        <v>45072</v>
      </c>
      <c r="E1919" t="s">
        <v>267</v>
      </c>
      <c r="F1919">
        <v>89.88</v>
      </c>
      <c r="G1919" t="s">
        <v>70</v>
      </c>
      <c r="H1919" t="s">
        <v>264</v>
      </c>
      <c r="I1919" t="s">
        <v>72</v>
      </c>
    </row>
    <row r="1920" spans="1:9" x14ac:dyDescent="0.25">
      <c r="A1920" t="s">
        <v>264</v>
      </c>
      <c r="B1920" t="s">
        <v>100</v>
      </c>
      <c r="C1920" t="s">
        <v>774</v>
      </c>
      <c r="D1920" s="1">
        <v>45072</v>
      </c>
      <c r="E1920" t="s">
        <v>265</v>
      </c>
      <c r="F1920">
        <v>-137.38</v>
      </c>
      <c r="G1920" t="s">
        <v>70</v>
      </c>
      <c r="H1920" t="s">
        <v>264</v>
      </c>
      <c r="I1920" t="s">
        <v>72</v>
      </c>
    </row>
    <row r="1921" spans="1:9" x14ac:dyDescent="0.25">
      <c r="A1921" t="s">
        <v>264</v>
      </c>
      <c r="B1921" t="s">
        <v>100</v>
      </c>
      <c r="C1921" t="s">
        <v>774</v>
      </c>
      <c r="D1921" s="1">
        <v>45072</v>
      </c>
      <c r="E1921" t="s">
        <v>289</v>
      </c>
      <c r="F1921">
        <v>-14.6</v>
      </c>
      <c r="G1921" t="s">
        <v>347</v>
      </c>
      <c r="H1921" t="s">
        <v>348</v>
      </c>
      <c r="I1921" t="s">
        <v>348</v>
      </c>
    </row>
    <row r="1922" spans="1:9" x14ac:dyDescent="0.25">
      <c r="A1922" t="s">
        <v>264</v>
      </c>
      <c r="B1922" t="s">
        <v>100</v>
      </c>
      <c r="C1922" t="s">
        <v>774</v>
      </c>
      <c r="D1922" s="1">
        <v>45073</v>
      </c>
      <c r="E1922" t="s">
        <v>290</v>
      </c>
      <c r="F1922">
        <v>2073.63</v>
      </c>
      <c r="G1922" t="s">
        <v>70</v>
      </c>
      <c r="H1922" t="s">
        <v>264</v>
      </c>
      <c r="I1922" t="s">
        <v>72</v>
      </c>
    </row>
    <row r="1923" spans="1:9" x14ac:dyDescent="0.25">
      <c r="A1923" t="s">
        <v>264</v>
      </c>
      <c r="B1923" t="s">
        <v>100</v>
      </c>
      <c r="C1923" t="s">
        <v>774</v>
      </c>
      <c r="D1923" s="1">
        <v>45073</v>
      </c>
      <c r="E1923" t="s">
        <v>265</v>
      </c>
      <c r="F1923">
        <v>-2955.52</v>
      </c>
      <c r="G1923" t="s">
        <v>70</v>
      </c>
      <c r="H1923" t="s">
        <v>264</v>
      </c>
      <c r="I1923" t="s">
        <v>72</v>
      </c>
    </row>
    <row r="1924" spans="1:9" x14ac:dyDescent="0.25">
      <c r="A1924" t="s">
        <v>264</v>
      </c>
      <c r="B1924" t="s">
        <v>100</v>
      </c>
      <c r="C1924" t="s">
        <v>774</v>
      </c>
      <c r="D1924" s="1">
        <v>45073</v>
      </c>
      <c r="E1924" t="s">
        <v>267</v>
      </c>
      <c r="F1924">
        <v>107.46</v>
      </c>
      <c r="G1924" t="s">
        <v>70</v>
      </c>
      <c r="H1924" t="s">
        <v>264</v>
      </c>
      <c r="I1924" t="s">
        <v>72</v>
      </c>
    </row>
    <row r="1925" spans="1:9" x14ac:dyDescent="0.25">
      <c r="A1925" t="s">
        <v>264</v>
      </c>
      <c r="B1925" t="s">
        <v>100</v>
      </c>
      <c r="C1925" t="s">
        <v>774</v>
      </c>
      <c r="D1925" s="1">
        <v>45073</v>
      </c>
      <c r="E1925" t="s">
        <v>265</v>
      </c>
      <c r="F1925">
        <v>-26.17</v>
      </c>
      <c r="G1925" t="s">
        <v>70</v>
      </c>
      <c r="H1925" t="s">
        <v>264</v>
      </c>
      <c r="I1925" t="s">
        <v>72</v>
      </c>
    </row>
    <row r="1926" spans="1:9" x14ac:dyDescent="0.25">
      <c r="A1926" t="s">
        <v>264</v>
      </c>
      <c r="B1926" t="s">
        <v>100</v>
      </c>
      <c r="C1926" t="s">
        <v>774</v>
      </c>
      <c r="D1926" s="1">
        <v>45077</v>
      </c>
      <c r="E1926" t="s">
        <v>267</v>
      </c>
      <c r="F1926">
        <v>2309.4699999999998</v>
      </c>
      <c r="G1926" t="s">
        <v>70</v>
      </c>
      <c r="H1926" t="s">
        <v>264</v>
      </c>
      <c r="I1926" t="s">
        <v>72</v>
      </c>
    </row>
    <row r="1927" spans="1:9" x14ac:dyDescent="0.25">
      <c r="A1927" t="s">
        <v>264</v>
      </c>
      <c r="B1927" t="s">
        <v>100</v>
      </c>
      <c r="C1927" t="s">
        <v>774</v>
      </c>
      <c r="D1927" s="1">
        <v>45077</v>
      </c>
      <c r="E1927" t="s">
        <v>265</v>
      </c>
      <c r="F1927">
        <v>-101.8</v>
      </c>
      <c r="G1927" t="s">
        <v>70</v>
      </c>
      <c r="H1927" t="s">
        <v>264</v>
      </c>
      <c r="I1927" t="s">
        <v>72</v>
      </c>
    </row>
    <row r="1928" spans="1:9" x14ac:dyDescent="0.25">
      <c r="A1928" t="s">
        <v>264</v>
      </c>
      <c r="B1928" t="s">
        <v>100</v>
      </c>
      <c r="C1928" t="s">
        <v>774</v>
      </c>
      <c r="D1928" s="1">
        <v>45077</v>
      </c>
      <c r="E1928" t="s">
        <v>275</v>
      </c>
      <c r="F1928">
        <v>324.29000000000002</v>
      </c>
      <c r="G1928" t="s">
        <v>70</v>
      </c>
      <c r="H1928" t="s">
        <v>264</v>
      </c>
      <c r="I1928" t="s">
        <v>72</v>
      </c>
    </row>
    <row r="1929" spans="1:9" x14ac:dyDescent="0.25">
      <c r="A1929" t="s">
        <v>264</v>
      </c>
      <c r="B1929" t="s">
        <v>100</v>
      </c>
      <c r="C1929" t="s">
        <v>774</v>
      </c>
      <c r="D1929" s="1">
        <v>45079</v>
      </c>
      <c r="E1929" t="s">
        <v>267</v>
      </c>
      <c r="F1929">
        <v>283.72000000000003</v>
      </c>
      <c r="G1929" t="s">
        <v>70</v>
      </c>
      <c r="H1929" t="s">
        <v>264</v>
      </c>
      <c r="I1929" t="s">
        <v>72</v>
      </c>
    </row>
    <row r="1930" spans="1:9" x14ac:dyDescent="0.25">
      <c r="A1930" t="s">
        <v>264</v>
      </c>
      <c r="B1930" t="s">
        <v>100</v>
      </c>
      <c r="C1930" t="s">
        <v>774</v>
      </c>
      <c r="D1930" s="1">
        <v>45079</v>
      </c>
      <c r="E1930" t="s">
        <v>265</v>
      </c>
      <c r="F1930">
        <v>-82.72</v>
      </c>
      <c r="G1930" t="s">
        <v>70</v>
      </c>
      <c r="H1930" t="s">
        <v>264</v>
      </c>
      <c r="I1930" t="s">
        <v>72</v>
      </c>
    </row>
    <row r="1931" spans="1:9" x14ac:dyDescent="0.25">
      <c r="A1931" t="s">
        <v>264</v>
      </c>
      <c r="B1931" t="s">
        <v>100</v>
      </c>
      <c r="C1931" t="s">
        <v>774</v>
      </c>
      <c r="D1931" s="1">
        <v>45079</v>
      </c>
      <c r="E1931" t="s">
        <v>271</v>
      </c>
      <c r="F1931">
        <v>-1426.31</v>
      </c>
      <c r="G1931" t="s">
        <v>70</v>
      </c>
      <c r="H1931" t="s">
        <v>264</v>
      </c>
      <c r="I1931" t="s">
        <v>72</v>
      </c>
    </row>
    <row r="1932" spans="1:9" x14ac:dyDescent="0.25">
      <c r="A1932" t="s">
        <v>264</v>
      </c>
      <c r="B1932" t="s">
        <v>100</v>
      </c>
      <c r="C1932" t="s">
        <v>774</v>
      </c>
      <c r="D1932" s="1">
        <v>45079</v>
      </c>
      <c r="E1932" t="s">
        <v>272</v>
      </c>
      <c r="F1932">
        <v>-741.94</v>
      </c>
      <c r="G1932" t="s">
        <v>70</v>
      </c>
      <c r="H1932" t="s">
        <v>264</v>
      </c>
      <c r="I1932" t="s">
        <v>72</v>
      </c>
    </row>
    <row r="1933" spans="1:9" x14ac:dyDescent="0.25">
      <c r="A1933" t="s">
        <v>264</v>
      </c>
      <c r="B1933" t="s">
        <v>100</v>
      </c>
      <c r="C1933" t="s">
        <v>774</v>
      </c>
      <c r="D1933" s="1">
        <v>45079</v>
      </c>
      <c r="E1933" t="s">
        <v>273</v>
      </c>
      <c r="F1933">
        <v>-9.5299999999999994</v>
      </c>
      <c r="G1933" t="s">
        <v>70</v>
      </c>
      <c r="H1933" t="s">
        <v>264</v>
      </c>
      <c r="I1933" t="s">
        <v>72</v>
      </c>
    </row>
    <row r="1934" spans="1:9" x14ac:dyDescent="0.25">
      <c r="A1934" t="s">
        <v>264</v>
      </c>
      <c r="B1934" t="s">
        <v>100</v>
      </c>
      <c r="C1934" t="s">
        <v>774</v>
      </c>
      <c r="D1934" s="1">
        <v>45080</v>
      </c>
      <c r="E1934" t="s">
        <v>267</v>
      </c>
      <c r="F1934">
        <v>72.89</v>
      </c>
      <c r="G1934" t="s">
        <v>70</v>
      </c>
      <c r="H1934" t="s">
        <v>264</v>
      </c>
      <c r="I1934" t="s">
        <v>72</v>
      </c>
    </row>
    <row r="1935" spans="1:9" x14ac:dyDescent="0.25">
      <c r="A1935" t="s">
        <v>264</v>
      </c>
      <c r="B1935" t="s">
        <v>100</v>
      </c>
      <c r="C1935" t="s">
        <v>774</v>
      </c>
      <c r="D1935" s="1">
        <v>45080</v>
      </c>
      <c r="E1935" t="s">
        <v>265</v>
      </c>
      <c r="F1935">
        <v>-67.67</v>
      </c>
      <c r="G1935" t="s">
        <v>70</v>
      </c>
      <c r="H1935" t="s">
        <v>264</v>
      </c>
      <c r="I1935" t="s">
        <v>72</v>
      </c>
    </row>
    <row r="1936" spans="1:9" x14ac:dyDescent="0.25">
      <c r="A1936" t="s">
        <v>264</v>
      </c>
      <c r="B1936" t="s">
        <v>100</v>
      </c>
      <c r="C1936" t="s">
        <v>774</v>
      </c>
      <c r="D1936" s="1">
        <v>45080</v>
      </c>
      <c r="E1936" t="s">
        <v>265</v>
      </c>
      <c r="F1936">
        <v>-3.45</v>
      </c>
      <c r="G1936" t="s">
        <v>70</v>
      </c>
      <c r="H1936" t="s">
        <v>264</v>
      </c>
      <c r="I1936" t="s">
        <v>72</v>
      </c>
    </row>
    <row r="1937" spans="1:9" x14ac:dyDescent="0.25">
      <c r="A1937" t="s">
        <v>264</v>
      </c>
      <c r="B1937" t="s">
        <v>100</v>
      </c>
      <c r="C1937" t="s">
        <v>774</v>
      </c>
      <c r="D1937" s="1">
        <v>45084</v>
      </c>
      <c r="E1937" t="s">
        <v>276</v>
      </c>
      <c r="F1937">
        <v>-957.39</v>
      </c>
      <c r="G1937" t="s">
        <v>70</v>
      </c>
      <c r="H1937" t="s">
        <v>264</v>
      </c>
      <c r="I1937" t="s">
        <v>72</v>
      </c>
    </row>
    <row r="1938" spans="1:9" x14ac:dyDescent="0.25">
      <c r="A1938" t="s">
        <v>264</v>
      </c>
      <c r="B1938" t="s">
        <v>100</v>
      </c>
      <c r="C1938" t="s">
        <v>774</v>
      </c>
      <c r="D1938" s="1">
        <v>45084</v>
      </c>
      <c r="E1938" t="s">
        <v>274</v>
      </c>
      <c r="F1938">
        <v>1262.5</v>
      </c>
      <c r="G1938" t="s">
        <v>74</v>
      </c>
      <c r="H1938" t="s">
        <v>256</v>
      </c>
      <c r="I1938" t="s">
        <v>346</v>
      </c>
    </row>
    <row r="1939" spans="1:9" x14ac:dyDescent="0.25">
      <c r="A1939" t="s">
        <v>264</v>
      </c>
      <c r="B1939" t="s">
        <v>100</v>
      </c>
      <c r="C1939" t="s">
        <v>774</v>
      </c>
      <c r="D1939" s="1">
        <v>45084</v>
      </c>
      <c r="E1939" t="s">
        <v>265</v>
      </c>
      <c r="F1939">
        <v>-11.3</v>
      </c>
      <c r="G1939" t="s">
        <v>70</v>
      </c>
      <c r="H1939" t="s">
        <v>264</v>
      </c>
      <c r="I1939" t="s">
        <v>72</v>
      </c>
    </row>
    <row r="1940" spans="1:9" x14ac:dyDescent="0.25">
      <c r="A1940" t="s">
        <v>264</v>
      </c>
      <c r="B1940" t="s">
        <v>100</v>
      </c>
      <c r="C1940" t="s">
        <v>774</v>
      </c>
      <c r="D1940" s="1">
        <v>45084</v>
      </c>
      <c r="E1940" t="s">
        <v>275</v>
      </c>
      <c r="F1940">
        <v>437.17</v>
      </c>
      <c r="G1940" t="s">
        <v>70</v>
      </c>
      <c r="H1940" t="s">
        <v>264</v>
      </c>
      <c r="I1940" t="s">
        <v>72</v>
      </c>
    </row>
    <row r="1941" spans="1:9" x14ac:dyDescent="0.25">
      <c r="A1941" t="s">
        <v>264</v>
      </c>
      <c r="B1941" t="s">
        <v>100</v>
      </c>
      <c r="C1941" t="s">
        <v>774</v>
      </c>
      <c r="D1941" s="1">
        <v>45084</v>
      </c>
      <c r="E1941" t="s">
        <v>268</v>
      </c>
      <c r="F1941">
        <v>1697.19</v>
      </c>
      <c r="G1941" t="s">
        <v>70</v>
      </c>
      <c r="H1941" t="s">
        <v>264</v>
      </c>
      <c r="I1941" t="s">
        <v>72</v>
      </c>
    </row>
    <row r="1942" spans="1:9" x14ac:dyDescent="0.25">
      <c r="A1942" t="s">
        <v>264</v>
      </c>
      <c r="B1942" t="s">
        <v>100</v>
      </c>
      <c r="C1942" t="s">
        <v>774</v>
      </c>
      <c r="D1942" s="1">
        <v>45085</v>
      </c>
      <c r="E1942" t="s">
        <v>291</v>
      </c>
      <c r="F1942">
        <v>73.42</v>
      </c>
      <c r="G1942" t="s">
        <v>100</v>
      </c>
      <c r="H1942" t="s">
        <v>264</v>
      </c>
      <c r="I1942" t="s">
        <v>100</v>
      </c>
    </row>
    <row r="1943" spans="1:9" x14ac:dyDescent="0.25">
      <c r="A1943" t="s">
        <v>264</v>
      </c>
      <c r="B1943" t="s">
        <v>100</v>
      </c>
      <c r="C1943" t="s">
        <v>774</v>
      </c>
      <c r="D1943" s="1">
        <v>45085</v>
      </c>
      <c r="E1943" t="s">
        <v>265</v>
      </c>
      <c r="F1943">
        <v>-5.98</v>
      </c>
      <c r="G1943" t="s">
        <v>70</v>
      </c>
      <c r="H1943" t="s">
        <v>264</v>
      </c>
      <c r="I1943" t="s">
        <v>100</v>
      </c>
    </row>
    <row r="1944" spans="1:9" x14ac:dyDescent="0.25">
      <c r="A1944" t="s">
        <v>264</v>
      </c>
      <c r="B1944" t="s">
        <v>100</v>
      </c>
      <c r="C1944" t="s">
        <v>774</v>
      </c>
      <c r="D1944" s="1">
        <v>45086</v>
      </c>
      <c r="E1944" t="s">
        <v>265</v>
      </c>
      <c r="F1944">
        <v>-0.12</v>
      </c>
      <c r="G1944" t="s">
        <v>70</v>
      </c>
      <c r="H1944" t="s">
        <v>264</v>
      </c>
      <c r="I1944" t="s">
        <v>100</v>
      </c>
    </row>
    <row r="1945" spans="1:9" x14ac:dyDescent="0.25">
      <c r="A1945" t="s">
        <v>264</v>
      </c>
      <c r="B1945" t="s">
        <v>100</v>
      </c>
      <c r="C1945" t="s">
        <v>774</v>
      </c>
      <c r="D1945" s="1">
        <v>45086</v>
      </c>
      <c r="E1945" t="s">
        <v>265</v>
      </c>
      <c r="F1945">
        <v>-8.81</v>
      </c>
      <c r="G1945" t="s">
        <v>70</v>
      </c>
      <c r="H1945" t="s">
        <v>264</v>
      </c>
      <c r="I1945" t="s">
        <v>100</v>
      </c>
    </row>
    <row r="1946" spans="1:9" x14ac:dyDescent="0.25">
      <c r="A1946" t="s">
        <v>264</v>
      </c>
      <c r="B1946" t="s">
        <v>100</v>
      </c>
      <c r="C1946" t="s">
        <v>774</v>
      </c>
      <c r="D1946" s="1">
        <v>45086</v>
      </c>
      <c r="E1946" t="s">
        <v>292</v>
      </c>
      <c r="F1946">
        <v>-19.010000000000002</v>
      </c>
      <c r="G1946" t="s">
        <v>347</v>
      </c>
      <c r="H1946" t="s">
        <v>348</v>
      </c>
      <c r="I1946" t="s">
        <v>100</v>
      </c>
    </row>
    <row r="1947" spans="1:9" x14ac:dyDescent="0.25">
      <c r="A1947" t="s">
        <v>264</v>
      </c>
      <c r="B1947" t="s">
        <v>100</v>
      </c>
      <c r="C1947" t="s">
        <v>774</v>
      </c>
      <c r="D1947" s="1">
        <v>45089</v>
      </c>
      <c r="E1947" t="s">
        <v>265</v>
      </c>
      <c r="F1947">
        <v>-27.89</v>
      </c>
      <c r="G1947" t="s">
        <v>70</v>
      </c>
      <c r="H1947" t="s">
        <v>264</v>
      </c>
      <c r="I1947" t="s">
        <v>100</v>
      </c>
    </row>
    <row r="1948" spans="1:9" x14ac:dyDescent="0.25">
      <c r="A1948" t="s">
        <v>264</v>
      </c>
      <c r="B1948" t="s">
        <v>100</v>
      </c>
      <c r="C1948" t="s">
        <v>774</v>
      </c>
      <c r="D1948" s="1">
        <v>45091</v>
      </c>
      <c r="E1948" t="s">
        <v>265</v>
      </c>
      <c r="F1948">
        <v>-99.68</v>
      </c>
      <c r="G1948" t="s">
        <v>70</v>
      </c>
      <c r="H1948" t="s">
        <v>264</v>
      </c>
      <c r="I1948" t="s">
        <v>100</v>
      </c>
    </row>
    <row r="1949" spans="1:9" x14ac:dyDescent="0.25">
      <c r="A1949" t="s">
        <v>264</v>
      </c>
      <c r="B1949" t="s">
        <v>100</v>
      </c>
      <c r="C1949" t="s">
        <v>774</v>
      </c>
      <c r="D1949" s="1">
        <v>45091</v>
      </c>
      <c r="E1949" t="s">
        <v>275</v>
      </c>
      <c r="F1949">
        <v>411.34</v>
      </c>
      <c r="G1949" t="s">
        <v>70</v>
      </c>
      <c r="H1949" t="s">
        <v>264</v>
      </c>
      <c r="I1949" t="s">
        <v>100</v>
      </c>
    </row>
    <row r="1950" spans="1:9" x14ac:dyDescent="0.25">
      <c r="A1950" t="s">
        <v>264</v>
      </c>
      <c r="B1950" t="s">
        <v>100</v>
      </c>
      <c r="C1950" t="s">
        <v>774</v>
      </c>
      <c r="D1950" s="1">
        <v>45092</v>
      </c>
      <c r="E1950" t="s">
        <v>265</v>
      </c>
      <c r="F1950">
        <v>-20.98</v>
      </c>
      <c r="G1950" t="s">
        <v>70</v>
      </c>
      <c r="H1950" t="s">
        <v>264</v>
      </c>
      <c r="I1950" t="s">
        <v>100</v>
      </c>
    </row>
    <row r="1951" spans="1:9" x14ac:dyDescent="0.25">
      <c r="A1951" t="s">
        <v>264</v>
      </c>
      <c r="B1951" t="s">
        <v>100</v>
      </c>
      <c r="C1951" t="s">
        <v>774</v>
      </c>
      <c r="D1951" s="1">
        <v>45093</v>
      </c>
      <c r="E1951" t="s">
        <v>271</v>
      </c>
      <c r="F1951">
        <v>-944.8</v>
      </c>
      <c r="G1951" t="s">
        <v>70</v>
      </c>
      <c r="H1951" t="s">
        <v>264</v>
      </c>
      <c r="I1951" t="s">
        <v>100</v>
      </c>
    </row>
    <row r="1952" spans="1:9" x14ac:dyDescent="0.25">
      <c r="A1952" t="s">
        <v>264</v>
      </c>
      <c r="B1952" t="s">
        <v>100</v>
      </c>
      <c r="C1952" t="s">
        <v>774</v>
      </c>
      <c r="D1952" s="1">
        <v>45093</v>
      </c>
      <c r="E1952" t="s">
        <v>272</v>
      </c>
      <c r="F1952">
        <v>-22.59</v>
      </c>
      <c r="G1952" t="s">
        <v>70</v>
      </c>
      <c r="H1952" t="s">
        <v>264</v>
      </c>
      <c r="I1952" t="s">
        <v>100</v>
      </c>
    </row>
    <row r="1953" spans="1:9" x14ac:dyDescent="0.25">
      <c r="A1953" t="s">
        <v>264</v>
      </c>
      <c r="B1953" t="s">
        <v>100</v>
      </c>
      <c r="C1953" t="s">
        <v>774</v>
      </c>
      <c r="D1953" s="1">
        <v>45093</v>
      </c>
      <c r="E1953" t="s">
        <v>273</v>
      </c>
      <c r="F1953">
        <v>-84.32</v>
      </c>
      <c r="G1953" t="s">
        <v>70</v>
      </c>
      <c r="H1953" t="s">
        <v>264</v>
      </c>
      <c r="I1953" t="s">
        <v>100</v>
      </c>
    </row>
    <row r="1954" spans="1:9" x14ac:dyDescent="0.25">
      <c r="A1954" t="s">
        <v>264</v>
      </c>
      <c r="B1954" t="s">
        <v>100</v>
      </c>
      <c r="C1954" t="s">
        <v>774</v>
      </c>
      <c r="D1954" s="1">
        <v>45094</v>
      </c>
      <c r="E1954" t="s">
        <v>293</v>
      </c>
      <c r="F1954">
        <v>-12.62</v>
      </c>
      <c r="G1954" t="s">
        <v>92</v>
      </c>
      <c r="H1954" t="s">
        <v>349</v>
      </c>
      <c r="I1954" t="s">
        <v>100</v>
      </c>
    </row>
    <row r="1955" spans="1:9" x14ac:dyDescent="0.25">
      <c r="A1955" t="s">
        <v>264</v>
      </c>
      <c r="B1955" t="s">
        <v>100</v>
      </c>
      <c r="C1955" t="s">
        <v>774</v>
      </c>
      <c r="D1955" s="1">
        <v>45097</v>
      </c>
      <c r="E1955" t="s">
        <v>265</v>
      </c>
      <c r="F1955">
        <v>-452.6</v>
      </c>
      <c r="G1955" t="s">
        <v>70</v>
      </c>
      <c r="H1955" t="s">
        <v>264</v>
      </c>
      <c r="I1955" t="s">
        <v>100</v>
      </c>
    </row>
    <row r="1956" spans="1:9" x14ac:dyDescent="0.25">
      <c r="A1956" t="s">
        <v>264</v>
      </c>
      <c r="B1956" t="s">
        <v>100</v>
      </c>
      <c r="C1956" t="s">
        <v>774</v>
      </c>
      <c r="D1956" s="1">
        <v>45098</v>
      </c>
      <c r="E1956" t="s">
        <v>276</v>
      </c>
      <c r="F1956">
        <v>-2108.81</v>
      </c>
      <c r="G1956" t="s">
        <v>70</v>
      </c>
      <c r="H1956" t="s">
        <v>264</v>
      </c>
      <c r="I1956" t="s">
        <v>100</v>
      </c>
    </row>
    <row r="1957" spans="1:9" x14ac:dyDescent="0.25">
      <c r="A1957" t="s">
        <v>264</v>
      </c>
      <c r="B1957" t="s">
        <v>100</v>
      </c>
      <c r="C1957" t="s">
        <v>774</v>
      </c>
      <c r="D1957" s="1">
        <v>45098</v>
      </c>
      <c r="E1957" t="s">
        <v>274</v>
      </c>
      <c r="F1957">
        <v>453.71</v>
      </c>
      <c r="G1957" t="s">
        <v>74</v>
      </c>
      <c r="H1957" t="s">
        <v>256</v>
      </c>
      <c r="I1957" t="s">
        <v>100</v>
      </c>
    </row>
    <row r="1958" spans="1:9" x14ac:dyDescent="0.25">
      <c r="A1958" t="s">
        <v>264</v>
      </c>
      <c r="B1958" t="s">
        <v>100</v>
      </c>
      <c r="C1958" t="s">
        <v>774</v>
      </c>
      <c r="D1958" s="1">
        <v>45098</v>
      </c>
      <c r="E1958" t="s">
        <v>275</v>
      </c>
      <c r="F1958">
        <v>1168.8499999999999</v>
      </c>
      <c r="G1958" t="s">
        <v>70</v>
      </c>
      <c r="H1958" t="s">
        <v>264</v>
      </c>
      <c r="I1958" t="s">
        <v>100</v>
      </c>
    </row>
    <row r="1959" spans="1:9" x14ac:dyDescent="0.25">
      <c r="A1959" t="s">
        <v>264</v>
      </c>
      <c r="B1959" t="s">
        <v>100</v>
      </c>
      <c r="C1959" t="s">
        <v>774</v>
      </c>
      <c r="D1959" s="1">
        <v>45098</v>
      </c>
      <c r="E1959" t="s">
        <v>268</v>
      </c>
      <c r="F1959">
        <v>2764.8</v>
      </c>
      <c r="G1959" t="s">
        <v>70</v>
      </c>
      <c r="H1959" t="s">
        <v>264</v>
      </c>
      <c r="I1959" t="s">
        <v>100</v>
      </c>
    </row>
    <row r="1960" spans="1:9" x14ac:dyDescent="0.25">
      <c r="A1960" t="s">
        <v>264</v>
      </c>
      <c r="B1960" t="s">
        <v>100</v>
      </c>
      <c r="C1960" t="s">
        <v>774</v>
      </c>
      <c r="D1960" s="1">
        <v>45098</v>
      </c>
      <c r="E1960" t="s">
        <v>269</v>
      </c>
      <c r="F1960">
        <v>-885.75</v>
      </c>
      <c r="G1960" t="s">
        <v>70</v>
      </c>
      <c r="H1960" t="s">
        <v>264</v>
      </c>
      <c r="I1960" t="s">
        <v>72</v>
      </c>
    </row>
    <row r="1961" spans="1:9" x14ac:dyDescent="0.25">
      <c r="A1961" t="s">
        <v>264</v>
      </c>
      <c r="B1961" t="s">
        <v>100</v>
      </c>
      <c r="C1961" t="s">
        <v>774</v>
      </c>
      <c r="D1961" s="1">
        <v>45100</v>
      </c>
      <c r="E1961" t="s">
        <v>265</v>
      </c>
      <c r="F1961">
        <v>-23.07</v>
      </c>
      <c r="G1961" t="s">
        <v>70</v>
      </c>
      <c r="H1961" t="s">
        <v>264</v>
      </c>
      <c r="I1961" t="s">
        <v>72</v>
      </c>
    </row>
    <row r="1962" spans="1:9" x14ac:dyDescent="0.25">
      <c r="A1962" t="s">
        <v>264</v>
      </c>
      <c r="B1962" t="s">
        <v>100</v>
      </c>
      <c r="C1962" t="s">
        <v>774</v>
      </c>
      <c r="D1962" s="1">
        <v>45100</v>
      </c>
      <c r="E1962" t="s">
        <v>294</v>
      </c>
      <c r="F1962">
        <v>-24.9</v>
      </c>
      <c r="G1962" t="s">
        <v>347</v>
      </c>
      <c r="H1962" t="s">
        <v>348</v>
      </c>
      <c r="I1962" t="s">
        <v>348</v>
      </c>
    </row>
    <row r="1963" spans="1:9" x14ac:dyDescent="0.25">
      <c r="A1963" t="s">
        <v>264</v>
      </c>
      <c r="B1963" t="s">
        <v>100</v>
      </c>
      <c r="C1963" t="s">
        <v>774</v>
      </c>
      <c r="D1963" s="1">
        <v>45101</v>
      </c>
      <c r="E1963" t="s">
        <v>265</v>
      </c>
      <c r="F1963">
        <v>-1.6</v>
      </c>
      <c r="G1963" t="s">
        <v>70</v>
      </c>
      <c r="H1963" t="s">
        <v>264</v>
      </c>
      <c r="I1963" t="s">
        <v>72</v>
      </c>
    </row>
    <row r="1964" spans="1:9" x14ac:dyDescent="0.25">
      <c r="A1964" t="s">
        <v>264</v>
      </c>
      <c r="B1964" t="s">
        <v>100</v>
      </c>
      <c r="C1964" t="s">
        <v>774</v>
      </c>
      <c r="D1964" s="1">
        <v>45103</v>
      </c>
      <c r="E1964" t="s">
        <v>265</v>
      </c>
      <c r="F1964">
        <v>-10.97</v>
      </c>
      <c r="G1964" t="s">
        <v>70</v>
      </c>
      <c r="H1964" t="s">
        <v>264</v>
      </c>
      <c r="I1964" t="s">
        <v>72</v>
      </c>
    </row>
    <row r="1965" spans="1:9" x14ac:dyDescent="0.25">
      <c r="A1965" t="s">
        <v>264</v>
      </c>
      <c r="B1965" t="s">
        <v>100</v>
      </c>
      <c r="C1965" t="s">
        <v>774</v>
      </c>
      <c r="D1965" s="1">
        <v>45104</v>
      </c>
      <c r="E1965" t="s">
        <v>265</v>
      </c>
      <c r="F1965">
        <v>-248.23</v>
      </c>
      <c r="G1965" t="s">
        <v>70</v>
      </c>
      <c r="H1965" t="s">
        <v>264</v>
      </c>
      <c r="I1965" t="s">
        <v>72</v>
      </c>
    </row>
    <row r="1966" spans="1:9" x14ac:dyDescent="0.25">
      <c r="A1966" t="s">
        <v>264</v>
      </c>
      <c r="B1966" t="s">
        <v>100</v>
      </c>
      <c r="C1966" t="s">
        <v>774</v>
      </c>
      <c r="D1966" s="1">
        <v>45104</v>
      </c>
      <c r="E1966" t="s">
        <v>265</v>
      </c>
      <c r="F1966">
        <v>-9.75</v>
      </c>
      <c r="G1966" t="s">
        <v>70</v>
      </c>
      <c r="H1966" t="s">
        <v>264</v>
      </c>
      <c r="I1966" t="s">
        <v>72</v>
      </c>
    </row>
    <row r="1967" spans="1:9" x14ac:dyDescent="0.25">
      <c r="A1967" t="s">
        <v>264</v>
      </c>
      <c r="B1967" t="s">
        <v>100</v>
      </c>
      <c r="C1967" t="s">
        <v>774</v>
      </c>
      <c r="D1967" s="1">
        <v>45105</v>
      </c>
      <c r="E1967" t="s">
        <v>275</v>
      </c>
      <c r="F1967">
        <v>103.23</v>
      </c>
      <c r="G1967" t="s">
        <v>70</v>
      </c>
      <c r="H1967" t="s">
        <v>264</v>
      </c>
      <c r="I1967" t="s">
        <v>72</v>
      </c>
    </row>
    <row r="1968" spans="1:9" x14ac:dyDescent="0.25">
      <c r="A1968" t="s">
        <v>264</v>
      </c>
      <c r="B1968" t="s">
        <v>100</v>
      </c>
      <c r="C1968" t="s">
        <v>774</v>
      </c>
      <c r="D1968" s="1">
        <v>45105</v>
      </c>
      <c r="E1968" t="s">
        <v>269</v>
      </c>
      <c r="F1968">
        <v>-283.8</v>
      </c>
      <c r="G1968" t="s">
        <v>70</v>
      </c>
      <c r="H1968" t="s">
        <v>264</v>
      </c>
      <c r="I1968" t="s">
        <v>72</v>
      </c>
    </row>
    <row r="1969" spans="1:9" x14ac:dyDescent="0.25">
      <c r="A1969" t="s">
        <v>264</v>
      </c>
      <c r="B1969" t="s">
        <v>100</v>
      </c>
      <c r="C1969" t="s">
        <v>774</v>
      </c>
      <c r="D1969" s="1">
        <v>45106</v>
      </c>
      <c r="E1969" t="s">
        <v>265</v>
      </c>
      <c r="F1969">
        <v>-16.39</v>
      </c>
      <c r="G1969" t="s">
        <v>70</v>
      </c>
      <c r="H1969" t="s">
        <v>264</v>
      </c>
      <c r="I1969" t="s">
        <v>72</v>
      </c>
    </row>
    <row r="1970" spans="1:9" x14ac:dyDescent="0.25">
      <c r="A1970" t="s">
        <v>264</v>
      </c>
      <c r="B1970" t="s">
        <v>100</v>
      </c>
      <c r="C1970" t="s">
        <v>774</v>
      </c>
      <c r="D1970" s="1">
        <v>45107</v>
      </c>
      <c r="E1970" t="s">
        <v>267</v>
      </c>
      <c r="F1970">
        <v>2481.6</v>
      </c>
      <c r="G1970" t="s">
        <v>70</v>
      </c>
      <c r="H1970" t="s">
        <v>264</v>
      </c>
      <c r="I1970" t="s">
        <v>72</v>
      </c>
    </row>
    <row r="1971" spans="1:9" x14ac:dyDescent="0.25">
      <c r="A1971" t="s">
        <v>264</v>
      </c>
      <c r="B1971" t="s">
        <v>100</v>
      </c>
      <c r="C1971" t="s">
        <v>774</v>
      </c>
      <c r="D1971" s="1">
        <v>45107</v>
      </c>
      <c r="E1971" t="s">
        <v>265</v>
      </c>
      <c r="F1971">
        <v>-2062.7800000000002</v>
      </c>
      <c r="G1971" t="s">
        <v>70</v>
      </c>
      <c r="H1971" t="s">
        <v>264</v>
      </c>
      <c r="I1971" t="s">
        <v>72</v>
      </c>
    </row>
    <row r="1972" spans="1:9" x14ac:dyDescent="0.25">
      <c r="A1972" t="s">
        <v>264</v>
      </c>
      <c r="B1972" t="s">
        <v>100</v>
      </c>
      <c r="C1972" t="s">
        <v>774</v>
      </c>
      <c r="D1972" s="1">
        <v>45107</v>
      </c>
      <c r="E1972" t="s">
        <v>271</v>
      </c>
      <c r="F1972">
        <v>-1329.26</v>
      </c>
      <c r="G1972" t="s">
        <v>70</v>
      </c>
      <c r="H1972" t="s">
        <v>264</v>
      </c>
      <c r="I1972" t="s">
        <v>72</v>
      </c>
    </row>
    <row r="1973" spans="1:9" x14ac:dyDescent="0.25">
      <c r="A1973" t="s">
        <v>264</v>
      </c>
      <c r="B1973" t="s">
        <v>100</v>
      </c>
      <c r="C1973" t="s">
        <v>774</v>
      </c>
      <c r="D1973" s="1">
        <v>45107</v>
      </c>
      <c r="E1973" t="s">
        <v>272</v>
      </c>
      <c r="F1973">
        <v>-1902.37</v>
      </c>
      <c r="G1973" t="s">
        <v>70</v>
      </c>
      <c r="H1973" t="s">
        <v>264</v>
      </c>
      <c r="I1973" t="s">
        <v>72</v>
      </c>
    </row>
    <row r="1974" spans="1:9" x14ac:dyDescent="0.25">
      <c r="A1974" t="s">
        <v>264</v>
      </c>
      <c r="B1974" t="s">
        <v>100</v>
      </c>
      <c r="C1974" t="s">
        <v>774</v>
      </c>
      <c r="D1974" s="1">
        <v>45107</v>
      </c>
      <c r="E1974" t="s">
        <v>273</v>
      </c>
      <c r="F1974">
        <v>-162.83000000000001</v>
      </c>
      <c r="G1974" t="s">
        <v>70</v>
      </c>
      <c r="H1974" t="s">
        <v>264</v>
      </c>
      <c r="I1974" t="s">
        <v>72</v>
      </c>
    </row>
    <row r="1975" spans="1:9" x14ac:dyDescent="0.25">
      <c r="A1975" t="s">
        <v>264</v>
      </c>
      <c r="B1975" t="s">
        <v>100</v>
      </c>
      <c r="C1975" t="s">
        <v>774</v>
      </c>
      <c r="D1975" s="1">
        <v>45108</v>
      </c>
      <c r="E1975" t="s">
        <v>265</v>
      </c>
      <c r="F1975">
        <v>-0.28999999999999998</v>
      </c>
      <c r="G1975" t="s">
        <v>70</v>
      </c>
      <c r="H1975" t="s">
        <v>264</v>
      </c>
      <c r="I1975" t="s">
        <v>72</v>
      </c>
    </row>
    <row r="1976" spans="1:9" x14ac:dyDescent="0.25">
      <c r="A1976" t="s">
        <v>264</v>
      </c>
      <c r="B1976" t="s">
        <v>100</v>
      </c>
      <c r="C1976" t="s">
        <v>774</v>
      </c>
      <c r="D1976" s="1">
        <v>45108</v>
      </c>
      <c r="E1976" t="s">
        <v>269</v>
      </c>
      <c r="F1976">
        <v>-186.87</v>
      </c>
      <c r="G1976" t="s">
        <v>70</v>
      </c>
      <c r="H1976" t="s">
        <v>264</v>
      </c>
      <c r="I1976" t="s">
        <v>72</v>
      </c>
    </row>
    <row r="1977" spans="1:9" x14ac:dyDescent="0.25">
      <c r="A1977" t="s">
        <v>264</v>
      </c>
      <c r="B1977" t="s">
        <v>100</v>
      </c>
      <c r="C1977" t="s">
        <v>774</v>
      </c>
      <c r="D1977" s="1">
        <v>45108</v>
      </c>
      <c r="E1977" t="s">
        <v>267</v>
      </c>
      <c r="F1977">
        <v>515.57000000000005</v>
      </c>
      <c r="G1977" t="s">
        <v>70</v>
      </c>
      <c r="H1977" t="s">
        <v>264</v>
      </c>
      <c r="I1977" t="s">
        <v>72</v>
      </c>
    </row>
    <row r="1978" spans="1:9" x14ac:dyDescent="0.25">
      <c r="A1978" t="s">
        <v>264</v>
      </c>
      <c r="B1978" t="s">
        <v>100</v>
      </c>
      <c r="C1978" t="s">
        <v>774</v>
      </c>
      <c r="D1978" s="1">
        <v>45108</v>
      </c>
      <c r="E1978" t="s">
        <v>265</v>
      </c>
      <c r="F1978">
        <v>-94.36</v>
      </c>
      <c r="G1978" t="s">
        <v>70</v>
      </c>
      <c r="H1978" t="s">
        <v>264</v>
      </c>
      <c r="I1978" t="s">
        <v>72</v>
      </c>
    </row>
    <row r="1979" spans="1:9" x14ac:dyDescent="0.25">
      <c r="A1979" t="s">
        <v>264</v>
      </c>
      <c r="B1979" t="s">
        <v>100</v>
      </c>
      <c r="C1979" t="s">
        <v>774</v>
      </c>
      <c r="D1979" s="1">
        <v>45109</v>
      </c>
      <c r="E1979" t="s">
        <v>265</v>
      </c>
      <c r="F1979">
        <v>-74.88</v>
      </c>
      <c r="G1979" t="s">
        <v>70</v>
      </c>
      <c r="H1979" t="s">
        <v>264</v>
      </c>
      <c r="I1979" t="s">
        <v>72</v>
      </c>
    </row>
    <row r="1980" spans="1:9" x14ac:dyDescent="0.25">
      <c r="A1980" t="s">
        <v>264</v>
      </c>
      <c r="B1980" t="s">
        <v>100</v>
      </c>
      <c r="C1980" t="s">
        <v>774</v>
      </c>
      <c r="D1980" s="1">
        <v>45110</v>
      </c>
      <c r="E1980" t="s">
        <v>265</v>
      </c>
      <c r="F1980">
        <v>-79.2</v>
      </c>
      <c r="G1980" t="s">
        <v>70</v>
      </c>
      <c r="H1980" t="s">
        <v>264</v>
      </c>
      <c r="I1980" t="s">
        <v>72</v>
      </c>
    </row>
    <row r="1981" spans="1:9" x14ac:dyDescent="0.25">
      <c r="A1981" t="s">
        <v>264</v>
      </c>
      <c r="B1981" t="s">
        <v>100</v>
      </c>
      <c r="C1981" t="s">
        <v>774</v>
      </c>
      <c r="D1981" s="1">
        <v>45110</v>
      </c>
      <c r="E1981" t="s">
        <v>265</v>
      </c>
      <c r="F1981">
        <v>-7.27</v>
      </c>
      <c r="G1981" t="s">
        <v>70</v>
      </c>
      <c r="H1981" t="s">
        <v>264</v>
      </c>
      <c r="I1981" t="s">
        <v>72</v>
      </c>
    </row>
    <row r="1982" spans="1:9" x14ac:dyDescent="0.25">
      <c r="A1982" t="s">
        <v>264</v>
      </c>
      <c r="B1982" t="s">
        <v>100</v>
      </c>
      <c r="C1982" t="s">
        <v>774</v>
      </c>
      <c r="D1982" s="1">
        <v>45112</v>
      </c>
      <c r="E1982" t="s">
        <v>274</v>
      </c>
      <c r="F1982">
        <v>3875.59</v>
      </c>
      <c r="G1982" t="s">
        <v>74</v>
      </c>
      <c r="H1982" t="s">
        <v>256</v>
      </c>
      <c r="I1982" t="s">
        <v>346</v>
      </c>
    </row>
    <row r="1983" spans="1:9" x14ac:dyDescent="0.25">
      <c r="A1983" t="s">
        <v>264</v>
      </c>
      <c r="B1983" t="s">
        <v>100</v>
      </c>
      <c r="C1983" t="s">
        <v>774</v>
      </c>
      <c r="D1983" s="1">
        <v>45112</v>
      </c>
      <c r="E1983" t="s">
        <v>268</v>
      </c>
      <c r="F1983">
        <v>1348.83</v>
      </c>
      <c r="G1983" t="s">
        <v>70</v>
      </c>
      <c r="H1983" t="s">
        <v>264</v>
      </c>
      <c r="I1983" t="s">
        <v>72</v>
      </c>
    </row>
    <row r="1984" spans="1:9" x14ac:dyDescent="0.25">
      <c r="A1984" t="s">
        <v>264</v>
      </c>
      <c r="B1984" t="s">
        <v>100</v>
      </c>
      <c r="C1984" t="s">
        <v>774</v>
      </c>
      <c r="D1984" s="1">
        <v>45112</v>
      </c>
      <c r="E1984" t="s">
        <v>275</v>
      </c>
      <c r="F1984">
        <v>164.95</v>
      </c>
      <c r="G1984" t="s">
        <v>70</v>
      </c>
      <c r="H1984" t="s">
        <v>264</v>
      </c>
      <c r="I1984" t="s">
        <v>72</v>
      </c>
    </row>
    <row r="1985" spans="1:9" x14ac:dyDescent="0.25">
      <c r="A1985" t="s">
        <v>264</v>
      </c>
      <c r="B1985" t="s">
        <v>100</v>
      </c>
      <c r="C1985" t="s">
        <v>774</v>
      </c>
      <c r="D1985" s="1">
        <v>45112</v>
      </c>
      <c r="E1985" t="s">
        <v>276</v>
      </c>
      <c r="F1985">
        <v>-2203.39</v>
      </c>
      <c r="G1985" t="s">
        <v>70</v>
      </c>
      <c r="H1985" t="s">
        <v>264</v>
      </c>
      <c r="I1985" t="s">
        <v>72</v>
      </c>
    </row>
    <row r="1986" spans="1:9" x14ac:dyDescent="0.25">
      <c r="A1986" t="s">
        <v>264</v>
      </c>
      <c r="B1986" t="s">
        <v>100</v>
      </c>
      <c r="C1986" t="s">
        <v>774</v>
      </c>
      <c r="D1986" s="1">
        <v>45112</v>
      </c>
      <c r="E1986" t="s">
        <v>265</v>
      </c>
      <c r="F1986">
        <v>-60.55</v>
      </c>
      <c r="G1986" t="s">
        <v>70</v>
      </c>
      <c r="H1986" t="s">
        <v>264</v>
      </c>
      <c r="I1986" t="s">
        <v>72</v>
      </c>
    </row>
    <row r="1987" spans="1:9" x14ac:dyDescent="0.25">
      <c r="A1987" t="s">
        <v>264</v>
      </c>
      <c r="B1987" t="s">
        <v>100</v>
      </c>
      <c r="C1987" t="s">
        <v>774</v>
      </c>
      <c r="D1987" s="1">
        <v>45112</v>
      </c>
      <c r="E1987" t="s">
        <v>269</v>
      </c>
      <c r="F1987">
        <v>-111.72</v>
      </c>
      <c r="G1987" t="s">
        <v>70</v>
      </c>
      <c r="H1987" t="s">
        <v>264</v>
      </c>
      <c r="I1987" t="s">
        <v>72</v>
      </c>
    </row>
    <row r="1988" spans="1:9" x14ac:dyDescent="0.25">
      <c r="A1988" t="s">
        <v>264</v>
      </c>
      <c r="B1988" t="s">
        <v>100</v>
      </c>
      <c r="C1988" t="s">
        <v>774</v>
      </c>
      <c r="D1988" s="1">
        <v>45112</v>
      </c>
      <c r="E1988" t="s">
        <v>269</v>
      </c>
      <c r="F1988">
        <v>-3849.36</v>
      </c>
      <c r="G1988" t="s">
        <v>70</v>
      </c>
      <c r="H1988" t="s">
        <v>264</v>
      </c>
      <c r="I1988" t="s">
        <v>72</v>
      </c>
    </row>
    <row r="1989" spans="1:9" x14ac:dyDescent="0.25">
      <c r="A1989" t="s">
        <v>264</v>
      </c>
      <c r="B1989" t="s">
        <v>100</v>
      </c>
      <c r="C1989" t="s">
        <v>774</v>
      </c>
      <c r="D1989" s="1">
        <v>45113</v>
      </c>
      <c r="E1989" t="s">
        <v>265</v>
      </c>
      <c r="F1989">
        <v>-37.619999999999997</v>
      </c>
      <c r="G1989" t="s">
        <v>70</v>
      </c>
      <c r="H1989" t="s">
        <v>264</v>
      </c>
      <c r="I1989" t="s">
        <v>72</v>
      </c>
    </row>
    <row r="1990" spans="1:9" x14ac:dyDescent="0.25">
      <c r="A1990" t="s">
        <v>264</v>
      </c>
      <c r="B1990" t="s">
        <v>100</v>
      </c>
      <c r="C1990" t="s">
        <v>774</v>
      </c>
      <c r="D1990" s="1">
        <v>45113</v>
      </c>
      <c r="E1990" t="s">
        <v>265</v>
      </c>
      <c r="F1990">
        <v>-2.34</v>
      </c>
      <c r="G1990" t="s">
        <v>70</v>
      </c>
      <c r="H1990" t="s">
        <v>264</v>
      </c>
      <c r="I1990" t="s">
        <v>72</v>
      </c>
    </row>
    <row r="1991" spans="1:9" x14ac:dyDescent="0.25">
      <c r="A1991" t="s">
        <v>264</v>
      </c>
      <c r="B1991" t="s">
        <v>100</v>
      </c>
      <c r="C1991" t="s">
        <v>774</v>
      </c>
      <c r="D1991" s="1">
        <v>45114</v>
      </c>
      <c r="E1991" t="s">
        <v>265</v>
      </c>
      <c r="F1991">
        <v>-27.8</v>
      </c>
      <c r="G1991" t="s">
        <v>70</v>
      </c>
      <c r="H1991" t="s">
        <v>264</v>
      </c>
      <c r="I1991" t="s">
        <v>72</v>
      </c>
    </row>
    <row r="1992" spans="1:9" x14ac:dyDescent="0.25">
      <c r="A1992" t="s">
        <v>264</v>
      </c>
      <c r="B1992" t="s">
        <v>100</v>
      </c>
      <c r="C1992" t="s">
        <v>774</v>
      </c>
      <c r="D1992" s="1">
        <v>45114</v>
      </c>
      <c r="E1992" t="s">
        <v>295</v>
      </c>
      <c r="F1992">
        <v>-7.06</v>
      </c>
      <c r="G1992" t="s">
        <v>347</v>
      </c>
      <c r="H1992" t="s">
        <v>348</v>
      </c>
      <c r="I1992" t="s">
        <v>348</v>
      </c>
    </row>
    <row r="1993" spans="1:9" x14ac:dyDescent="0.25">
      <c r="A1993" t="s">
        <v>264</v>
      </c>
      <c r="B1993" t="s">
        <v>100</v>
      </c>
      <c r="C1993" t="s">
        <v>774</v>
      </c>
      <c r="D1993" s="1">
        <v>45116</v>
      </c>
      <c r="E1993" t="s">
        <v>265</v>
      </c>
      <c r="F1993">
        <v>-64.73</v>
      </c>
      <c r="G1993" t="s">
        <v>70</v>
      </c>
      <c r="H1993" t="s">
        <v>264</v>
      </c>
      <c r="I1993" t="s">
        <v>72</v>
      </c>
    </row>
    <row r="1994" spans="1:9" x14ac:dyDescent="0.25">
      <c r="A1994" t="s">
        <v>264</v>
      </c>
      <c r="B1994" t="s">
        <v>100</v>
      </c>
      <c r="C1994" t="s">
        <v>774</v>
      </c>
      <c r="D1994" s="1">
        <v>45119</v>
      </c>
      <c r="E1994" t="s">
        <v>275</v>
      </c>
      <c r="F1994">
        <v>74.06</v>
      </c>
      <c r="G1994" t="s">
        <v>70</v>
      </c>
      <c r="H1994" t="s">
        <v>264</v>
      </c>
      <c r="I1994" t="s">
        <v>72</v>
      </c>
    </row>
    <row r="1995" spans="1:9" x14ac:dyDescent="0.25">
      <c r="A1995" t="s">
        <v>264</v>
      </c>
      <c r="B1995" t="s">
        <v>100</v>
      </c>
      <c r="C1995" t="s">
        <v>774</v>
      </c>
      <c r="D1995" s="1">
        <v>45119</v>
      </c>
      <c r="E1995" t="s">
        <v>267</v>
      </c>
      <c r="F1995">
        <v>450.42</v>
      </c>
      <c r="G1995" t="s">
        <v>70</v>
      </c>
      <c r="H1995" t="s">
        <v>264</v>
      </c>
      <c r="I1995" t="s">
        <v>72</v>
      </c>
    </row>
    <row r="1996" spans="1:9" x14ac:dyDescent="0.25">
      <c r="A1996" t="s">
        <v>264</v>
      </c>
      <c r="B1996" t="s">
        <v>100</v>
      </c>
      <c r="C1996" t="s">
        <v>774</v>
      </c>
      <c r="D1996" s="1">
        <v>45119</v>
      </c>
      <c r="E1996" t="s">
        <v>265</v>
      </c>
      <c r="F1996">
        <v>-12.13</v>
      </c>
      <c r="G1996" t="s">
        <v>70</v>
      </c>
      <c r="H1996" t="s">
        <v>264</v>
      </c>
      <c r="I1996" t="s">
        <v>72</v>
      </c>
    </row>
    <row r="1997" spans="1:9" x14ac:dyDescent="0.25">
      <c r="A1997" t="s">
        <v>264</v>
      </c>
      <c r="B1997" t="s">
        <v>100</v>
      </c>
      <c r="C1997" t="s">
        <v>774</v>
      </c>
      <c r="D1997" s="1">
        <v>45119</v>
      </c>
      <c r="E1997" t="s">
        <v>267</v>
      </c>
      <c r="F1997">
        <v>960.21</v>
      </c>
      <c r="G1997" t="s">
        <v>70</v>
      </c>
      <c r="H1997" t="s">
        <v>264</v>
      </c>
      <c r="I1997" t="s">
        <v>72</v>
      </c>
    </row>
    <row r="1998" spans="1:9" x14ac:dyDescent="0.25">
      <c r="A1998" t="s">
        <v>264</v>
      </c>
      <c r="B1998" t="s">
        <v>100</v>
      </c>
      <c r="C1998" t="s">
        <v>774</v>
      </c>
      <c r="D1998" s="1">
        <v>45119</v>
      </c>
      <c r="E1998" t="s">
        <v>286</v>
      </c>
      <c r="F1998">
        <v>-1928.76</v>
      </c>
      <c r="G1998" t="s">
        <v>70</v>
      </c>
      <c r="H1998" t="s">
        <v>264</v>
      </c>
      <c r="I1998" t="s">
        <v>72</v>
      </c>
    </row>
    <row r="1999" spans="1:9" x14ac:dyDescent="0.25">
      <c r="A1999" t="s">
        <v>264</v>
      </c>
      <c r="B1999" t="s">
        <v>100</v>
      </c>
      <c r="C1999" t="s">
        <v>774</v>
      </c>
      <c r="D1999" s="1">
        <v>45120</v>
      </c>
      <c r="E1999" t="s">
        <v>265</v>
      </c>
      <c r="F1999">
        <v>-2.98</v>
      </c>
      <c r="G1999" t="s">
        <v>70</v>
      </c>
      <c r="H1999" t="s">
        <v>264</v>
      </c>
      <c r="I1999" t="s">
        <v>72</v>
      </c>
    </row>
    <row r="2000" spans="1:9" x14ac:dyDescent="0.25">
      <c r="A2000" t="s">
        <v>264</v>
      </c>
      <c r="B2000" t="s">
        <v>100</v>
      </c>
      <c r="C2000" t="s">
        <v>774</v>
      </c>
      <c r="D2000" s="1">
        <v>45121</v>
      </c>
      <c r="E2000" t="s">
        <v>265</v>
      </c>
      <c r="F2000">
        <v>-78.38</v>
      </c>
      <c r="G2000" t="s">
        <v>70</v>
      </c>
      <c r="H2000" t="s">
        <v>264</v>
      </c>
      <c r="I2000" t="s">
        <v>72</v>
      </c>
    </row>
    <row r="2001" spans="1:9" x14ac:dyDescent="0.25">
      <c r="A2001" t="s">
        <v>264</v>
      </c>
      <c r="B2001" t="s">
        <v>100</v>
      </c>
      <c r="C2001" t="s">
        <v>774</v>
      </c>
      <c r="D2001" s="1">
        <v>45121</v>
      </c>
      <c r="E2001" t="s">
        <v>271</v>
      </c>
      <c r="F2001">
        <v>-1740.44</v>
      </c>
      <c r="G2001" t="s">
        <v>70</v>
      </c>
      <c r="H2001" t="s">
        <v>264</v>
      </c>
      <c r="I2001" t="s">
        <v>72</v>
      </c>
    </row>
    <row r="2002" spans="1:9" x14ac:dyDescent="0.25">
      <c r="A2002" t="s">
        <v>264</v>
      </c>
      <c r="B2002" t="s">
        <v>100</v>
      </c>
      <c r="C2002" t="s">
        <v>774</v>
      </c>
      <c r="D2002" s="1">
        <v>45121</v>
      </c>
      <c r="E2002" t="s">
        <v>272</v>
      </c>
      <c r="F2002">
        <v>-840.37</v>
      </c>
      <c r="G2002" t="s">
        <v>70</v>
      </c>
      <c r="H2002" t="s">
        <v>264</v>
      </c>
      <c r="I2002" t="s">
        <v>72</v>
      </c>
    </row>
    <row r="2003" spans="1:9" x14ac:dyDescent="0.25">
      <c r="A2003" t="s">
        <v>264</v>
      </c>
      <c r="B2003" t="s">
        <v>100</v>
      </c>
      <c r="C2003" t="s">
        <v>774</v>
      </c>
      <c r="D2003" s="1">
        <v>45121</v>
      </c>
      <c r="E2003" t="s">
        <v>273</v>
      </c>
      <c r="F2003">
        <v>-94.22</v>
      </c>
      <c r="G2003" t="s">
        <v>70</v>
      </c>
      <c r="H2003" t="s">
        <v>264</v>
      </c>
      <c r="I2003" t="s">
        <v>72</v>
      </c>
    </row>
    <row r="2004" spans="1:9" x14ac:dyDescent="0.25">
      <c r="A2004" t="s">
        <v>264</v>
      </c>
      <c r="B2004" t="s">
        <v>100</v>
      </c>
      <c r="C2004" t="s">
        <v>774</v>
      </c>
      <c r="D2004" s="1">
        <v>45122</v>
      </c>
      <c r="E2004" t="s">
        <v>267</v>
      </c>
      <c r="F2004">
        <v>199.36</v>
      </c>
      <c r="G2004" t="s">
        <v>70</v>
      </c>
      <c r="H2004" t="s">
        <v>264</v>
      </c>
      <c r="I2004" t="s">
        <v>72</v>
      </c>
    </row>
    <row r="2005" spans="1:9" x14ac:dyDescent="0.25">
      <c r="A2005" t="s">
        <v>264</v>
      </c>
      <c r="B2005" t="s">
        <v>100</v>
      </c>
      <c r="C2005" t="s">
        <v>774</v>
      </c>
      <c r="D2005" s="1">
        <v>45122</v>
      </c>
      <c r="E2005" t="s">
        <v>265</v>
      </c>
      <c r="F2005">
        <v>-60.94</v>
      </c>
      <c r="G2005" t="s">
        <v>70</v>
      </c>
      <c r="H2005" t="s">
        <v>264</v>
      </c>
      <c r="I2005" t="s">
        <v>72</v>
      </c>
    </row>
    <row r="2006" spans="1:9" x14ac:dyDescent="0.25">
      <c r="A2006" t="s">
        <v>264</v>
      </c>
      <c r="B2006" t="s">
        <v>100</v>
      </c>
      <c r="C2006" t="s">
        <v>774</v>
      </c>
      <c r="D2006" s="1">
        <v>45122</v>
      </c>
      <c r="E2006" t="s">
        <v>265</v>
      </c>
      <c r="F2006">
        <v>-1.1399999999999999</v>
      </c>
      <c r="G2006" t="s">
        <v>70</v>
      </c>
      <c r="H2006" t="s">
        <v>264</v>
      </c>
      <c r="I2006" t="s">
        <v>72</v>
      </c>
    </row>
    <row r="2007" spans="1:9" x14ac:dyDescent="0.25">
      <c r="A2007" t="s">
        <v>264</v>
      </c>
      <c r="B2007" t="s">
        <v>100</v>
      </c>
      <c r="C2007" t="s">
        <v>774</v>
      </c>
      <c r="D2007" s="1">
        <v>45122</v>
      </c>
      <c r="E2007" t="s">
        <v>265</v>
      </c>
      <c r="F2007">
        <v>-81.650000000000006</v>
      </c>
      <c r="G2007" t="s">
        <v>70</v>
      </c>
      <c r="H2007" t="s">
        <v>264</v>
      </c>
      <c r="I2007" t="s">
        <v>72</v>
      </c>
    </row>
    <row r="2008" spans="1:9" x14ac:dyDescent="0.25">
      <c r="A2008" t="s">
        <v>264</v>
      </c>
      <c r="B2008" t="s">
        <v>100</v>
      </c>
      <c r="C2008" t="s">
        <v>774</v>
      </c>
      <c r="D2008" s="1">
        <v>45124</v>
      </c>
      <c r="E2008" t="s">
        <v>296</v>
      </c>
      <c r="F2008">
        <v>-10.42</v>
      </c>
      <c r="G2008" t="s">
        <v>92</v>
      </c>
      <c r="H2008" t="s">
        <v>349</v>
      </c>
      <c r="I2008" t="s">
        <v>349</v>
      </c>
    </row>
    <row r="2009" spans="1:9" x14ac:dyDescent="0.25">
      <c r="A2009" t="s">
        <v>264</v>
      </c>
      <c r="B2009" t="s">
        <v>100</v>
      </c>
      <c r="C2009" t="s">
        <v>774</v>
      </c>
      <c r="D2009" s="1">
        <v>45126</v>
      </c>
      <c r="E2009" t="s">
        <v>274</v>
      </c>
      <c r="F2009">
        <v>5131.87</v>
      </c>
      <c r="G2009" t="s">
        <v>74</v>
      </c>
      <c r="H2009" t="s">
        <v>256</v>
      </c>
      <c r="I2009" t="s">
        <v>346</v>
      </c>
    </row>
    <row r="2010" spans="1:9" x14ac:dyDescent="0.25">
      <c r="A2010" t="s">
        <v>264</v>
      </c>
      <c r="B2010" t="s">
        <v>100</v>
      </c>
      <c r="C2010" t="s">
        <v>774</v>
      </c>
      <c r="D2010" s="1">
        <v>45126</v>
      </c>
      <c r="E2010" t="s">
        <v>269</v>
      </c>
      <c r="F2010">
        <v>-5205.41</v>
      </c>
      <c r="G2010" t="s">
        <v>70</v>
      </c>
      <c r="H2010" t="s">
        <v>264</v>
      </c>
      <c r="I2010" t="s">
        <v>72</v>
      </c>
    </row>
    <row r="2011" spans="1:9" x14ac:dyDescent="0.25">
      <c r="A2011" t="s">
        <v>264</v>
      </c>
      <c r="B2011" t="s">
        <v>100</v>
      </c>
      <c r="C2011" t="s">
        <v>774</v>
      </c>
      <c r="D2011" s="1">
        <v>45126</v>
      </c>
      <c r="E2011" t="s">
        <v>275</v>
      </c>
      <c r="F2011">
        <v>969.99</v>
      </c>
      <c r="G2011" t="s">
        <v>70</v>
      </c>
      <c r="H2011" t="s">
        <v>264</v>
      </c>
      <c r="I2011" t="s">
        <v>72</v>
      </c>
    </row>
    <row r="2012" spans="1:9" x14ac:dyDescent="0.25">
      <c r="A2012" t="s">
        <v>264</v>
      </c>
      <c r="B2012" t="s">
        <v>100</v>
      </c>
      <c r="C2012" t="s">
        <v>774</v>
      </c>
      <c r="D2012" s="1">
        <v>45126</v>
      </c>
      <c r="E2012" t="s">
        <v>268</v>
      </c>
      <c r="F2012">
        <v>144.80000000000001</v>
      </c>
      <c r="G2012" t="s">
        <v>70</v>
      </c>
      <c r="H2012" t="s">
        <v>264</v>
      </c>
      <c r="I2012" t="s">
        <v>72</v>
      </c>
    </row>
    <row r="2013" spans="1:9" x14ac:dyDescent="0.25">
      <c r="A2013" t="s">
        <v>264</v>
      </c>
      <c r="B2013" t="s">
        <v>100</v>
      </c>
      <c r="C2013" t="s">
        <v>774</v>
      </c>
      <c r="D2013" s="1">
        <v>45126</v>
      </c>
      <c r="E2013" t="s">
        <v>269</v>
      </c>
      <c r="F2013">
        <v>-1211.26</v>
      </c>
      <c r="G2013" t="s">
        <v>70</v>
      </c>
      <c r="H2013" t="s">
        <v>264</v>
      </c>
      <c r="I2013" t="s">
        <v>72</v>
      </c>
    </row>
    <row r="2014" spans="1:9" x14ac:dyDescent="0.25">
      <c r="A2014" t="s">
        <v>264</v>
      </c>
      <c r="B2014" t="s">
        <v>100</v>
      </c>
      <c r="C2014" t="s">
        <v>774</v>
      </c>
      <c r="D2014" s="1">
        <v>45126</v>
      </c>
      <c r="E2014" t="s">
        <v>265</v>
      </c>
      <c r="F2014">
        <v>-97.66</v>
      </c>
      <c r="G2014" t="s">
        <v>70</v>
      </c>
      <c r="H2014" t="s">
        <v>264</v>
      </c>
      <c r="I2014" t="s">
        <v>72</v>
      </c>
    </row>
    <row r="2015" spans="1:9" x14ac:dyDescent="0.25">
      <c r="A2015" t="s">
        <v>264</v>
      </c>
      <c r="B2015" t="s">
        <v>100</v>
      </c>
      <c r="C2015" t="s">
        <v>774</v>
      </c>
      <c r="D2015" s="1">
        <v>45126</v>
      </c>
      <c r="E2015" t="s">
        <v>276</v>
      </c>
      <c r="F2015">
        <v>-2152.29</v>
      </c>
      <c r="G2015" t="s">
        <v>70</v>
      </c>
      <c r="H2015" t="s">
        <v>264</v>
      </c>
      <c r="I2015" t="s">
        <v>72</v>
      </c>
    </row>
    <row r="2016" spans="1:9" x14ac:dyDescent="0.25">
      <c r="A2016" t="s">
        <v>264</v>
      </c>
      <c r="B2016" t="s">
        <v>100</v>
      </c>
      <c r="C2016" t="s">
        <v>774</v>
      </c>
      <c r="D2016" s="1">
        <v>45127</v>
      </c>
      <c r="E2016" t="s">
        <v>267</v>
      </c>
      <c r="F2016">
        <v>195.22</v>
      </c>
      <c r="G2016" t="s">
        <v>70</v>
      </c>
      <c r="H2016" t="s">
        <v>264</v>
      </c>
      <c r="I2016" t="s">
        <v>72</v>
      </c>
    </row>
    <row r="2017" spans="1:9" x14ac:dyDescent="0.25">
      <c r="A2017" t="s">
        <v>264</v>
      </c>
      <c r="B2017" t="s">
        <v>100</v>
      </c>
      <c r="C2017" t="s">
        <v>774</v>
      </c>
      <c r="D2017" s="1">
        <v>45127</v>
      </c>
      <c r="E2017" t="s">
        <v>265</v>
      </c>
      <c r="F2017">
        <v>-17.989999999999998</v>
      </c>
      <c r="G2017" t="s">
        <v>70</v>
      </c>
      <c r="H2017" t="s">
        <v>264</v>
      </c>
      <c r="I2017" t="s">
        <v>72</v>
      </c>
    </row>
    <row r="2018" spans="1:9" x14ac:dyDescent="0.25">
      <c r="A2018" t="s">
        <v>264</v>
      </c>
      <c r="B2018" t="s">
        <v>100</v>
      </c>
      <c r="C2018" t="s">
        <v>774</v>
      </c>
      <c r="D2018" s="1">
        <v>45127</v>
      </c>
      <c r="E2018" t="s">
        <v>265</v>
      </c>
      <c r="F2018">
        <v>-10.23</v>
      </c>
      <c r="G2018" t="s">
        <v>70</v>
      </c>
      <c r="H2018" t="s">
        <v>264</v>
      </c>
      <c r="I2018" t="s">
        <v>72</v>
      </c>
    </row>
    <row r="2019" spans="1:9" x14ac:dyDescent="0.25">
      <c r="A2019" t="s">
        <v>264</v>
      </c>
      <c r="B2019" t="s">
        <v>100</v>
      </c>
      <c r="C2019" t="s">
        <v>774</v>
      </c>
      <c r="D2019" s="1">
        <v>45128</v>
      </c>
      <c r="E2019" t="s">
        <v>265</v>
      </c>
      <c r="F2019">
        <v>-13.21</v>
      </c>
      <c r="G2019" t="s">
        <v>70</v>
      </c>
      <c r="H2019" t="s">
        <v>264</v>
      </c>
      <c r="I2019" t="s">
        <v>72</v>
      </c>
    </row>
    <row r="2020" spans="1:9" x14ac:dyDescent="0.25">
      <c r="A2020" t="s">
        <v>264</v>
      </c>
      <c r="B2020" t="s">
        <v>100</v>
      </c>
      <c r="C2020" t="s">
        <v>774</v>
      </c>
      <c r="D2020" s="1">
        <v>45128</v>
      </c>
      <c r="E2020" t="s">
        <v>296</v>
      </c>
      <c r="F2020">
        <v>22.25</v>
      </c>
      <c r="G2020" t="s">
        <v>92</v>
      </c>
      <c r="H2020" t="s">
        <v>349</v>
      </c>
      <c r="I2020" t="s">
        <v>349</v>
      </c>
    </row>
    <row r="2021" spans="1:9" x14ac:dyDescent="0.25">
      <c r="A2021" t="s">
        <v>264</v>
      </c>
      <c r="B2021" t="s">
        <v>100</v>
      </c>
      <c r="C2021" t="s">
        <v>774</v>
      </c>
      <c r="D2021" s="1">
        <v>45128</v>
      </c>
      <c r="E2021" t="s">
        <v>297</v>
      </c>
      <c r="F2021">
        <v>-25.23</v>
      </c>
      <c r="G2021" t="s">
        <v>347</v>
      </c>
      <c r="H2021" t="s">
        <v>348</v>
      </c>
      <c r="I2021" t="s">
        <v>348</v>
      </c>
    </row>
    <row r="2022" spans="1:9" x14ac:dyDescent="0.25">
      <c r="A2022" t="s">
        <v>264</v>
      </c>
      <c r="B2022" t="s">
        <v>100</v>
      </c>
      <c r="C2022" t="s">
        <v>774</v>
      </c>
      <c r="D2022" s="1">
        <v>45129</v>
      </c>
      <c r="E2022" t="s">
        <v>265</v>
      </c>
      <c r="F2022">
        <v>-14.05</v>
      </c>
      <c r="G2022" t="s">
        <v>70</v>
      </c>
      <c r="H2022" t="s">
        <v>264</v>
      </c>
      <c r="I2022" t="s">
        <v>72</v>
      </c>
    </row>
    <row r="2023" spans="1:9" x14ac:dyDescent="0.25">
      <c r="A2023" t="s">
        <v>264</v>
      </c>
      <c r="B2023" t="s">
        <v>100</v>
      </c>
      <c r="C2023" t="s">
        <v>774</v>
      </c>
      <c r="D2023" s="1">
        <v>45129</v>
      </c>
      <c r="E2023" t="s">
        <v>268</v>
      </c>
      <c r="F2023">
        <v>218.05</v>
      </c>
      <c r="G2023" t="s">
        <v>70</v>
      </c>
      <c r="H2023" t="s">
        <v>264</v>
      </c>
      <c r="I2023" t="s">
        <v>72</v>
      </c>
    </row>
    <row r="2024" spans="1:9" x14ac:dyDescent="0.25">
      <c r="A2024" t="s">
        <v>264</v>
      </c>
      <c r="B2024" t="s">
        <v>100</v>
      </c>
      <c r="C2024" t="s">
        <v>774</v>
      </c>
      <c r="D2024" s="1">
        <v>45129</v>
      </c>
      <c r="E2024" t="s">
        <v>265</v>
      </c>
      <c r="F2024">
        <v>-23.68</v>
      </c>
      <c r="G2024" t="s">
        <v>70</v>
      </c>
      <c r="H2024" t="s">
        <v>264</v>
      </c>
      <c r="I2024" t="s">
        <v>72</v>
      </c>
    </row>
    <row r="2025" spans="1:9" x14ac:dyDescent="0.25">
      <c r="A2025" t="s">
        <v>264</v>
      </c>
      <c r="B2025" t="s">
        <v>100</v>
      </c>
      <c r="C2025" t="s">
        <v>774</v>
      </c>
      <c r="D2025" s="1">
        <v>45131</v>
      </c>
      <c r="E2025" t="s">
        <v>265</v>
      </c>
      <c r="F2025">
        <v>-4.91</v>
      </c>
      <c r="G2025" t="s">
        <v>70</v>
      </c>
      <c r="H2025" t="s">
        <v>264</v>
      </c>
      <c r="I2025" t="s">
        <v>72</v>
      </c>
    </row>
    <row r="2026" spans="1:9" x14ac:dyDescent="0.25">
      <c r="A2026" t="s">
        <v>264</v>
      </c>
      <c r="B2026" t="s">
        <v>100</v>
      </c>
      <c r="C2026" t="s">
        <v>774</v>
      </c>
      <c r="D2026" s="1">
        <v>45133</v>
      </c>
      <c r="E2026" t="s">
        <v>267</v>
      </c>
      <c r="F2026">
        <v>1800.03</v>
      </c>
      <c r="G2026" t="s">
        <v>70</v>
      </c>
      <c r="H2026" t="s">
        <v>264</v>
      </c>
      <c r="I2026" t="s">
        <v>72</v>
      </c>
    </row>
    <row r="2027" spans="1:9" x14ac:dyDescent="0.25">
      <c r="A2027" t="s">
        <v>264</v>
      </c>
      <c r="B2027" t="s">
        <v>100</v>
      </c>
      <c r="C2027" t="s">
        <v>774</v>
      </c>
      <c r="D2027" s="1">
        <v>45133</v>
      </c>
      <c r="E2027" t="s">
        <v>265</v>
      </c>
      <c r="F2027">
        <v>-179.67</v>
      </c>
      <c r="G2027" t="s">
        <v>70</v>
      </c>
      <c r="H2027" t="s">
        <v>264</v>
      </c>
      <c r="I2027" t="s">
        <v>72</v>
      </c>
    </row>
    <row r="2028" spans="1:9" x14ac:dyDescent="0.25">
      <c r="A2028" t="s">
        <v>264</v>
      </c>
      <c r="B2028" t="s">
        <v>100</v>
      </c>
      <c r="C2028" t="s">
        <v>774</v>
      </c>
      <c r="D2028" s="1">
        <v>45133</v>
      </c>
      <c r="E2028" t="s">
        <v>275</v>
      </c>
      <c r="F2028">
        <v>151.62</v>
      </c>
      <c r="G2028" t="s">
        <v>70</v>
      </c>
      <c r="H2028" t="s">
        <v>264</v>
      </c>
      <c r="I2028" t="s">
        <v>72</v>
      </c>
    </row>
    <row r="2029" spans="1:9" x14ac:dyDescent="0.25">
      <c r="A2029" t="s">
        <v>264</v>
      </c>
      <c r="B2029" t="s">
        <v>100</v>
      </c>
      <c r="C2029" t="s">
        <v>774</v>
      </c>
      <c r="D2029" s="1">
        <v>45134</v>
      </c>
      <c r="E2029" t="s">
        <v>265</v>
      </c>
      <c r="F2029">
        <v>-14.25</v>
      </c>
      <c r="G2029" t="s">
        <v>70</v>
      </c>
      <c r="H2029" t="s">
        <v>264</v>
      </c>
      <c r="I2029" t="s">
        <v>72</v>
      </c>
    </row>
    <row r="2030" spans="1:9" x14ac:dyDescent="0.25">
      <c r="A2030" t="s">
        <v>264</v>
      </c>
      <c r="B2030" t="s">
        <v>100</v>
      </c>
      <c r="C2030" t="s">
        <v>774</v>
      </c>
      <c r="D2030" s="1">
        <v>45135</v>
      </c>
      <c r="E2030" t="s">
        <v>271</v>
      </c>
      <c r="F2030">
        <v>-530.54</v>
      </c>
      <c r="G2030" t="s">
        <v>70</v>
      </c>
      <c r="H2030" t="s">
        <v>264</v>
      </c>
      <c r="I2030" t="s">
        <v>72</v>
      </c>
    </row>
    <row r="2031" spans="1:9" x14ac:dyDescent="0.25">
      <c r="A2031" t="s">
        <v>264</v>
      </c>
      <c r="B2031" t="s">
        <v>100</v>
      </c>
      <c r="C2031" t="s">
        <v>774</v>
      </c>
      <c r="D2031" s="1">
        <v>45135</v>
      </c>
      <c r="E2031" t="s">
        <v>272</v>
      </c>
      <c r="F2031">
        <v>-68.64</v>
      </c>
      <c r="G2031" t="s">
        <v>70</v>
      </c>
      <c r="H2031" t="s">
        <v>264</v>
      </c>
      <c r="I2031" t="s">
        <v>72</v>
      </c>
    </row>
    <row r="2032" spans="1:9" x14ac:dyDescent="0.25">
      <c r="A2032" t="s">
        <v>264</v>
      </c>
      <c r="B2032" t="s">
        <v>100</v>
      </c>
      <c r="C2032" t="s">
        <v>774</v>
      </c>
      <c r="D2032" s="1">
        <v>45135</v>
      </c>
      <c r="E2032" t="s">
        <v>273</v>
      </c>
      <c r="F2032">
        <v>-539.92999999999995</v>
      </c>
      <c r="G2032" t="s">
        <v>70</v>
      </c>
      <c r="H2032" t="s">
        <v>264</v>
      </c>
      <c r="I2032" t="s">
        <v>72</v>
      </c>
    </row>
    <row r="2033" spans="1:9" x14ac:dyDescent="0.25">
      <c r="A2033" t="s">
        <v>264</v>
      </c>
      <c r="B2033" t="s">
        <v>100</v>
      </c>
      <c r="C2033" t="s">
        <v>774</v>
      </c>
      <c r="D2033" s="1">
        <v>45136</v>
      </c>
      <c r="E2033" t="s">
        <v>265</v>
      </c>
      <c r="F2033">
        <v>-8.2899999999999991</v>
      </c>
      <c r="G2033" t="s">
        <v>70</v>
      </c>
      <c r="H2033" t="s">
        <v>264</v>
      </c>
      <c r="I2033" t="s">
        <v>72</v>
      </c>
    </row>
    <row r="2034" spans="1:9" x14ac:dyDescent="0.25">
      <c r="A2034" t="s">
        <v>264</v>
      </c>
      <c r="B2034" t="s">
        <v>100</v>
      </c>
      <c r="C2034" t="s">
        <v>774</v>
      </c>
      <c r="D2034" s="1">
        <v>45136</v>
      </c>
      <c r="E2034" t="s">
        <v>265</v>
      </c>
      <c r="F2034">
        <v>-33.119999999999997</v>
      </c>
      <c r="G2034" t="s">
        <v>70</v>
      </c>
      <c r="H2034" t="s">
        <v>264</v>
      </c>
      <c r="I2034" t="s">
        <v>72</v>
      </c>
    </row>
    <row r="2035" spans="1:9" x14ac:dyDescent="0.25">
      <c r="A2035" t="s">
        <v>264</v>
      </c>
      <c r="B2035" t="s">
        <v>100</v>
      </c>
      <c r="C2035" t="s">
        <v>774</v>
      </c>
      <c r="D2035" s="1">
        <v>45137</v>
      </c>
      <c r="E2035" t="s">
        <v>265</v>
      </c>
      <c r="F2035">
        <v>-10.68</v>
      </c>
      <c r="G2035" t="s">
        <v>70</v>
      </c>
      <c r="H2035" t="s">
        <v>264</v>
      </c>
      <c r="I2035" t="s">
        <v>72</v>
      </c>
    </row>
    <row r="2036" spans="1:9" x14ac:dyDescent="0.25">
      <c r="A2036" t="s">
        <v>264</v>
      </c>
      <c r="B2036" t="s">
        <v>100</v>
      </c>
      <c r="C2036" t="s">
        <v>774</v>
      </c>
      <c r="D2036" s="1">
        <v>45138</v>
      </c>
      <c r="E2036" t="s">
        <v>298</v>
      </c>
      <c r="F2036">
        <v>-0.5</v>
      </c>
      <c r="G2036" t="s">
        <v>84</v>
      </c>
      <c r="H2036" t="s">
        <v>85</v>
      </c>
      <c r="I2036" t="s">
        <v>86</v>
      </c>
    </row>
    <row r="2037" spans="1:9" x14ac:dyDescent="0.25">
      <c r="A2037" t="s">
        <v>264</v>
      </c>
      <c r="B2037" t="s">
        <v>100</v>
      </c>
      <c r="C2037" t="s">
        <v>774</v>
      </c>
      <c r="D2037" s="1">
        <v>45138</v>
      </c>
      <c r="E2037" t="s">
        <v>299</v>
      </c>
      <c r="F2037">
        <v>-2.2000000000000002</v>
      </c>
      <c r="G2037" t="s">
        <v>84</v>
      </c>
      <c r="H2037" t="s">
        <v>85</v>
      </c>
      <c r="I2037" t="s">
        <v>86</v>
      </c>
    </row>
    <row r="2038" spans="1:9" x14ac:dyDescent="0.25">
      <c r="A2038" t="s">
        <v>264</v>
      </c>
      <c r="B2038" t="s">
        <v>100</v>
      </c>
      <c r="C2038" t="s">
        <v>774</v>
      </c>
      <c r="D2038" s="1">
        <v>45140</v>
      </c>
      <c r="E2038" t="s">
        <v>274</v>
      </c>
      <c r="F2038">
        <v>3762.17</v>
      </c>
      <c r="G2038" t="s">
        <v>74</v>
      </c>
      <c r="H2038" t="s">
        <v>256</v>
      </c>
      <c r="I2038" t="s">
        <v>346</v>
      </c>
    </row>
    <row r="2039" spans="1:9" x14ac:dyDescent="0.25">
      <c r="A2039" t="s">
        <v>264</v>
      </c>
      <c r="B2039" t="s">
        <v>100</v>
      </c>
      <c r="C2039" t="s">
        <v>774</v>
      </c>
      <c r="D2039" s="1">
        <v>45140</v>
      </c>
      <c r="E2039" t="s">
        <v>275</v>
      </c>
      <c r="F2039">
        <v>116.27</v>
      </c>
      <c r="G2039" t="s">
        <v>70</v>
      </c>
      <c r="H2039" t="s">
        <v>264</v>
      </c>
      <c r="I2039" t="s">
        <v>72</v>
      </c>
    </row>
    <row r="2040" spans="1:9" x14ac:dyDescent="0.25">
      <c r="A2040" t="s">
        <v>264</v>
      </c>
      <c r="B2040" t="s">
        <v>100</v>
      </c>
      <c r="C2040" t="s">
        <v>774</v>
      </c>
      <c r="D2040" s="1">
        <v>45140</v>
      </c>
      <c r="E2040" t="s">
        <v>269</v>
      </c>
      <c r="F2040">
        <v>-435.67</v>
      </c>
      <c r="G2040" t="s">
        <v>70</v>
      </c>
      <c r="H2040" t="s">
        <v>264</v>
      </c>
      <c r="I2040" t="s">
        <v>72</v>
      </c>
    </row>
    <row r="2041" spans="1:9" x14ac:dyDescent="0.25">
      <c r="A2041" t="s">
        <v>264</v>
      </c>
      <c r="B2041" t="s">
        <v>100</v>
      </c>
      <c r="C2041" t="s">
        <v>774</v>
      </c>
      <c r="D2041" s="1">
        <v>45140</v>
      </c>
      <c r="E2041" t="s">
        <v>268</v>
      </c>
      <c r="F2041">
        <v>1457.8</v>
      </c>
      <c r="G2041" t="s">
        <v>70</v>
      </c>
      <c r="H2041" t="s">
        <v>264</v>
      </c>
      <c r="I2041" t="s">
        <v>72</v>
      </c>
    </row>
    <row r="2042" spans="1:9" x14ac:dyDescent="0.25">
      <c r="A2042" t="s">
        <v>264</v>
      </c>
      <c r="B2042" t="s">
        <v>100</v>
      </c>
      <c r="C2042" t="s">
        <v>774</v>
      </c>
      <c r="D2042" s="1">
        <v>45140</v>
      </c>
      <c r="E2042" t="s">
        <v>269</v>
      </c>
      <c r="F2042">
        <v>-1076.56</v>
      </c>
      <c r="G2042" t="s">
        <v>70</v>
      </c>
      <c r="H2042" t="s">
        <v>264</v>
      </c>
      <c r="I2042" t="s">
        <v>72</v>
      </c>
    </row>
    <row r="2043" spans="1:9" x14ac:dyDescent="0.25">
      <c r="A2043" t="s">
        <v>264</v>
      </c>
      <c r="B2043" t="s">
        <v>100</v>
      </c>
      <c r="C2043" t="s">
        <v>774</v>
      </c>
      <c r="D2043" s="1">
        <v>45140</v>
      </c>
      <c r="E2043" t="s">
        <v>265</v>
      </c>
      <c r="F2043">
        <v>-0.11</v>
      </c>
      <c r="G2043" t="s">
        <v>70</v>
      </c>
      <c r="H2043" t="s">
        <v>264</v>
      </c>
      <c r="I2043" t="s">
        <v>72</v>
      </c>
    </row>
    <row r="2044" spans="1:9" x14ac:dyDescent="0.25">
      <c r="A2044" t="s">
        <v>264</v>
      </c>
      <c r="B2044" t="s">
        <v>100</v>
      </c>
      <c r="C2044" t="s">
        <v>774</v>
      </c>
      <c r="D2044" s="1">
        <v>45140</v>
      </c>
      <c r="E2044" t="s">
        <v>269</v>
      </c>
      <c r="F2044">
        <v>-229.87</v>
      </c>
      <c r="G2044" t="s">
        <v>70</v>
      </c>
      <c r="H2044" t="s">
        <v>264</v>
      </c>
      <c r="I2044" t="s">
        <v>72</v>
      </c>
    </row>
    <row r="2045" spans="1:9" x14ac:dyDescent="0.25">
      <c r="A2045" t="s">
        <v>264</v>
      </c>
      <c r="B2045" t="s">
        <v>100</v>
      </c>
      <c r="C2045" t="s">
        <v>774</v>
      </c>
      <c r="D2045" s="1">
        <v>45140</v>
      </c>
      <c r="E2045" t="s">
        <v>276</v>
      </c>
      <c r="F2045">
        <v>-933.38</v>
      </c>
      <c r="G2045" t="s">
        <v>70</v>
      </c>
      <c r="H2045" t="s">
        <v>264</v>
      </c>
      <c r="I2045" t="s">
        <v>72</v>
      </c>
    </row>
    <row r="2046" spans="1:9" x14ac:dyDescent="0.25">
      <c r="A2046" t="s">
        <v>264</v>
      </c>
      <c r="B2046" t="s">
        <v>100</v>
      </c>
      <c r="C2046" t="s">
        <v>774</v>
      </c>
      <c r="D2046" s="1">
        <v>45141</v>
      </c>
      <c r="E2046" t="s">
        <v>265</v>
      </c>
      <c r="F2046">
        <v>-42.4</v>
      </c>
      <c r="G2046" t="s">
        <v>70</v>
      </c>
      <c r="H2046" t="s">
        <v>264</v>
      </c>
      <c r="I2046" t="s">
        <v>72</v>
      </c>
    </row>
    <row r="2047" spans="1:9" x14ac:dyDescent="0.25">
      <c r="A2047" t="s">
        <v>264</v>
      </c>
      <c r="B2047" t="s">
        <v>100</v>
      </c>
      <c r="C2047" t="s">
        <v>774</v>
      </c>
      <c r="D2047" s="1">
        <v>45142</v>
      </c>
      <c r="E2047" t="s">
        <v>268</v>
      </c>
      <c r="F2047">
        <v>12.51</v>
      </c>
      <c r="G2047" t="s">
        <v>70</v>
      </c>
      <c r="H2047" t="s">
        <v>264</v>
      </c>
      <c r="I2047" t="s">
        <v>72</v>
      </c>
    </row>
    <row r="2048" spans="1:9" x14ac:dyDescent="0.25">
      <c r="A2048" t="s">
        <v>264</v>
      </c>
      <c r="B2048" t="s">
        <v>100</v>
      </c>
      <c r="C2048" t="s">
        <v>774</v>
      </c>
      <c r="D2048" s="1">
        <v>45142</v>
      </c>
      <c r="E2048" t="s">
        <v>265</v>
      </c>
      <c r="F2048">
        <v>-16.149999999999999</v>
      </c>
      <c r="G2048" t="s">
        <v>70</v>
      </c>
      <c r="H2048" t="s">
        <v>264</v>
      </c>
      <c r="I2048" t="s">
        <v>72</v>
      </c>
    </row>
    <row r="2049" spans="1:9" x14ac:dyDescent="0.25">
      <c r="A2049" t="s">
        <v>264</v>
      </c>
      <c r="B2049" t="s">
        <v>100</v>
      </c>
      <c r="C2049" t="s">
        <v>774</v>
      </c>
      <c r="D2049" s="1">
        <v>45142</v>
      </c>
      <c r="E2049" t="s">
        <v>275</v>
      </c>
      <c r="F2049">
        <v>5056.74</v>
      </c>
      <c r="G2049" t="s">
        <v>70</v>
      </c>
      <c r="H2049" t="s">
        <v>264</v>
      </c>
      <c r="I2049" t="s">
        <v>72</v>
      </c>
    </row>
    <row r="2050" spans="1:9" x14ac:dyDescent="0.25">
      <c r="A2050" t="s">
        <v>264</v>
      </c>
      <c r="B2050" t="s">
        <v>100</v>
      </c>
      <c r="C2050" t="s">
        <v>774</v>
      </c>
      <c r="D2050" s="1">
        <v>45142</v>
      </c>
      <c r="E2050" t="s">
        <v>269</v>
      </c>
      <c r="F2050">
        <v>-5218.9399999999996</v>
      </c>
      <c r="G2050" t="s">
        <v>70</v>
      </c>
      <c r="H2050" t="s">
        <v>264</v>
      </c>
      <c r="I2050" t="s">
        <v>72</v>
      </c>
    </row>
    <row r="2051" spans="1:9" x14ac:dyDescent="0.25">
      <c r="A2051" t="s">
        <v>264</v>
      </c>
      <c r="B2051" t="s">
        <v>100</v>
      </c>
      <c r="C2051" t="s">
        <v>774</v>
      </c>
      <c r="D2051" s="1">
        <v>45142</v>
      </c>
      <c r="E2051" t="s">
        <v>300</v>
      </c>
      <c r="F2051">
        <v>-15.39</v>
      </c>
      <c r="G2051" t="s">
        <v>347</v>
      </c>
      <c r="H2051" t="s">
        <v>348</v>
      </c>
      <c r="I2051" t="s">
        <v>348</v>
      </c>
    </row>
    <row r="2052" spans="1:9" x14ac:dyDescent="0.25">
      <c r="A2052" t="s">
        <v>264</v>
      </c>
      <c r="B2052" t="s">
        <v>100</v>
      </c>
      <c r="C2052" t="s">
        <v>774</v>
      </c>
      <c r="D2052" s="1">
        <v>45144</v>
      </c>
      <c r="E2052" t="s">
        <v>265</v>
      </c>
      <c r="F2052">
        <v>-54.37</v>
      </c>
      <c r="G2052" t="s">
        <v>70</v>
      </c>
      <c r="H2052" t="s">
        <v>264</v>
      </c>
      <c r="I2052" t="s">
        <v>72</v>
      </c>
    </row>
    <row r="2053" spans="1:9" x14ac:dyDescent="0.25">
      <c r="A2053" t="s">
        <v>264</v>
      </c>
      <c r="B2053" t="s">
        <v>100</v>
      </c>
      <c r="C2053" t="s">
        <v>774</v>
      </c>
      <c r="D2053" s="1">
        <v>45144</v>
      </c>
      <c r="E2053" t="s">
        <v>265</v>
      </c>
      <c r="F2053">
        <v>-10.52</v>
      </c>
      <c r="G2053" t="s">
        <v>70</v>
      </c>
      <c r="H2053" t="s">
        <v>264</v>
      </c>
      <c r="I2053" t="s">
        <v>72</v>
      </c>
    </row>
    <row r="2054" spans="1:9" x14ac:dyDescent="0.25">
      <c r="A2054" t="s">
        <v>264</v>
      </c>
      <c r="B2054" t="s">
        <v>100</v>
      </c>
      <c r="C2054" t="s">
        <v>774</v>
      </c>
      <c r="D2054" s="1">
        <v>45144</v>
      </c>
      <c r="E2054" t="s">
        <v>265</v>
      </c>
      <c r="F2054">
        <v>-47.51</v>
      </c>
      <c r="G2054" t="s">
        <v>70</v>
      </c>
      <c r="H2054" t="s">
        <v>264</v>
      </c>
      <c r="I2054" t="s">
        <v>72</v>
      </c>
    </row>
    <row r="2055" spans="1:9" x14ac:dyDescent="0.25">
      <c r="A2055" t="s">
        <v>264</v>
      </c>
      <c r="B2055" t="s">
        <v>100</v>
      </c>
      <c r="C2055" t="s">
        <v>774</v>
      </c>
      <c r="D2055" s="1">
        <v>45146</v>
      </c>
      <c r="E2055" t="s">
        <v>265</v>
      </c>
      <c r="F2055">
        <v>-147.52000000000001</v>
      </c>
      <c r="G2055" t="s">
        <v>70</v>
      </c>
      <c r="H2055" t="s">
        <v>264</v>
      </c>
      <c r="I2055" t="s">
        <v>72</v>
      </c>
    </row>
    <row r="2056" spans="1:9" x14ac:dyDescent="0.25">
      <c r="A2056" t="s">
        <v>264</v>
      </c>
      <c r="B2056" t="s">
        <v>100</v>
      </c>
      <c r="C2056" t="s">
        <v>774</v>
      </c>
      <c r="D2056" s="1">
        <v>45148</v>
      </c>
      <c r="E2056" t="s">
        <v>267</v>
      </c>
      <c r="F2056">
        <v>81.52</v>
      </c>
      <c r="G2056" t="s">
        <v>70</v>
      </c>
      <c r="H2056" t="s">
        <v>264</v>
      </c>
      <c r="I2056" t="s">
        <v>72</v>
      </c>
    </row>
    <row r="2057" spans="1:9" x14ac:dyDescent="0.25">
      <c r="A2057" t="s">
        <v>264</v>
      </c>
      <c r="B2057" t="s">
        <v>100</v>
      </c>
      <c r="C2057" t="s">
        <v>774</v>
      </c>
      <c r="D2057" s="1">
        <v>45148</v>
      </c>
      <c r="E2057" t="s">
        <v>265</v>
      </c>
      <c r="F2057">
        <v>-12.23</v>
      </c>
      <c r="G2057" t="s">
        <v>70</v>
      </c>
      <c r="H2057" t="s">
        <v>264</v>
      </c>
      <c r="I2057" t="s">
        <v>72</v>
      </c>
    </row>
    <row r="2058" spans="1:9" x14ac:dyDescent="0.25">
      <c r="A2058" t="s">
        <v>264</v>
      </c>
      <c r="B2058" t="s">
        <v>100</v>
      </c>
      <c r="C2058" t="s">
        <v>774</v>
      </c>
      <c r="D2058" s="1">
        <v>45148</v>
      </c>
      <c r="E2058" t="s">
        <v>275</v>
      </c>
      <c r="F2058">
        <v>95.5</v>
      </c>
      <c r="G2058" t="s">
        <v>70</v>
      </c>
      <c r="H2058" t="s">
        <v>264</v>
      </c>
      <c r="I2058" t="s">
        <v>72</v>
      </c>
    </row>
    <row r="2059" spans="1:9" x14ac:dyDescent="0.25">
      <c r="A2059" t="s">
        <v>264</v>
      </c>
      <c r="B2059" t="s">
        <v>100</v>
      </c>
      <c r="C2059" t="s">
        <v>774</v>
      </c>
      <c r="D2059" s="1">
        <v>45149</v>
      </c>
      <c r="E2059" t="s">
        <v>265</v>
      </c>
      <c r="F2059">
        <v>-261.17</v>
      </c>
      <c r="G2059" t="s">
        <v>70</v>
      </c>
      <c r="H2059" t="s">
        <v>264</v>
      </c>
      <c r="I2059" t="s">
        <v>72</v>
      </c>
    </row>
    <row r="2060" spans="1:9" x14ac:dyDescent="0.25">
      <c r="A2060" t="s">
        <v>264</v>
      </c>
      <c r="B2060" t="s">
        <v>100</v>
      </c>
      <c r="C2060" t="s">
        <v>774</v>
      </c>
      <c r="D2060" s="1">
        <v>45149</v>
      </c>
      <c r="E2060" t="s">
        <v>271</v>
      </c>
      <c r="F2060">
        <v>-1798.75</v>
      </c>
      <c r="G2060" t="s">
        <v>70</v>
      </c>
      <c r="H2060" t="s">
        <v>264</v>
      </c>
      <c r="I2060" t="s">
        <v>72</v>
      </c>
    </row>
    <row r="2061" spans="1:9" x14ac:dyDescent="0.25">
      <c r="A2061" t="s">
        <v>264</v>
      </c>
      <c r="B2061" t="s">
        <v>100</v>
      </c>
      <c r="C2061" t="s">
        <v>774</v>
      </c>
      <c r="D2061" s="1">
        <v>45149</v>
      </c>
      <c r="E2061" t="s">
        <v>272</v>
      </c>
      <c r="F2061">
        <v>-2019.75</v>
      </c>
      <c r="G2061" t="s">
        <v>70</v>
      </c>
      <c r="H2061" t="s">
        <v>264</v>
      </c>
      <c r="I2061" t="s">
        <v>72</v>
      </c>
    </row>
    <row r="2062" spans="1:9" x14ac:dyDescent="0.25">
      <c r="A2062" t="s">
        <v>264</v>
      </c>
      <c r="B2062" t="s">
        <v>100</v>
      </c>
      <c r="C2062" t="s">
        <v>774</v>
      </c>
      <c r="D2062" s="1">
        <v>45149</v>
      </c>
      <c r="E2062" t="s">
        <v>273</v>
      </c>
      <c r="F2062">
        <v>-112.15</v>
      </c>
      <c r="G2062" t="s">
        <v>70</v>
      </c>
      <c r="H2062" t="s">
        <v>264</v>
      </c>
      <c r="I2062" t="s">
        <v>72</v>
      </c>
    </row>
    <row r="2063" spans="1:9" x14ac:dyDescent="0.25">
      <c r="A2063" t="s">
        <v>264</v>
      </c>
      <c r="B2063" t="s">
        <v>100</v>
      </c>
      <c r="C2063" t="s">
        <v>774</v>
      </c>
      <c r="D2063" s="1">
        <v>45150</v>
      </c>
      <c r="E2063" t="s">
        <v>265</v>
      </c>
      <c r="F2063">
        <v>-82.65</v>
      </c>
      <c r="G2063" t="s">
        <v>70</v>
      </c>
      <c r="H2063" t="s">
        <v>264</v>
      </c>
      <c r="I2063" t="s">
        <v>72</v>
      </c>
    </row>
    <row r="2064" spans="1:9" x14ac:dyDescent="0.25">
      <c r="A2064" t="s">
        <v>264</v>
      </c>
      <c r="B2064" t="s">
        <v>100</v>
      </c>
      <c r="C2064" t="s">
        <v>774</v>
      </c>
      <c r="D2064" s="1">
        <v>45150</v>
      </c>
      <c r="E2064" t="s">
        <v>269</v>
      </c>
      <c r="F2064">
        <v>-219.87</v>
      </c>
      <c r="G2064" t="s">
        <v>70</v>
      </c>
      <c r="H2064" t="s">
        <v>264</v>
      </c>
      <c r="I2064" t="s">
        <v>72</v>
      </c>
    </row>
    <row r="2065" spans="1:9" x14ac:dyDescent="0.25">
      <c r="A2065" t="s">
        <v>264</v>
      </c>
      <c r="B2065" t="s">
        <v>100</v>
      </c>
      <c r="C2065" t="s">
        <v>774</v>
      </c>
      <c r="D2065" s="1">
        <v>45151</v>
      </c>
      <c r="E2065" t="s">
        <v>265</v>
      </c>
      <c r="F2065">
        <v>-23.72</v>
      </c>
      <c r="G2065" t="s">
        <v>70</v>
      </c>
      <c r="H2065" t="s">
        <v>264</v>
      </c>
      <c r="I2065" t="s">
        <v>72</v>
      </c>
    </row>
    <row r="2066" spans="1:9" x14ac:dyDescent="0.25">
      <c r="A2066" t="s">
        <v>264</v>
      </c>
      <c r="B2066" t="s">
        <v>100</v>
      </c>
      <c r="C2066" t="s">
        <v>774</v>
      </c>
      <c r="D2066" s="1">
        <v>45152</v>
      </c>
      <c r="E2066" t="s">
        <v>265</v>
      </c>
      <c r="F2066">
        <v>-6.33</v>
      </c>
      <c r="G2066" t="s">
        <v>70</v>
      </c>
      <c r="H2066" t="s">
        <v>264</v>
      </c>
      <c r="I2066" t="s">
        <v>72</v>
      </c>
    </row>
    <row r="2067" spans="1:9" x14ac:dyDescent="0.25">
      <c r="A2067" t="s">
        <v>264</v>
      </c>
      <c r="B2067" t="s">
        <v>100</v>
      </c>
      <c r="C2067" t="s">
        <v>774</v>
      </c>
      <c r="D2067" s="1">
        <v>45153</v>
      </c>
      <c r="E2067" t="s">
        <v>301</v>
      </c>
      <c r="F2067">
        <v>-0.38</v>
      </c>
      <c r="G2067" t="s">
        <v>84</v>
      </c>
      <c r="H2067" t="s">
        <v>85</v>
      </c>
      <c r="I2067" t="s">
        <v>86</v>
      </c>
    </row>
    <row r="2068" spans="1:9" x14ac:dyDescent="0.25">
      <c r="A2068" t="s">
        <v>264</v>
      </c>
      <c r="B2068" t="s">
        <v>100</v>
      </c>
      <c r="C2068" t="s">
        <v>774</v>
      </c>
      <c r="D2068" s="1">
        <v>45154</v>
      </c>
      <c r="E2068" t="s">
        <v>274</v>
      </c>
      <c r="F2068">
        <v>235.68</v>
      </c>
      <c r="G2068" t="s">
        <v>74</v>
      </c>
      <c r="H2068" t="s">
        <v>256</v>
      </c>
      <c r="I2068" t="s">
        <v>346</v>
      </c>
    </row>
    <row r="2069" spans="1:9" x14ac:dyDescent="0.25">
      <c r="A2069" t="s">
        <v>264</v>
      </c>
      <c r="B2069" t="s">
        <v>100</v>
      </c>
      <c r="C2069" t="s">
        <v>774</v>
      </c>
      <c r="D2069" s="1">
        <v>45154</v>
      </c>
      <c r="E2069" t="s">
        <v>269</v>
      </c>
      <c r="F2069">
        <v>-4017.96</v>
      </c>
      <c r="G2069" t="s">
        <v>70</v>
      </c>
      <c r="H2069" t="s">
        <v>264</v>
      </c>
      <c r="I2069" t="s">
        <v>72</v>
      </c>
    </row>
    <row r="2070" spans="1:9" x14ac:dyDescent="0.25">
      <c r="A2070" t="s">
        <v>264</v>
      </c>
      <c r="B2070" t="s">
        <v>100</v>
      </c>
      <c r="C2070" t="s">
        <v>774</v>
      </c>
      <c r="D2070" s="1">
        <v>45154</v>
      </c>
      <c r="E2070" t="s">
        <v>275</v>
      </c>
      <c r="F2070">
        <v>807.19</v>
      </c>
      <c r="G2070" t="s">
        <v>70</v>
      </c>
      <c r="H2070" t="s">
        <v>264</v>
      </c>
      <c r="I2070" t="s">
        <v>72</v>
      </c>
    </row>
    <row r="2071" spans="1:9" x14ac:dyDescent="0.25">
      <c r="A2071" t="s">
        <v>264</v>
      </c>
      <c r="B2071" t="s">
        <v>100</v>
      </c>
      <c r="C2071" t="s">
        <v>774</v>
      </c>
      <c r="D2071" s="1">
        <v>45154</v>
      </c>
      <c r="E2071" t="s">
        <v>268</v>
      </c>
      <c r="F2071">
        <v>1191.3699999999999</v>
      </c>
      <c r="G2071" t="s">
        <v>70</v>
      </c>
      <c r="H2071" t="s">
        <v>264</v>
      </c>
      <c r="I2071" t="s">
        <v>72</v>
      </c>
    </row>
    <row r="2072" spans="1:9" x14ac:dyDescent="0.25">
      <c r="A2072" t="s">
        <v>264</v>
      </c>
      <c r="B2072" t="s">
        <v>100</v>
      </c>
      <c r="C2072" t="s">
        <v>774</v>
      </c>
      <c r="D2072" s="1">
        <v>45154</v>
      </c>
      <c r="E2072" t="s">
        <v>270</v>
      </c>
      <c r="F2072">
        <v>-16.809999999999999</v>
      </c>
      <c r="G2072" t="s">
        <v>70</v>
      </c>
      <c r="H2072" t="s">
        <v>264</v>
      </c>
      <c r="I2072" t="s">
        <v>72</v>
      </c>
    </row>
    <row r="2073" spans="1:9" x14ac:dyDescent="0.25">
      <c r="A2073" t="s">
        <v>264</v>
      </c>
      <c r="B2073" t="s">
        <v>100</v>
      </c>
      <c r="C2073" t="s">
        <v>774</v>
      </c>
      <c r="D2073" s="1">
        <v>45154</v>
      </c>
      <c r="E2073" t="s">
        <v>276</v>
      </c>
      <c r="F2073">
        <v>-579.87</v>
      </c>
      <c r="G2073" t="s">
        <v>70</v>
      </c>
      <c r="H2073" t="s">
        <v>264</v>
      </c>
      <c r="I2073" t="s">
        <v>72</v>
      </c>
    </row>
    <row r="2074" spans="1:9" x14ac:dyDescent="0.25">
      <c r="A2074" t="s">
        <v>264</v>
      </c>
      <c r="B2074" t="s">
        <v>100</v>
      </c>
      <c r="C2074" t="s">
        <v>774</v>
      </c>
      <c r="D2074" s="1">
        <v>45155</v>
      </c>
      <c r="E2074" t="s">
        <v>267</v>
      </c>
      <c r="F2074">
        <v>194.02</v>
      </c>
      <c r="G2074" t="s">
        <v>70</v>
      </c>
      <c r="H2074" t="s">
        <v>264</v>
      </c>
      <c r="I2074" t="s">
        <v>72</v>
      </c>
    </row>
    <row r="2075" spans="1:9" x14ac:dyDescent="0.25">
      <c r="A2075" t="s">
        <v>264</v>
      </c>
      <c r="B2075" t="s">
        <v>100</v>
      </c>
      <c r="C2075" t="s">
        <v>774</v>
      </c>
      <c r="D2075" s="1">
        <v>45155</v>
      </c>
      <c r="E2075" t="s">
        <v>286</v>
      </c>
      <c r="F2075">
        <v>-121.92</v>
      </c>
      <c r="G2075" t="s">
        <v>70</v>
      </c>
      <c r="H2075" t="s">
        <v>264</v>
      </c>
      <c r="I2075" t="s">
        <v>72</v>
      </c>
    </row>
    <row r="2076" spans="1:9" x14ac:dyDescent="0.25">
      <c r="A2076" t="s">
        <v>264</v>
      </c>
      <c r="B2076" t="s">
        <v>100</v>
      </c>
      <c r="C2076" t="s">
        <v>774</v>
      </c>
      <c r="D2076" s="1">
        <v>45156</v>
      </c>
      <c r="E2076" t="s">
        <v>302</v>
      </c>
      <c r="F2076">
        <v>-0.54</v>
      </c>
      <c r="G2076" t="s">
        <v>70</v>
      </c>
      <c r="H2076" t="s">
        <v>264</v>
      </c>
      <c r="I2076" t="s">
        <v>72</v>
      </c>
    </row>
    <row r="2077" spans="1:9" x14ac:dyDescent="0.25">
      <c r="A2077" t="s">
        <v>264</v>
      </c>
      <c r="B2077" t="s">
        <v>100</v>
      </c>
      <c r="C2077" t="s">
        <v>774</v>
      </c>
      <c r="D2077" s="1">
        <v>45156</v>
      </c>
      <c r="E2077" t="s">
        <v>303</v>
      </c>
      <c r="F2077">
        <v>-20.190000000000001</v>
      </c>
      <c r="G2077" t="s">
        <v>347</v>
      </c>
      <c r="H2077" t="s">
        <v>348</v>
      </c>
      <c r="I2077" t="s">
        <v>348</v>
      </c>
    </row>
    <row r="2078" spans="1:9" x14ac:dyDescent="0.25">
      <c r="A2078" t="s">
        <v>264</v>
      </c>
      <c r="B2078" t="s">
        <v>100</v>
      </c>
      <c r="C2078" t="s">
        <v>774</v>
      </c>
      <c r="D2078" s="1">
        <v>45157</v>
      </c>
      <c r="E2078" t="s">
        <v>304</v>
      </c>
      <c r="F2078">
        <v>-309.16000000000003</v>
      </c>
      <c r="G2078" t="s">
        <v>70</v>
      </c>
      <c r="H2078" t="s">
        <v>264</v>
      </c>
      <c r="I2078" t="s">
        <v>72</v>
      </c>
    </row>
    <row r="2079" spans="1:9" x14ac:dyDescent="0.25">
      <c r="A2079" t="s">
        <v>264</v>
      </c>
      <c r="B2079" t="s">
        <v>100</v>
      </c>
      <c r="C2079" t="s">
        <v>774</v>
      </c>
      <c r="D2079" s="1">
        <v>45158</v>
      </c>
      <c r="E2079" t="s">
        <v>268</v>
      </c>
      <c r="F2079">
        <v>604.87</v>
      </c>
      <c r="G2079" t="s">
        <v>70</v>
      </c>
      <c r="H2079" t="s">
        <v>264</v>
      </c>
      <c r="I2079" t="s">
        <v>72</v>
      </c>
    </row>
    <row r="2080" spans="1:9" x14ac:dyDescent="0.25">
      <c r="A2080" t="s">
        <v>264</v>
      </c>
      <c r="B2080" t="s">
        <v>100</v>
      </c>
      <c r="C2080" t="s">
        <v>774</v>
      </c>
      <c r="D2080" s="1">
        <v>45158</v>
      </c>
      <c r="E2080" t="s">
        <v>304</v>
      </c>
      <c r="F2080">
        <v>-617.41</v>
      </c>
      <c r="G2080" t="s">
        <v>70</v>
      </c>
      <c r="H2080" t="s">
        <v>264</v>
      </c>
      <c r="I2080" t="s">
        <v>72</v>
      </c>
    </row>
    <row r="2081" spans="1:9" x14ac:dyDescent="0.25">
      <c r="A2081" t="s">
        <v>264</v>
      </c>
      <c r="B2081" t="s">
        <v>100</v>
      </c>
      <c r="C2081" t="s">
        <v>774</v>
      </c>
      <c r="D2081" s="1">
        <v>45158</v>
      </c>
      <c r="E2081" t="s">
        <v>304</v>
      </c>
      <c r="F2081">
        <v>-0.46</v>
      </c>
      <c r="G2081" t="s">
        <v>70</v>
      </c>
      <c r="H2081" t="s">
        <v>264</v>
      </c>
      <c r="I2081" t="s">
        <v>72</v>
      </c>
    </row>
    <row r="2082" spans="1:9" x14ac:dyDescent="0.25">
      <c r="A2082" t="s">
        <v>264</v>
      </c>
      <c r="B2082" t="s">
        <v>100</v>
      </c>
      <c r="C2082" t="s">
        <v>774</v>
      </c>
      <c r="D2082" s="1">
        <v>45158</v>
      </c>
      <c r="E2082" t="s">
        <v>304</v>
      </c>
      <c r="F2082">
        <v>-8.69</v>
      </c>
      <c r="G2082" t="s">
        <v>70</v>
      </c>
      <c r="H2082" t="s">
        <v>264</v>
      </c>
      <c r="I2082" t="s">
        <v>72</v>
      </c>
    </row>
    <row r="2083" spans="1:9" x14ac:dyDescent="0.25">
      <c r="A2083" t="s">
        <v>264</v>
      </c>
      <c r="B2083" t="s">
        <v>100</v>
      </c>
      <c r="C2083" t="s">
        <v>774</v>
      </c>
      <c r="D2083" s="1">
        <v>45161</v>
      </c>
      <c r="E2083" t="s">
        <v>304</v>
      </c>
      <c r="F2083">
        <v>-0.09</v>
      </c>
      <c r="G2083" t="s">
        <v>70</v>
      </c>
      <c r="H2083" t="s">
        <v>264</v>
      </c>
      <c r="I2083" t="s">
        <v>72</v>
      </c>
    </row>
    <row r="2084" spans="1:9" x14ac:dyDescent="0.25">
      <c r="A2084" t="s">
        <v>264</v>
      </c>
      <c r="B2084" t="s">
        <v>100</v>
      </c>
      <c r="C2084" t="s">
        <v>774</v>
      </c>
      <c r="D2084" s="1">
        <v>45162</v>
      </c>
      <c r="E2084" t="s">
        <v>267</v>
      </c>
      <c r="F2084">
        <v>2933.58</v>
      </c>
      <c r="G2084" t="s">
        <v>70</v>
      </c>
      <c r="H2084" t="s">
        <v>264</v>
      </c>
      <c r="I2084" t="s">
        <v>72</v>
      </c>
    </row>
    <row r="2085" spans="1:9" x14ac:dyDescent="0.25">
      <c r="A2085" t="s">
        <v>264</v>
      </c>
      <c r="B2085" t="s">
        <v>100</v>
      </c>
      <c r="C2085" t="s">
        <v>774</v>
      </c>
      <c r="D2085" s="1">
        <v>45162</v>
      </c>
      <c r="E2085" t="s">
        <v>267</v>
      </c>
      <c r="F2085">
        <v>2902.45</v>
      </c>
      <c r="G2085" t="s">
        <v>70</v>
      </c>
      <c r="H2085" t="s">
        <v>264</v>
      </c>
      <c r="I2085" t="s">
        <v>72</v>
      </c>
    </row>
    <row r="2086" spans="1:9" x14ac:dyDescent="0.25">
      <c r="A2086" t="s">
        <v>264</v>
      </c>
      <c r="B2086" t="s">
        <v>100</v>
      </c>
      <c r="C2086" t="s">
        <v>774</v>
      </c>
      <c r="D2086" s="1">
        <v>45162</v>
      </c>
      <c r="E2086" t="s">
        <v>305</v>
      </c>
      <c r="F2086">
        <v>2981.04</v>
      </c>
      <c r="G2086" t="s">
        <v>70</v>
      </c>
      <c r="H2086" t="s">
        <v>264</v>
      </c>
      <c r="I2086" t="s">
        <v>72</v>
      </c>
    </row>
    <row r="2087" spans="1:9" x14ac:dyDescent="0.25">
      <c r="A2087" t="s">
        <v>264</v>
      </c>
      <c r="B2087" t="s">
        <v>100</v>
      </c>
      <c r="C2087" t="s">
        <v>774</v>
      </c>
      <c r="D2087" s="1">
        <v>45162</v>
      </c>
      <c r="E2087" t="s">
        <v>306</v>
      </c>
      <c r="F2087">
        <v>-536.08000000000004</v>
      </c>
      <c r="G2087" t="s">
        <v>70</v>
      </c>
      <c r="H2087" t="s">
        <v>264</v>
      </c>
      <c r="I2087" t="s">
        <v>72</v>
      </c>
    </row>
    <row r="2088" spans="1:9" x14ac:dyDescent="0.25">
      <c r="A2088" t="s">
        <v>264</v>
      </c>
      <c r="B2088" t="s">
        <v>100</v>
      </c>
      <c r="C2088" t="s">
        <v>774</v>
      </c>
      <c r="D2088" s="1">
        <v>45162</v>
      </c>
      <c r="E2088" t="s">
        <v>267</v>
      </c>
      <c r="F2088">
        <v>2761.52</v>
      </c>
      <c r="G2088" t="s">
        <v>70</v>
      </c>
      <c r="H2088" t="s">
        <v>264</v>
      </c>
      <c r="I2088" t="s">
        <v>72</v>
      </c>
    </row>
    <row r="2089" spans="1:9" x14ac:dyDescent="0.25">
      <c r="A2089" t="s">
        <v>264</v>
      </c>
      <c r="B2089" t="s">
        <v>100</v>
      </c>
      <c r="C2089" t="s">
        <v>774</v>
      </c>
      <c r="D2089" s="1">
        <v>45162</v>
      </c>
      <c r="E2089" t="s">
        <v>307</v>
      </c>
      <c r="F2089">
        <v>-2657.84</v>
      </c>
      <c r="G2089" t="s">
        <v>79</v>
      </c>
      <c r="H2089" t="s">
        <v>352</v>
      </c>
      <c r="I2089" t="s">
        <v>352</v>
      </c>
    </row>
    <row r="2090" spans="1:9" x14ac:dyDescent="0.25">
      <c r="A2090" t="s">
        <v>264</v>
      </c>
      <c r="B2090" t="s">
        <v>100</v>
      </c>
      <c r="C2090" t="s">
        <v>774</v>
      </c>
      <c r="D2090" s="1">
        <v>45162</v>
      </c>
      <c r="E2090" t="s">
        <v>308</v>
      </c>
      <c r="F2090">
        <v>-459.44</v>
      </c>
      <c r="G2090" t="s">
        <v>350</v>
      </c>
      <c r="H2090" t="s">
        <v>351</v>
      </c>
      <c r="I2090" t="s">
        <v>351</v>
      </c>
    </row>
    <row r="2091" spans="1:9" x14ac:dyDescent="0.25">
      <c r="A2091" t="s">
        <v>264</v>
      </c>
      <c r="B2091" t="s">
        <v>100</v>
      </c>
      <c r="C2091" t="s">
        <v>774</v>
      </c>
      <c r="D2091" s="1">
        <v>45163</v>
      </c>
      <c r="E2091" t="s">
        <v>275</v>
      </c>
      <c r="F2091">
        <v>1384.13</v>
      </c>
      <c r="G2091" t="s">
        <v>70</v>
      </c>
      <c r="H2091" t="s">
        <v>264</v>
      </c>
      <c r="I2091" t="s">
        <v>72</v>
      </c>
    </row>
    <row r="2092" spans="1:9" x14ac:dyDescent="0.25">
      <c r="A2092" t="s">
        <v>264</v>
      </c>
      <c r="B2092" t="s">
        <v>100</v>
      </c>
      <c r="C2092" t="s">
        <v>774</v>
      </c>
      <c r="D2092" s="1">
        <v>45163</v>
      </c>
      <c r="E2092" t="s">
        <v>269</v>
      </c>
      <c r="F2092">
        <v>-338.75</v>
      </c>
      <c r="G2092" t="s">
        <v>70</v>
      </c>
      <c r="H2092" t="s">
        <v>264</v>
      </c>
      <c r="I2092" t="s">
        <v>72</v>
      </c>
    </row>
    <row r="2093" spans="1:9" x14ac:dyDescent="0.25">
      <c r="A2093" t="s">
        <v>264</v>
      </c>
      <c r="B2093" t="s">
        <v>100</v>
      </c>
      <c r="C2093" t="s">
        <v>774</v>
      </c>
      <c r="D2093" s="1">
        <v>45163</v>
      </c>
      <c r="E2093" t="s">
        <v>269</v>
      </c>
      <c r="F2093">
        <v>-526.39</v>
      </c>
      <c r="G2093" t="s">
        <v>70</v>
      </c>
      <c r="H2093" t="s">
        <v>264</v>
      </c>
      <c r="I2093" t="s">
        <v>72</v>
      </c>
    </row>
    <row r="2094" spans="1:9" x14ac:dyDescent="0.25">
      <c r="A2094" t="s">
        <v>264</v>
      </c>
      <c r="B2094" t="s">
        <v>100</v>
      </c>
      <c r="C2094" t="s">
        <v>774</v>
      </c>
      <c r="D2094" s="1">
        <v>45163</v>
      </c>
      <c r="E2094" t="s">
        <v>274</v>
      </c>
      <c r="F2094">
        <v>950.68</v>
      </c>
      <c r="G2094" t="s">
        <v>74</v>
      </c>
      <c r="H2094" t="s">
        <v>256</v>
      </c>
      <c r="I2094" t="s">
        <v>346</v>
      </c>
    </row>
    <row r="2095" spans="1:9" x14ac:dyDescent="0.25">
      <c r="A2095" t="s">
        <v>264</v>
      </c>
      <c r="B2095" t="s">
        <v>100</v>
      </c>
      <c r="C2095" t="s">
        <v>774</v>
      </c>
      <c r="D2095" s="1">
        <v>45163</v>
      </c>
      <c r="E2095" t="s">
        <v>271</v>
      </c>
      <c r="F2095">
        <v>-960.65</v>
      </c>
      <c r="G2095" t="s">
        <v>70</v>
      </c>
      <c r="H2095" t="s">
        <v>264</v>
      </c>
      <c r="I2095" t="s">
        <v>72</v>
      </c>
    </row>
    <row r="2096" spans="1:9" x14ac:dyDescent="0.25">
      <c r="A2096" t="s">
        <v>264</v>
      </c>
      <c r="B2096" t="s">
        <v>100</v>
      </c>
      <c r="C2096" t="s">
        <v>774</v>
      </c>
      <c r="D2096" s="1">
        <v>45163</v>
      </c>
      <c r="E2096" t="s">
        <v>272</v>
      </c>
      <c r="F2096">
        <v>-1986.42</v>
      </c>
      <c r="G2096" t="s">
        <v>70</v>
      </c>
      <c r="H2096" t="s">
        <v>264</v>
      </c>
      <c r="I2096" t="s">
        <v>72</v>
      </c>
    </row>
    <row r="2097" spans="1:9" x14ac:dyDescent="0.25">
      <c r="A2097" t="s">
        <v>264</v>
      </c>
      <c r="B2097" t="s">
        <v>100</v>
      </c>
      <c r="C2097" t="s">
        <v>774</v>
      </c>
      <c r="D2097" s="1">
        <v>45163</v>
      </c>
      <c r="E2097" t="s">
        <v>273</v>
      </c>
      <c r="F2097">
        <v>-518.89</v>
      </c>
      <c r="G2097" t="s">
        <v>70</v>
      </c>
      <c r="H2097" t="s">
        <v>264</v>
      </c>
      <c r="I2097" t="s">
        <v>72</v>
      </c>
    </row>
    <row r="2098" spans="1:9" x14ac:dyDescent="0.25">
      <c r="A2098" t="s">
        <v>264</v>
      </c>
      <c r="B2098" t="s">
        <v>100</v>
      </c>
      <c r="C2098" t="s">
        <v>774</v>
      </c>
      <c r="D2098" s="1">
        <v>45164</v>
      </c>
      <c r="E2098" t="s">
        <v>286</v>
      </c>
      <c r="F2098">
        <v>-108.28</v>
      </c>
      <c r="G2098" t="s">
        <v>70</v>
      </c>
      <c r="H2098" t="s">
        <v>264</v>
      </c>
      <c r="I2098" t="s">
        <v>72</v>
      </c>
    </row>
    <row r="2099" spans="1:9" x14ac:dyDescent="0.25">
      <c r="A2099" t="s">
        <v>264</v>
      </c>
      <c r="B2099" t="s">
        <v>100</v>
      </c>
      <c r="C2099" t="s">
        <v>774</v>
      </c>
      <c r="D2099" s="1">
        <v>45168</v>
      </c>
      <c r="E2099" t="s">
        <v>274</v>
      </c>
      <c r="F2099">
        <v>2786.97</v>
      </c>
      <c r="G2099" t="s">
        <v>74</v>
      </c>
      <c r="H2099" t="s">
        <v>256</v>
      </c>
      <c r="I2099" t="s">
        <v>346</v>
      </c>
    </row>
    <row r="2100" spans="1:9" x14ac:dyDescent="0.25">
      <c r="A2100" t="s">
        <v>264</v>
      </c>
      <c r="B2100" t="s">
        <v>100</v>
      </c>
      <c r="C2100" t="s">
        <v>774</v>
      </c>
      <c r="D2100" s="1">
        <v>45168</v>
      </c>
      <c r="E2100" t="s">
        <v>275</v>
      </c>
      <c r="F2100">
        <v>1567.69</v>
      </c>
      <c r="G2100" t="s">
        <v>70</v>
      </c>
      <c r="H2100" t="s">
        <v>264</v>
      </c>
      <c r="I2100" t="s">
        <v>72</v>
      </c>
    </row>
    <row r="2101" spans="1:9" x14ac:dyDescent="0.25">
      <c r="A2101" t="s">
        <v>264</v>
      </c>
      <c r="B2101" t="s">
        <v>100</v>
      </c>
      <c r="C2101" t="s">
        <v>774</v>
      </c>
      <c r="D2101" s="1">
        <v>45168</v>
      </c>
      <c r="E2101" t="s">
        <v>268</v>
      </c>
      <c r="F2101">
        <v>414.29</v>
      </c>
      <c r="G2101" t="s">
        <v>70</v>
      </c>
      <c r="H2101" t="s">
        <v>264</v>
      </c>
      <c r="I2101" t="s">
        <v>72</v>
      </c>
    </row>
    <row r="2102" spans="1:9" x14ac:dyDescent="0.25">
      <c r="A2102" t="s">
        <v>264</v>
      </c>
      <c r="B2102" t="s">
        <v>100</v>
      </c>
      <c r="C2102" t="s">
        <v>774</v>
      </c>
      <c r="D2102" s="1">
        <v>45168</v>
      </c>
      <c r="E2102" t="s">
        <v>268</v>
      </c>
      <c r="F2102">
        <v>675.12</v>
      </c>
      <c r="G2102" t="s">
        <v>70</v>
      </c>
      <c r="H2102" t="s">
        <v>264</v>
      </c>
      <c r="I2102" t="s">
        <v>72</v>
      </c>
    </row>
    <row r="2103" spans="1:9" x14ac:dyDescent="0.25">
      <c r="A2103" t="s">
        <v>264</v>
      </c>
      <c r="B2103" t="s">
        <v>100</v>
      </c>
      <c r="C2103" t="s">
        <v>774</v>
      </c>
      <c r="D2103" s="1">
        <v>45168</v>
      </c>
      <c r="E2103" t="s">
        <v>269</v>
      </c>
      <c r="F2103">
        <v>-431.76</v>
      </c>
      <c r="G2103" t="s">
        <v>70</v>
      </c>
      <c r="H2103" t="s">
        <v>264</v>
      </c>
      <c r="I2103" t="s">
        <v>72</v>
      </c>
    </row>
    <row r="2104" spans="1:9" x14ac:dyDescent="0.25">
      <c r="A2104" t="s">
        <v>264</v>
      </c>
      <c r="B2104" t="s">
        <v>100</v>
      </c>
      <c r="C2104" t="s">
        <v>774</v>
      </c>
      <c r="D2104" s="1">
        <v>45168</v>
      </c>
      <c r="E2104" t="s">
        <v>276</v>
      </c>
      <c r="F2104">
        <v>-1330</v>
      </c>
      <c r="G2104" t="s">
        <v>70</v>
      </c>
      <c r="H2104" t="s">
        <v>264</v>
      </c>
      <c r="I2104" t="s">
        <v>72</v>
      </c>
    </row>
    <row r="2105" spans="1:9" x14ac:dyDescent="0.25">
      <c r="A2105" t="s">
        <v>264</v>
      </c>
      <c r="B2105" t="s">
        <v>100</v>
      </c>
      <c r="C2105" t="s">
        <v>774</v>
      </c>
      <c r="D2105" s="1">
        <v>45169</v>
      </c>
      <c r="E2105" t="s">
        <v>304</v>
      </c>
      <c r="F2105">
        <v>-3.85</v>
      </c>
      <c r="G2105" t="s">
        <v>70</v>
      </c>
      <c r="H2105" t="s">
        <v>264</v>
      </c>
      <c r="I2105" t="s">
        <v>72</v>
      </c>
    </row>
    <row r="2106" spans="1:9" x14ac:dyDescent="0.25">
      <c r="A2106" t="s">
        <v>264</v>
      </c>
      <c r="B2106" t="s">
        <v>100</v>
      </c>
      <c r="C2106" t="s">
        <v>774</v>
      </c>
      <c r="D2106" s="1">
        <v>45170</v>
      </c>
      <c r="E2106" t="s">
        <v>304</v>
      </c>
      <c r="F2106">
        <v>-0.34</v>
      </c>
      <c r="G2106" t="s">
        <v>70</v>
      </c>
      <c r="H2106" t="s">
        <v>264</v>
      </c>
      <c r="I2106" t="s">
        <v>72</v>
      </c>
    </row>
    <row r="2107" spans="1:9" x14ac:dyDescent="0.25">
      <c r="A2107" t="s">
        <v>264</v>
      </c>
      <c r="B2107" t="s">
        <v>100</v>
      </c>
      <c r="C2107" t="s">
        <v>774</v>
      </c>
      <c r="D2107" s="1">
        <v>45170</v>
      </c>
      <c r="E2107" t="s">
        <v>309</v>
      </c>
      <c r="F2107">
        <v>-20.99</v>
      </c>
      <c r="G2107" t="s">
        <v>347</v>
      </c>
      <c r="H2107" t="s">
        <v>348</v>
      </c>
      <c r="I2107" t="s">
        <v>348</v>
      </c>
    </row>
    <row r="2108" spans="1:9" x14ac:dyDescent="0.25">
      <c r="A2108" t="s">
        <v>264</v>
      </c>
      <c r="B2108" t="s">
        <v>100</v>
      </c>
      <c r="C2108" t="s">
        <v>774</v>
      </c>
      <c r="D2108" s="1">
        <v>45171</v>
      </c>
      <c r="E2108" t="s">
        <v>304</v>
      </c>
      <c r="F2108">
        <v>-137</v>
      </c>
      <c r="G2108" t="s">
        <v>70</v>
      </c>
      <c r="H2108" t="s">
        <v>264</v>
      </c>
      <c r="I2108" t="s">
        <v>72</v>
      </c>
    </row>
    <row r="2109" spans="1:9" x14ac:dyDescent="0.25">
      <c r="A2109" t="s">
        <v>264</v>
      </c>
      <c r="B2109" t="s">
        <v>100</v>
      </c>
      <c r="C2109" t="s">
        <v>774</v>
      </c>
      <c r="D2109" s="1">
        <v>45171</v>
      </c>
      <c r="E2109" t="s">
        <v>304</v>
      </c>
      <c r="F2109">
        <v>-6.18</v>
      </c>
      <c r="G2109" t="s">
        <v>70</v>
      </c>
      <c r="H2109" t="s">
        <v>264</v>
      </c>
      <c r="I2109" t="s">
        <v>72</v>
      </c>
    </row>
    <row r="2110" spans="1:9" x14ac:dyDescent="0.25">
      <c r="A2110" t="s">
        <v>264</v>
      </c>
      <c r="B2110" t="s">
        <v>100</v>
      </c>
      <c r="C2110" t="s">
        <v>774</v>
      </c>
      <c r="D2110" s="1">
        <v>45172</v>
      </c>
      <c r="E2110" t="s">
        <v>304</v>
      </c>
      <c r="F2110">
        <v>-106.58</v>
      </c>
      <c r="G2110" t="s">
        <v>70</v>
      </c>
      <c r="H2110" t="s">
        <v>264</v>
      </c>
      <c r="I2110" t="s">
        <v>72</v>
      </c>
    </row>
    <row r="2111" spans="1:9" x14ac:dyDescent="0.25">
      <c r="A2111" t="s">
        <v>264</v>
      </c>
      <c r="B2111" t="s">
        <v>100</v>
      </c>
      <c r="C2111" t="s">
        <v>774</v>
      </c>
      <c r="D2111" s="1">
        <v>45172</v>
      </c>
      <c r="E2111" t="s">
        <v>267</v>
      </c>
      <c r="F2111">
        <v>36.29</v>
      </c>
      <c r="G2111" t="s">
        <v>70</v>
      </c>
      <c r="H2111" t="s">
        <v>264</v>
      </c>
      <c r="I2111" t="s">
        <v>72</v>
      </c>
    </row>
    <row r="2112" spans="1:9" x14ac:dyDescent="0.25">
      <c r="A2112" t="s">
        <v>264</v>
      </c>
      <c r="B2112" t="s">
        <v>100</v>
      </c>
      <c r="C2112" t="s">
        <v>774</v>
      </c>
      <c r="D2112" s="1">
        <v>45174</v>
      </c>
      <c r="E2112" t="s">
        <v>304</v>
      </c>
      <c r="F2112">
        <v>-7.68</v>
      </c>
      <c r="G2112" t="s">
        <v>70</v>
      </c>
      <c r="H2112" t="s">
        <v>264</v>
      </c>
      <c r="I2112" t="s">
        <v>72</v>
      </c>
    </row>
    <row r="2113" spans="1:9" x14ac:dyDescent="0.25">
      <c r="A2113" t="s">
        <v>264</v>
      </c>
      <c r="B2113" t="s">
        <v>100</v>
      </c>
      <c r="C2113" t="s">
        <v>774</v>
      </c>
      <c r="D2113" s="1">
        <v>45176</v>
      </c>
      <c r="E2113" t="s">
        <v>267</v>
      </c>
      <c r="F2113">
        <v>2216.06</v>
      </c>
      <c r="G2113" t="s">
        <v>70</v>
      </c>
      <c r="H2113" t="s">
        <v>264</v>
      </c>
      <c r="I2113" t="s">
        <v>72</v>
      </c>
    </row>
    <row r="2114" spans="1:9" x14ac:dyDescent="0.25">
      <c r="A2114" t="s">
        <v>264</v>
      </c>
      <c r="B2114" t="s">
        <v>100</v>
      </c>
      <c r="C2114" t="s">
        <v>774</v>
      </c>
      <c r="D2114" s="1">
        <v>45176</v>
      </c>
      <c r="E2114" t="s">
        <v>304</v>
      </c>
      <c r="F2114">
        <v>-668.38</v>
      </c>
      <c r="G2114" t="s">
        <v>70</v>
      </c>
      <c r="H2114" t="s">
        <v>264</v>
      </c>
      <c r="I2114" t="s">
        <v>72</v>
      </c>
    </row>
    <row r="2115" spans="1:9" x14ac:dyDescent="0.25">
      <c r="A2115" t="s">
        <v>264</v>
      </c>
      <c r="B2115" t="s">
        <v>100</v>
      </c>
      <c r="C2115" t="s">
        <v>774</v>
      </c>
      <c r="D2115" s="1">
        <v>45176</v>
      </c>
      <c r="E2115" t="s">
        <v>267</v>
      </c>
      <c r="F2115">
        <v>852.88</v>
      </c>
      <c r="G2115" t="s">
        <v>70</v>
      </c>
      <c r="H2115" t="s">
        <v>264</v>
      </c>
      <c r="I2115" t="s">
        <v>72</v>
      </c>
    </row>
    <row r="2116" spans="1:9" x14ac:dyDescent="0.25">
      <c r="A2116" t="s">
        <v>264</v>
      </c>
      <c r="B2116" t="s">
        <v>100</v>
      </c>
      <c r="C2116" t="s">
        <v>774</v>
      </c>
      <c r="D2116" s="1">
        <v>45176</v>
      </c>
      <c r="E2116" t="s">
        <v>267</v>
      </c>
      <c r="F2116">
        <v>312</v>
      </c>
      <c r="G2116" t="s">
        <v>70</v>
      </c>
      <c r="H2116" t="s">
        <v>264</v>
      </c>
      <c r="I2116" t="s">
        <v>72</v>
      </c>
    </row>
    <row r="2117" spans="1:9" x14ac:dyDescent="0.25">
      <c r="A2117" t="s">
        <v>264</v>
      </c>
      <c r="B2117" t="s">
        <v>100</v>
      </c>
      <c r="C2117" t="s">
        <v>774</v>
      </c>
      <c r="D2117" s="1">
        <v>45176</v>
      </c>
      <c r="E2117" t="s">
        <v>286</v>
      </c>
      <c r="F2117">
        <v>-254.95</v>
      </c>
      <c r="G2117" t="s">
        <v>70</v>
      </c>
      <c r="H2117" t="s">
        <v>264</v>
      </c>
      <c r="I2117" t="s">
        <v>72</v>
      </c>
    </row>
    <row r="2118" spans="1:9" x14ac:dyDescent="0.25">
      <c r="A2118" t="s">
        <v>264</v>
      </c>
      <c r="B2118" t="s">
        <v>100</v>
      </c>
      <c r="C2118" t="s">
        <v>774</v>
      </c>
      <c r="D2118" s="1">
        <v>45176</v>
      </c>
      <c r="E2118" t="s">
        <v>275</v>
      </c>
      <c r="F2118">
        <v>1269.33</v>
      </c>
      <c r="G2118" t="s">
        <v>70</v>
      </c>
      <c r="H2118" t="s">
        <v>264</v>
      </c>
      <c r="I2118" t="s">
        <v>72</v>
      </c>
    </row>
    <row r="2119" spans="1:9" x14ac:dyDescent="0.25">
      <c r="A2119" t="s">
        <v>264</v>
      </c>
      <c r="B2119" t="s">
        <v>100</v>
      </c>
      <c r="C2119" t="s">
        <v>774</v>
      </c>
      <c r="D2119" s="1">
        <v>45177</v>
      </c>
      <c r="E2119" t="s">
        <v>267</v>
      </c>
      <c r="F2119">
        <v>143.96</v>
      </c>
      <c r="G2119" t="s">
        <v>70</v>
      </c>
      <c r="H2119" t="s">
        <v>264</v>
      </c>
      <c r="I2119" t="s">
        <v>72</v>
      </c>
    </row>
    <row r="2120" spans="1:9" x14ac:dyDescent="0.25">
      <c r="A2120" t="s">
        <v>264</v>
      </c>
      <c r="B2120" t="s">
        <v>100</v>
      </c>
      <c r="C2120" t="s">
        <v>774</v>
      </c>
      <c r="D2120" s="1">
        <v>45177</v>
      </c>
      <c r="E2120" t="s">
        <v>304</v>
      </c>
      <c r="F2120">
        <v>-14.49</v>
      </c>
      <c r="G2120" t="s">
        <v>70</v>
      </c>
      <c r="H2120" t="s">
        <v>264</v>
      </c>
      <c r="I2120" t="s">
        <v>72</v>
      </c>
    </row>
    <row r="2121" spans="1:9" x14ac:dyDescent="0.25">
      <c r="A2121" t="s">
        <v>264</v>
      </c>
      <c r="B2121" t="s">
        <v>100</v>
      </c>
      <c r="C2121" t="s">
        <v>774</v>
      </c>
      <c r="D2121" s="1">
        <v>45177</v>
      </c>
      <c r="E2121" t="s">
        <v>271</v>
      </c>
      <c r="F2121">
        <v>-1474.06</v>
      </c>
      <c r="G2121" t="s">
        <v>70</v>
      </c>
      <c r="H2121" t="s">
        <v>264</v>
      </c>
      <c r="I2121" t="s">
        <v>72</v>
      </c>
    </row>
    <row r="2122" spans="1:9" x14ac:dyDescent="0.25">
      <c r="A2122" t="s">
        <v>264</v>
      </c>
      <c r="B2122" t="s">
        <v>100</v>
      </c>
      <c r="C2122" t="s">
        <v>774</v>
      </c>
      <c r="D2122" s="1">
        <v>45177</v>
      </c>
      <c r="E2122" t="s">
        <v>272</v>
      </c>
      <c r="F2122">
        <v>-1766.56</v>
      </c>
      <c r="G2122" t="s">
        <v>70</v>
      </c>
      <c r="H2122" t="s">
        <v>264</v>
      </c>
      <c r="I2122" t="s">
        <v>72</v>
      </c>
    </row>
    <row r="2123" spans="1:9" x14ac:dyDescent="0.25">
      <c r="A2123" t="s">
        <v>264</v>
      </c>
      <c r="B2123" t="s">
        <v>100</v>
      </c>
      <c r="C2123" t="s">
        <v>774</v>
      </c>
      <c r="D2123" s="1">
        <v>45177</v>
      </c>
      <c r="E2123" t="s">
        <v>273</v>
      </c>
      <c r="F2123">
        <v>-478.77</v>
      </c>
      <c r="G2123" t="s">
        <v>70</v>
      </c>
      <c r="H2123" t="s">
        <v>264</v>
      </c>
      <c r="I2123" t="s">
        <v>72</v>
      </c>
    </row>
    <row r="2124" spans="1:9" x14ac:dyDescent="0.25">
      <c r="A2124" t="s">
        <v>264</v>
      </c>
      <c r="B2124" t="s">
        <v>100</v>
      </c>
      <c r="C2124" t="s">
        <v>774</v>
      </c>
      <c r="D2124" s="1">
        <v>45178</v>
      </c>
      <c r="E2124" t="s">
        <v>269</v>
      </c>
      <c r="F2124">
        <v>-196.42</v>
      </c>
      <c r="G2124" t="s">
        <v>70</v>
      </c>
      <c r="H2124" t="s">
        <v>264</v>
      </c>
      <c r="I2124" t="s">
        <v>72</v>
      </c>
    </row>
    <row r="2125" spans="1:9" x14ac:dyDescent="0.25">
      <c r="A2125" t="s">
        <v>264</v>
      </c>
      <c r="B2125" t="s">
        <v>100</v>
      </c>
      <c r="C2125" t="s">
        <v>774</v>
      </c>
      <c r="D2125" s="1">
        <v>45178</v>
      </c>
      <c r="E2125" t="s">
        <v>304</v>
      </c>
      <c r="F2125">
        <v>-77.89</v>
      </c>
      <c r="G2125" t="s">
        <v>70</v>
      </c>
      <c r="H2125" t="s">
        <v>264</v>
      </c>
      <c r="I2125" t="s">
        <v>72</v>
      </c>
    </row>
    <row r="2126" spans="1:9" x14ac:dyDescent="0.25">
      <c r="A2126" t="s">
        <v>264</v>
      </c>
      <c r="B2126" t="s">
        <v>100</v>
      </c>
      <c r="C2126" t="s">
        <v>774</v>
      </c>
      <c r="D2126" s="1">
        <v>45178</v>
      </c>
      <c r="E2126" t="s">
        <v>267</v>
      </c>
      <c r="F2126">
        <v>659.47</v>
      </c>
      <c r="G2126" t="s">
        <v>70</v>
      </c>
      <c r="H2126" t="s">
        <v>264</v>
      </c>
      <c r="I2126" t="s">
        <v>72</v>
      </c>
    </row>
    <row r="2127" spans="1:9" x14ac:dyDescent="0.25">
      <c r="A2127" t="s">
        <v>264</v>
      </c>
      <c r="B2127" t="s">
        <v>100</v>
      </c>
      <c r="C2127" t="s">
        <v>774</v>
      </c>
      <c r="D2127" s="1">
        <v>45178</v>
      </c>
      <c r="E2127" t="s">
        <v>304</v>
      </c>
      <c r="F2127">
        <v>-585.02</v>
      </c>
      <c r="G2127" t="s">
        <v>70</v>
      </c>
      <c r="H2127" t="s">
        <v>264</v>
      </c>
      <c r="I2127" t="s">
        <v>72</v>
      </c>
    </row>
    <row r="2128" spans="1:9" x14ac:dyDescent="0.25">
      <c r="A2128" t="s">
        <v>264</v>
      </c>
      <c r="B2128" t="s">
        <v>100</v>
      </c>
      <c r="C2128" t="s">
        <v>774</v>
      </c>
      <c r="D2128" s="1">
        <v>45179</v>
      </c>
      <c r="E2128" t="s">
        <v>304</v>
      </c>
      <c r="F2128">
        <v>-35.9</v>
      </c>
      <c r="G2128" t="s">
        <v>70</v>
      </c>
      <c r="H2128" t="s">
        <v>264</v>
      </c>
      <c r="I2128" t="s">
        <v>72</v>
      </c>
    </row>
    <row r="2129" spans="1:9" x14ac:dyDescent="0.25">
      <c r="A2129" t="s">
        <v>264</v>
      </c>
      <c r="B2129" t="s">
        <v>100</v>
      </c>
      <c r="C2129" t="s">
        <v>774</v>
      </c>
      <c r="D2129" s="1">
        <v>45179</v>
      </c>
      <c r="E2129" t="s">
        <v>304</v>
      </c>
      <c r="F2129">
        <v>-0.31</v>
      </c>
      <c r="G2129" t="s">
        <v>70</v>
      </c>
      <c r="H2129" t="s">
        <v>264</v>
      </c>
      <c r="I2129" t="s">
        <v>72</v>
      </c>
    </row>
    <row r="2130" spans="1:9" x14ac:dyDescent="0.25">
      <c r="A2130" t="s">
        <v>264</v>
      </c>
      <c r="B2130" t="s">
        <v>100</v>
      </c>
      <c r="C2130" t="s">
        <v>774</v>
      </c>
      <c r="D2130" s="1">
        <v>45179</v>
      </c>
      <c r="E2130" t="s">
        <v>267</v>
      </c>
      <c r="F2130">
        <v>445.81</v>
      </c>
      <c r="G2130" t="s">
        <v>70</v>
      </c>
      <c r="H2130" t="s">
        <v>264</v>
      </c>
      <c r="I2130" t="s">
        <v>72</v>
      </c>
    </row>
    <row r="2131" spans="1:9" x14ac:dyDescent="0.25">
      <c r="A2131" t="s">
        <v>264</v>
      </c>
      <c r="B2131" t="s">
        <v>100</v>
      </c>
      <c r="C2131" t="s">
        <v>774</v>
      </c>
      <c r="D2131" s="1">
        <v>45179</v>
      </c>
      <c r="E2131" t="s">
        <v>304</v>
      </c>
      <c r="F2131">
        <v>-89.51</v>
      </c>
      <c r="G2131" t="s">
        <v>70</v>
      </c>
      <c r="H2131" t="s">
        <v>264</v>
      </c>
      <c r="I2131" t="s">
        <v>72</v>
      </c>
    </row>
    <row r="2132" spans="1:9" x14ac:dyDescent="0.25">
      <c r="A2132" t="s">
        <v>264</v>
      </c>
      <c r="B2132" t="s">
        <v>100</v>
      </c>
      <c r="C2132" t="s">
        <v>774</v>
      </c>
      <c r="D2132" s="1">
        <v>45180</v>
      </c>
      <c r="E2132" t="s">
        <v>310</v>
      </c>
      <c r="F2132">
        <v>-173.24</v>
      </c>
      <c r="G2132" t="s">
        <v>70</v>
      </c>
      <c r="H2132" t="s">
        <v>264</v>
      </c>
      <c r="I2132" t="s">
        <v>72</v>
      </c>
    </row>
    <row r="2133" spans="1:9" x14ac:dyDescent="0.25">
      <c r="A2133" t="s">
        <v>264</v>
      </c>
      <c r="B2133" t="s">
        <v>100</v>
      </c>
      <c r="C2133" t="s">
        <v>774</v>
      </c>
      <c r="D2133" s="1">
        <v>45181</v>
      </c>
      <c r="E2133" t="s">
        <v>304</v>
      </c>
      <c r="F2133">
        <v>-5.14</v>
      </c>
      <c r="G2133" t="s">
        <v>70</v>
      </c>
      <c r="H2133" t="s">
        <v>264</v>
      </c>
      <c r="I2133" t="s">
        <v>72</v>
      </c>
    </row>
    <row r="2134" spans="1:9" x14ac:dyDescent="0.25">
      <c r="A2134" t="s">
        <v>264</v>
      </c>
      <c r="B2134" t="s">
        <v>100</v>
      </c>
      <c r="C2134" t="s">
        <v>774</v>
      </c>
      <c r="D2134" s="1">
        <v>45182</v>
      </c>
      <c r="E2134" t="s">
        <v>274</v>
      </c>
      <c r="F2134">
        <v>5250.49</v>
      </c>
      <c r="G2134" t="s">
        <v>74</v>
      </c>
      <c r="H2134" t="s">
        <v>256</v>
      </c>
      <c r="I2134" t="s">
        <v>346</v>
      </c>
    </row>
    <row r="2135" spans="1:9" x14ac:dyDescent="0.25">
      <c r="A2135" t="s">
        <v>264</v>
      </c>
      <c r="B2135" t="s">
        <v>100</v>
      </c>
      <c r="C2135" t="s">
        <v>774</v>
      </c>
      <c r="D2135" s="1">
        <v>45182</v>
      </c>
      <c r="E2135" t="s">
        <v>304</v>
      </c>
      <c r="F2135">
        <v>-61.01</v>
      </c>
      <c r="G2135" t="s">
        <v>70</v>
      </c>
      <c r="H2135" t="s">
        <v>264</v>
      </c>
      <c r="I2135" t="s">
        <v>72</v>
      </c>
    </row>
    <row r="2136" spans="1:9" x14ac:dyDescent="0.25">
      <c r="A2136" t="s">
        <v>264</v>
      </c>
      <c r="B2136" t="s">
        <v>100</v>
      </c>
      <c r="C2136" t="s">
        <v>774</v>
      </c>
      <c r="D2136" s="1">
        <v>45182</v>
      </c>
      <c r="E2136" t="s">
        <v>275</v>
      </c>
      <c r="F2136">
        <v>71.2</v>
      </c>
      <c r="G2136" t="s">
        <v>70</v>
      </c>
      <c r="H2136" t="s">
        <v>264</v>
      </c>
      <c r="I2136" t="s">
        <v>72</v>
      </c>
    </row>
    <row r="2137" spans="1:9" x14ac:dyDescent="0.25">
      <c r="A2137" t="s">
        <v>264</v>
      </c>
      <c r="B2137" t="s">
        <v>100</v>
      </c>
      <c r="C2137" t="s">
        <v>774</v>
      </c>
      <c r="D2137" s="1">
        <v>45182</v>
      </c>
      <c r="E2137" t="s">
        <v>268</v>
      </c>
      <c r="F2137">
        <v>49.8</v>
      </c>
      <c r="G2137" t="s">
        <v>70</v>
      </c>
      <c r="H2137" t="s">
        <v>264</v>
      </c>
      <c r="I2137" t="s">
        <v>72</v>
      </c>
    </row>
    <row r="2138" spans="1:9" x14ac:dyDescent="0.25">
      <c r="A2138" t="s">
        <v>264</v>
      </c>
      <c r="B2138" t="s">
        <v>100</v>
      </c>
      <c r="C2138" t="s">
        <v>774</v>
      </c>
      <c r="D2138" s="1">
        <v>45182</v>
      </c>
      <c r="E2138" t="s">
        <v>269</v>
      </c>
      <c r="F2138">
        <v>-2617.4499999999998</v>
      </c>
      <c r="G2138" t="s">
        <v>70</v>
      </c>
      <c r="H2138" t="s">
        <v>264</v>
      </c>
      <c r="I2138" t="s">
        <v>72</v>
      </c>
    </row>
    <row r="2139" spans="1:9" x14ac:dyDescent="0.25">
      <c r="A2139" t="s">
        <v>264</v>
      </c>
      <c r="B2139" t="s">
        <v>100</v>
      </c>
      <c r="C2139" t="s">
        <v>774</v>
      </c>
      <c r="D2139" s="1">
        <v>45182</v>
      </c>
      <c r="E2139" t="s">
        <v>304</v>
      </c>
      <c r="F2139">
        <v>-45.6</v>
      </c>
      <c r="G2139" t="s">
        <v>70</v>
      </c>
      <c r="H2139" t="s">
        <v>264</v>
      </c>
      <c r="I2139" t="s">
        <v>72</v>
      </c>
    </row>
    <row r="2140" spans="1:9" x14ac:dyDescent="0.25">
      <c r="A2140" t="s">
        <v>264</v>
      </c>
      <c r="B2140" t="s">
        <v>100</v>
      </c>
      <c r="C2140" t="s">
        <v>774</v>
      </c>
      <c r="D2140" s="1">
        <v>45182</v>
      </c>
      <c r="E2140" t="s">
        <v>276</v>
      </c>
      <c r="F2140">
        <v>-1600.46</v>
      </c>
      <c r="G2140" t="s">
        <v>70</v>
      </c>
      <c r="H2140" t="s">
        <v>264</v>
      </c>
      <c r="I2140" t="s">
        <v>72</v>
      </c>
    </row>
    <row r="2141" spans="1:9" x14ac:dyDescent="0.25">
      <c r="A2141" t="s">
        <v>264</v>
      </c>
      <c r="B2141" t="s">
        <v>100</v>
      </c>
      <c r="C2141" t="s">
        <v>774</v>
      </c>
      <c r="D2141" s="1">
        <v>45184</v>
      </c>
      <c r="E2141" t="s">
        <v>304</v>
      </c>
      <c r="F2141">
        <v>-146.38</v>
      </c>
      <c r="G2141" t="s">
        <v>70</v>
      </c>
      <c r="H2141" t="s">
        <v>264</v>
      </c>
      <c r="I2141" t="s">
        <v>72</v>
      </c>
    </row>
    <row r="2142" spans="1:9" x14ac:dyDescent="0.25">
      <c r="A2142" t="s">
        <v>264</v>
      </c>
      <c r="B2142" t="s">
        <v>100</v>
      </c>
      <c r="C2142" t="s">
        <v>774</v>
      </c>
      <c r="D2142" s="1">
        <v>45184</v>
      </c>
      <c r="E2142" t="s">
        <v>267</v>
      </c>
      <c r="F2142">
        <v>116.41</v>
      </c>
      <c r="G2142" t="s">
        <v>70</v>
      </c>
      <c r="H2142" t="s">
        <v>264</v>
      </c>
      <c r="I2142" t="s">
        <v>72</v>
      </c>
    </row>
    <row r="2143" spans="1:9" x14ac:dyDescent="0.25">
      <c r="A2143" t="s">
        <v>264</v>
      </c>
      <c r="B2143" t="s">
        <v>100</v>
      </c>
      <c r="C2143" t="s">
        <v>774</v>
      </c>
      <c r="D2143" s="1">
        <v>45184</v>
      </c>
      <c r="E2143" t="s">
        <v>304</v>
      </c>
      <c r="F2143">
        <v>-31.43</v>
      </c>
      <c r="G2143" t="s">
        <v>70</v>
      </c>
      <c r="H2143" t="s">
        <v>264</v>
      </c>
      <c r="I2143" t="s">
        <v>72</v>
      </c>
    </row>
    <row r="2144" spans="1:9" x14ac:dyDescent="0.25">
      <c r="A2144" t="s">
        <v>264</v>
      </c>
      <c r="B2144" t="s">
        <v>100</v>
      </c>
      <c r="C2144" t="s">
        <v>774</v>
      </c>
      <c r="D2144" s="1">
        <v>45184</v>
      </c>
      <c r="E2144" t="s">
        <v>268</v>
      </c>
      <c r="F2144">
        <v>122.58</v>
      </c>
      <c r="G2144" t="s">
        <v>70</v>
      </c>
      <c r="H2144" t="s">
        <v>264</v>
      </c>
      <c r="I2144" t="s">
        <v>72</v>
      </c>
    </row>
    <row r="2145" spans="1:9" x14ac:dyDescent="0.25">
      <c r="A2145" t="s">
        <v>264</v>
      </c>
      <c r="B2145" t="s">
        <v>100</v>
      </c>
      <c r="C2145" t="s">
        <v>774</v>
      </c>
      <c r="D2145" s="1">
        <v>45184</v>
      </c>
      <c r="E2145" t="s">
        <v>311</v>
      </c>
      <c r="F2145">
        <v>-22.19</v>
      </c>
      <c r="G2145" t="s">
        <v>347</v>
      </c>
      <c r="H2145" t="s">
        <v>348</v>
      </c>
      <c r="I2145" t="s">
        <v>348</v>
      </c>
    </row>
    <row r="2146" spans="1:9" x14ac:dyDescent="0.25">
      <c r="A2146" t="s">
        <v>264</v>
      </c>
      <c r="B2146" t="s">
        <v>100</v>
      </c>
      <c r="C2146" t="s">
        <v>774</v>
      </c>
      <c r="D2146" s="1">
        <v>45185</v>
      </c>
      <c r="E2146" t="s">
        <v>267</v>
      </c>
      <c r="F2146">
        <v>1375.04</v>
      </c>
      <c r="G2146" t="s">
        <v>70</v>
      </c>
      <c r="H2146" t="s">
        <v>264</v>
      </c>
      <c r="I2146" t="s">
        <v>72</v>
      </c>
    </row>
    <row r="2147" spans="1:9" x14ac:dyDescent="0.25">
      <c r="A2147" t="s">
        <v>264</v>
      </c>
      <c r="B2147" t="s">
        <v>100</v>
      </c>
      <c r="C2147" t="s">
        <v>774</v>
      </c>
      <c r="D2147" s="1">
        <v>45185</v>
      </c>
      <c r="E2147" t="s">
        <v>304</v>
      </c>
      <c r="F2147">
        <v>-848.84</v>
      </c>
      <c r="G2147" t="s">
        <v>70</v>
      </c>
      <c r="H2147" t="s">
        <v>264</v>
      </c>
      <c r="I2147" t="s">
        <v>72</v>
      </c>
    </row>
    <row r="2148" spans="1:9" x14ac:dyDescent="0.25">
      <c r="A2148" t="s">
        <v>264</v>
      </c>
      <c r="B2148" t="s">
        <v>100</v>
      </c>
      <c r="C2148" t="s">
        <v>774</v>
      </c>
      <c r="D2148" s="1">
        <v>45189</v>
      </c>
      <c r="E2148" t="s">
        <v>268</v>
      </c>
      <c r="F2148">
        <v>439.2</v>
      </c>
      <c r="G2148" t="s">
        <v>70</v>
      </c>
      <c r="H2148" t="s">
        <v>264</v>
      </c>
      <c r="I2148" t="s">
        <v>72</v>
      </c>
    </row>
    <row r="2149" spans="1:9" x14ac:dyDescent="0.25">
      <c r="A2149" t="s">
        <v>264</v>
      </c>
      <c r="B2149" t="s">
        <v>100</v>
      </c>
      <c r="C2149" t="s">
        <v>774</v>
      </c>
      <c r="D2149" s="1">
        <v>45189</v>
      </c>
      <c r="E2149" t="s">
        <v>312</v>
      </c>
      <c r="F2149">
        <v>398.5</v>
      </c>
      <c r="G2149" t="s">
        <v>100</v>
      </c>
      <c r="H2149" t="s">
        <v>264</v>
      </c>
      <c r="I2149" t="s">
        <v>100</v>
      </c>
    </row>
    <row r="2150" spans="1:9" x14ac:dyDescent="0.25">
      <c r="A2150" t="s">
        <v>264</v>
      </c>
      <c r="B2150" t="s">
        <v>100</v>
      </c>
      <c r="C2150" t="s">
        <v>774</v>
      </c>
      <c r="D2150" s="1">
        <v>45190</v>
      </c>
      <c r="E2150" t="s">
        <v>286</v>
      </c>
      <c r="F2150">
        <v>-70.540000000000006</v>
      </c>
      <c r="G2150" t="s">
        <v>70</v>
      </c>
      <c r="H2150" t="s">
        <v>264</v>
      </c>
      <c r="I2150" t="s">
        <v>72</v>
      </c>
    </row>
    <row r="2151" spans="1:9" x14ac:dyDescent="0.25">
      <c r="A2151" t="s">
        <v>264</v>
      </c>
      <c r="B2151" t="s">
        <v>100</v>
      </c>
      <c r="C2151" t="s">
        <v>774</v>
      </c>
      <c r="D2151" s="1">
        <v>45190</v>
      </c>
      <c r="E2151" t="s">
        <v>267</v>
      </c>
      <c r="F2151">
        <v>2547.69</v>
      </c>
      <c r="G2151" t="s">
        <v>70</v>
      </c>
      <c r="H2151" t="s">
        <v>264</v>
      </c>
      <c r="I2151" t="s">
        <v>72</v>
      </c>
    </row>
    <row r="2152" spans="1:9" x14ac:dyDescent="0.25">
      <c r="A2152" t="s">
        <v>264</v>
      </c>
      <c r="B2152" t="s">
        <v>100</v>
      </c>
      <c r="C2152" t="s">
        <v>774</v>
      </c>
      <c r="D2152" s="1">
        <v>45190</v>
      </c>
      <c r="E2152" t="s">
        <v>275</v>
      </c>
      <c r="F2152">
        <v>589.72</v>
      </c>
      <c r="G2152" t="s">
        <v>70</v>
      </c>
      <c r="H2152" t="s">
        <v>264</v>
      </c>
      <c r="I2152" t="s">
        <v>72</v>
      </c>
    </row>
    <row r="2153" spans="1:9" x14ac:dyDescent="0.25">
      <c r="A2153" t="s">
        <v>264</v>
      </c>
      <c r="B2153" t="s">
        <v>100</v>
      </c>
      <c r="C2153" t="s">
        <v>774</v>
      </c>
      <c r="D2153" s="1">
        <v>45190</v>
      </c>
      <c r="E2153" t="s">
        <v>304</v>
      </c>
      <c r="F2153">
        <v>-453.35</v>
      </c>
      <c r="G2153" t="s">
        <v>70</v>
      </c>
      <c r="H2153" t="s">
        <v>264</v>
      </c>
      <c r="I2153" t="s">
        <v>72</v>
      </c>
    </row>
    <row r="2154" spans="1:9" x14ac:dyDescent="0.25">
      <c r="A2154" t="s">
        <v>264</v>
      </c>
      <c r="B2154" t="s">
        <v>100</v>
      </c>
      <c r="C2154" t="s">
        <v>774</v>
      </c>
      <c r="D2154" s="1">
        <v>45190</v>
      </c>
      <c r="E2154" t="s">
        <v>304</v>
      </c>
      <c r="F2154">
        <v>-228.55</v>
      </c>
      <c r="G2154" t="s">
        <v>70</v>
      </c>
      <c r="H2154" t="s">
        <v>264</v>
      </c>
      <c r="I2154" t="s">
        <v>72</v>
      </c>
    </row>
    <row r="2155" spans="1:9" x14ac:dyDescent="0.25">
      <c r="A2155" t="s">
        <v>264</v>
      </c>
      <c r="B2155" t="s">
        <v>100</v>
      </c>
      <c r="C2155" t="s">
        <v>774</v>
      </c>
      <c r="D2155" s="1">
        <v>45191</v>
      </c>
      <c r="E2155" t="s">
        <v>304</v>
      </c>
      <c r="F2155">
        <v>-120.77</v>
      </c>
      <c r="G2155" t="s">
        <v>70</v>
      </c>
      <c r="H2155" t="s">
        <v>264</v>
      </c>
      <c r="I2155" t="s">
        <v>72</v>
      </c>
    </row>
    <row r="2156" spans="1:9" x14ac:dyDescent="0.25">
      <c r="A2156" t="s">
        <v>264</v>
      </c>
      <c r="B2156" t="s">
        <v>100</v>
      </c>
      <c r="C2156" t="s">
        <v>774</v>
      </c>
      <c r="D2156" s="1">
        <v>45191</v>
      </c>
      <c r="E2156" t="s">
        <v>271</v>
      </c>
      <c r="F2156">
        <v>-168.52</v>
      </c>
      <c r="G2156" t="s">
        <v>70</v>
      </c>
      <c r="H2156" t="s">
        <v>264</v>
      </c>
      <c r="I2156" t="s">
        <v>72</v>
      </c>
    </row>
    <row r="2157" spans="1:9" x14ac:dyDescent="0.25">
      <c r="A2157" t="s">
        <v>264</v>
      </c>
      <c r="B2157" t="s">
        <v>100</v>
      </c>
      <c r="C2157" t="s">
        <v>774</v>
      </c>
      <c r="D2157" s="1">
        <v>45191</v>
      </c>
      <c r="E2157" t="s">
        <v>272</v>
      </c>
      <c r="F2157">
        <v>-2037.83</v>
      </c>
      <c r="G2157" t="s">
        <v>70</v>
      </c>
      <c r="H2157" t="s">
        <v>264</v>
      </c>
      <c r="I2157" t="s">
        <v>72</v>
      </c>
    </row>
    <row r="2158" spans="1:9" x14ac:dyDescent="0.25">
      <c r="A2158" t="s">
        <v>264</v>
      </c>
      <c r="B2158" t="s">
        <v>100</v>
      </c>
      <c r="C2158" t="s">
        <v>774</v>
      </c>
      <c r="D2158" s="1">
        <v>45191</v>
      </c>
      <c r="E2158" t="s">
        <v>273</v>
      </c>
      <c r="F2158">
        <v>-52.07</v>
      </c>
      <c r="G2158" t="s">
        <v>70</v>
      </c>
      <c r="H2158" t="s">
        <v>264</v>
      </c>
      <c r="I2158" t="s">
        <v>72</v>
      </c>
    </row>
    <row r="2159" spans="1:9" x14ac:dyDescent="0.25">
      <c r="A2159" t="s">
        <v>264</v>
      </c>
      <c r="B2159" t="s">
        <v>100</v>
      </c>
      <c r="C2159" t="s">
        <v>774</v>
      </c>
      <c r="D2159" s="1">
        <v>45193</v>
      </c>
      <c r="E2159" t="s">
        <v>304</v>
      </c>
      <c r="F2159">
        <v>-20.87</v>
      </c>
      <c r="G2159" t="s">
        <v>70</v>
      </c>
      <c r="H2159" t="s">
        <v>264</v>
      </c>
      <c r="I2159" t="s">
        <v>72</v>
      </c>
    </row>
    <row r="2160" spans="1:9" x14ac:dyDescent="0.25">
      <c r="A2160" t="s">
        <v>264</v>
      </c>
      <c r="B2160" t="s">
        <v>100</v>
      </c>
      <c r="C2160" t="s">
        <v>774</v>
      </c>
      <c r="D2160" s="1">
        <v>45194</v>
      </c>
      <c r="E2160" t="s">
        <v>304</v>
      </c>
      <c r="F2160">
        <v>-11.4</v>
      </c>
      <c r="G2160" t="s">
        <v>70</v>
      </c>
      <c r="H2160" t="s">
        <v>264</v>
      </c>
      <c r="I2160" t="s">
        <v>72</v>
      </c>
    </row>
    <row r="2161" spans="1:9" x14ac:dyDescent="0.25">
      <c r="A2161" t="s">
        <v>264</v>
      </c>
      <c r="B2161" t="s">
        <v>100</v>
      </c>
      <c r="C2161" t="s">
        <v>774</v>
      </c>
      <c r="D2161" s="1">
        <v>45195</v>
      </c>
      <c r="E2161" t="s">
        <v>304</v>
      </c>
      <c r="F2161">
        <v>-37.270000000000003</v>
      </c>
      <c r="G2161" t="s">
        <v>70</v>
      </c>
      <c r="H2161" t="s">
        <v>264</v>
      </c>
      <c r="I2161" t="s">
        <v>72</v>
      </c>
    </row>
    <row r="2162" spans="1:9" x14ac:dyDescent="0.25">
      <c r="A2162" t="s">
        <v>264</v>
      </c>
      <c r="B2162" t="s">
        <v>100</v>
      </c>
      <c r="C2162" t="s">
        <v>774</v>
      </c>
      <c r="D2162" s="1">
        <v>45195</v>
      </c>
      <c r="E2162" t="s">
        <v>304</v>
      </c>
      <c r="F2162">
        <v>-77.77</v>
      </c>
      <c r="G2162" t="s">
        <v>70</v>
      </c>
      <c r="H2162" t="s">
        <v>264</v>
      </c>
      <c r="I2162" t="s">
        <v>72</v>
      </c>
    </row>
    <row r="2163" spans="1:9" x14ac:dyDescent="0.25">
      <c r="A2163" t="s">
        <v>264</v>
      </c>
      <c r="B2163" t="s">
        <v>100</v>
      </c>
      <c r="C2163" t="s">
        <v>774</v>
      </c>
      <c r="D2163" s="1">
        <v>45196</v>
      </c>
      <c r="E2163" t="s">
        <v>274</v>
      </c>
      <c r="F2163">
        <v>3721.19</v>
      </c>
      <c r="G2163" t="s">
        <v>74</v>
      </c>
      <c r="H2163" t="s">
        <v>256</v>
      </c>
      <c r="I2163" t="s">
        <v>346</v>
      </c>
    </row>
    <row r="2164" spans="1:9" x14ac:dyDescent="0.25">
      <c r="A2164" t="s">
        <v>264</v>
      </c>
      <c r="B2164" t="s">
        <v>100</v>
      </c>
      <c r="C2164" t="s">
        <v>774</v>
      </c>
      <c r="D2164" s="1">
        <v>45196</v>
      </c>
      <c r="E2164" t="s">
        <v>275</v>
      </c>
      <c r="F2164">
        <v>1538.79</v>
      </c>
      <c r="G2164" t="s">
        <v>70</v>
      </c>
      <c r="H2164" t="s">
        <v>264</v>
      </c>
      <c r="I2164" t="s">
        <v>72</v>
      </c>
    </row>
    <row r="2165" spans="1:9" x14ac:dyDescent="0.25">
      <c r="A2165" t="s">
        <v>264</v>
      </c>
      <c r="B2165" t="s">
        <v>100</v>
      </c>
      <c r="C2165" t="s">
        <v>774</v>
      </c>
      <c r="D2165" s="1">
        <v>45196</v>
      </c>
      <c r="E2165" t="s">
        <v>304</v>
      </c>
      <c r="F2165">
        <v>-0.84</v>
      </c>
      <c r="G2165" t="s">
        <v>70</v>
      </c>
      <c r="H2165" t="s">
        <v>264</v>
      </c>
      <c r="I2165" t="s">
        <v>72</v>
      </c>
    </row>
    <row r="2166" spans="1:9" x14ac:dyDescent="0.25">
      <c r="A2166" t="s">
        <v>264</v>
      </c>
      <c r="B2166" t="s">
        <v>100</v>
      </c>
      <c r="C2166" t="s">
        <v>774</v>
      </c>
      <c r="D2166" s="1">
        <v>45196</v>
      </c>
      <c r="E2166" t="s">
        <v>268</v>
      </c>
      <c r="F2166">
        <v>211.05</v>
      </c>
      <c r="G2166" t="s">
        <v>70</v>
      </c>
      <c r="H2166" t="s">
        <v>264</v>
      </c>
      <c r="I2166" t="s">
        <v>72</v>
      </c>
    </row>
    <row r="2167" spans="1:9" x14ac:dyDescent="0.25">
      <c r="A2167" t="s">
        <v>264</v>
      </c>
      <c r="B2167" t="s">
        <v>100</v>
      </c>
      <c r="C2167" t="s">
        <v>774</v>
      </c>
      <c r="D2167" s="1">
        <v>45196</v>
      </c>
      <c r="E2167" t="s">
        <v>269</v>
      </c>
      <c r="F2167">
        <v>-3117.78</v>
      </c>
      <c r="G2167" t="s">
        <v>70</v>
      </c>
      <c r="H2167" t="s">
        <v>264</v>
      </c>
      <c r="I2167" t="s">
        <v>72</v>
      </c>
    </row>
    <row r="2168" spans="1:9" x14ac:dyDescent="0.25">
      <c r="A2168" t="s">
        <v>264</v>
      </c>
      <c r="B2168" t="s">
        <v>100</v>
      </c>
      <c r="C2168" t="s">
        <v>774</v>
      </c>
      <c r="D2168" s="1">
        <v>45196</v>
      </c>
      <c r="E2168" t="s">
        <v>276</v>
      </c>
      <c r="F2168">
        <v>-1686.36</v>
      </c>
      <c r="G2168" t="s">
        <v>70</v>
      </c>
      <c r="H2168" t="s">
        <v>264</v>
      </c>
      <c r="I2168" t="s">
        <v>72</v>
      </c>
    </row>
    <row r="2169" spans="1:9" x14ac:dyDescent="0.25">
      <c r="A2169" t="s">
        <v>264</v>
      </c>
      <c r="B2169" t="s">
        <v>100</v>
      </c>
      <c r="C2169" t="s">
        <v>774</v>
      </c>
      <c r="D2169" s="1">
        <v>45198</v>
      </c>
      <c r="E2169" t="s">
        <v>304</v>
      </c>
      <c r="F2169">
        <v>-0.02</v>
      </c>
      <c r="G2169" t="s">
        <v>70</v>
      </c>
      <c r="H2169" t="s">
        <v>264</v>
      </c>
      <c r="I2169" t="s">
        <v>72</v>
      </c>
    </row>
    <row r="2170" spans="1:9" x14ac:dyDescent="0.25">
      <c r="A2170" t="s">
        <v>264</v>
      </c>
      <c r="B2170" t="s">
        <v>100</v>
      </c>
      <c r="C2170" t="s">
        <v>774</v>
      </c>
      <c r="D2170" s="1">
        <v>45198</v>
      </c>
      <c r="E2170" t="s">
        <v>313</v>
      </c>
      <c r="F2170">
        <v>-0.48</v>
      </c>
      <c r="G2170" t="s">
        <v>347</v>
      </c>
      <c r="H2170" t="s">
        <v>348</v>
      </c>
      <c r="I2170" t="s">
        <v>348</v>
      </c>
    </row>
    <row r="2171" spans="1:9" x14ac:dyDescent="0.25">
      <c r="A2171" t="s">
        <v>264</v>
      </c>
      <c r="B2171" t="s">
        <v>100</v>
      </c>
      <c r="C2171" t="s">
        <v>774</v>
      </c>
      <c r="D2171" s="1">
        <v>45199</v>
      </c>
      <c r="E2171" t="s">
        <v>304</v>
      </c>
      <c r="F2171">
        <v>-21.59</v>
      </c>
      <c r="G2171" t="s">
        <v>70</v>
      </c>
      <c r="H2171" t="s">
        <v>264</v>
      </c>
      <c r="I2171" t="s">
        <v>72</v>
      </c>
    </row>
    <row r="2172" spans="1:9" x14ac:dyDescent="0.25">
      <c r="A2172" t="s">
        <v>264</v>
      </c>
      <c r="B2172" t="s">
        <v>100</v>
      </c>
      <c r="C2172" t="s">
        <v>774</v>
      </c>
      <c r="D2172" s="1">
        <v>45203</v>
      </c>
      <c r="E2172" t="s">
        <v>267</v>
      </c>
      <c r="F2172">
        <v>64.56</v>
      </c>
      <c r="G2172" t="s">
        <v>70</v>
      </c>
      <c r="H2172" t="s">
        <v>264</v>
      </c>
      <c r="I2172" t="s">
        <v>72</v>
      </c>
    </row>
    <row r="2173" spans="1:9" x14ac:dyDescent="0.25">
      <c r="A2173" t="s">
        <v>264</v>
      </c>
      <c r="B2173" t="s">
        <v>100</v>
      </c>
      <c r="C2173" t="s">
        <v>774</v>
      </c>
      <c r="D2173" s="1">
        <v>45203</v>
      </c>
      <c r="E2173" t="s">
        <v>267</v>
      </c>
      <c r="F2173">
        <v>764.34</v>
      </c>
      <c r="G2173" t="s">
        <v>70</v>
      </c>
      <c r="H2173" t="s">
        <v>264</v>
      </c>
      <c r="I2173" t="s">
        <v>72</v>
      </c>
    </row>
    <row r="2174" spans="1:9" x14ac:dyDescent="0.25">
      <c r="A2174" t="s">
        <v>264</v>
      </c>
      <c r="B2174" t="s">
        <v>100</v>
      </c>
      <c r="C2174" t="s">
        <v>774</v>
      </c>
      <c r="D2174" s="1">
        <v>45203</v>
      </c>
      <c r="E2174" t="s">
        <v>268</v>
      </c>
      <c r="F2174">
        <v>129.29</v>
      </c>
      <c r="G2174" t="s">
        <v>70</v>
      </c>
      <c r="H2174" t="s">
        <v>264</v>
      </c>
      <c r="I2174" t="s">
        <v>72</v>
      </c>
    </row>
    <row r="2175" spans="1:9" x14ac:dyDescent="0.25">
      <c r="A2175" t="s">
        <v>264</v>
      </c>
      <c r="B2175" t="s">
        <v>100</v>
      </c>
      <c r="C2175" t="s">
        <v>774</v>
      </c>
      <c r="D2175" s="1">
        <v>45204</v>
      </c>
      <c r="E2175" t="s">
        <v>304</v>
      </c>
      <c r="F2175">
        <v>-4.05</v>
      </c>
      <c r="G2175" t="s">
        <v>70</v>
      </c>
      <c r="H2175" t="s">
        <v>264</v>
      </c>
      <c r="I2175" t="s">
        <v>72</v>
      </c>
    </row>
    <row r="2176" spans="1:9" x14ac:dyDescent="0.25">
      <c r="A2176" t="s">
        <v>264</v>
      </c>
      <c r="B2176" t="s">
        <v>100</v>
      </c>
      <c r="C2176" t="s">
        <v>774</v>
      </c>
      <c r="D2176" s="1">
        <v>45204</v>
      </c>
      <c r="E2176" t="s">
        <v>268</v>
      </c>
      <c r="F2176">
        <v>42.5</v>
      </c>
      <c r="G2176" t="s">
        <v>70</v>
      </c>
      <c r="H2176" t="s">
        <v>264</v>
      </c>
      <c r="I2176" t="s">
        <v>72</v>
      </c>
    </row>
    <row r="2177" spans="1:9" x14ac:dyDescent="0.25">
      <c r="A2177" t="s">
        <v>264</v>
      </c>
      <c r="B2177" t="s">
        <v>100</v>
      </c>
      <c r="C2177" t="s">
        <v>774</v>
      </c>
      <c r="D2177" s="1">
        <v>45204</v>
      </c>
      <c r="E2177" t="s">
        <v>304</v>
      </c>
      <c r="F2177">
        <v>-10.24</v>
      </c>
      <c r="G2177" t="s">
        <v>70</v>
      </c>
      <c r="H2177" t="s">
        <v>264</v>
      </c>
      <c r="I2177" t="s">
        <v>72</v>
      </c>
    </row>
    <row r="2178" spans="1:9" x14ac:dyDescent="0.25">
      <c r="A2178" t="s">
        <v>264</v>
      </c>
      <c r="B2178" t="s">
        <v>100</v>
      </c>
      <c r="C2178" t="s">
        <v>774</v>
      </c>
      <c r="D2178" s="1">
        <v>45205</v>
      </c>
      <c r="E2178" t="s">
        <v>267</v>
      </c>
      <c r="F2178">
        <v>260.88</v>
      </c>
      <c r="G2178" t="s">
        <v>70</v>
      </c>
      <c r="H2178" t="s">
        <v>264</v>
      </c>
      <c r="I2178" t="s">
        <v>72</v>
      </c>
    </row>
    <row r="2179" spans="1:9" x14ac:dyDescent="0.25">
      <c r="A2179" t="s">
        <v>264</v>
      </c>
      <c r="B2179" t="s">
        <v>100</v>
      </c>
      <c r="C2179" t="s">
        <v>774</v>
      </c>
      <c r="D2179" s="1">
        <v>45205</v>
      </c>
      <c r="E2179" t="s">
        <v>304</v>
      </c>
      <c r="F2179">
        <v>-309.44</v>
      </c>
      <c r="G2179" t="s">
        <v>70</v>
      </c>
      <c r="H2179" t="s">
        <v>264</v>
      </c>
      <c r="I2179" t="s">
        <v>72</v>
      </c>
    </row>
    <row r="2180" spans="1:9" x14ac:dyDescent="0.25">
      <c r="A2180" t="s">
        <v>264</v>
      </c>
      <c r="B2180" t="s">
        <v>100</v>
      </c>
      <c r="C2180" t="s">
        <v>774</v>
      </c>
      <c r="D2180" s="1">
        <v>45205</v>
      </c>
      <c r="E2180" t="s">
        <v>271</v>
      </c>
      <c r="F2180">
        <v>-785.4</v>
      </c>
      <c r="G2180" t="s">
        <v>70</v>
      </c>
      <c r="H2180" t="s">
        <v>264</v>
      </c>
      <c r="I2180" t="s">
        <v>72</v>
      </c>
    </row>
    <row r="2181" spans="1:9" x14ac:dyDescent="0.25">
      <c r="A2181" t="s">
        <v>264</v>
      </c>
      <c r="B2181" t="s">
        <v>100</v>
      </c>
      <c r="C2181" t="s">
        <v>774</v>
      </c>
      <c r="D2181" s="1">
        <v>45205</v>
      </c>
      <c r="E2181" t="s">
        <v>272</v>
      </c>
      <c r="F2181">
        <v>-1580.73</v>
      </c>
      <c r="G2181" t="s">
        <v>70</v>
      </c>
      <c r="H2181" t="s">
        <v>264</v>
      </c>
      <c r="I2181" t="s">
        <v>72</v>
      </c>
    </row>
    <row r="2182" spans="1:9" x14ac:dyDescent="0.25">
      <c r="A2182" t="s">
        <v>264</v>
      </c>
      <c r="B2182" t="s">
        <v>100</v>
      </c>
      <c r="C2182" t="s">
        <v>774</v>
      </c>
      <c r="D2182" s="1">
        <v>45205</v>
      </c>
      <c r="E2182" t="s">
        <v>273</v>
      </c>
      <c r="F2182">
        <v>-90.83</v>
      </c>
      <c r="G2182" t="s">
        <v>70</v>
      </c>
      <c r="H2182" t="s">
        <v>264</v>
      </c>
      <c r="I2182" t="s">
        <v>72</v>
      </c>
    </row>
    <row r="2183" spans="1:9" x14ac:dyDescent="0.25">
      <c r="A2183" t="s">
        <v>264</v>
      </c>
      <c r="B2183" t="s">
        <v>100</v>
      </c>
      <c r="C2183" t="s">
        <v>774</v>
      </c>
      <c r="D2183" s="1">
        <v>45206</v>
      </c>
      <c r="E2183" t="s">
        <v>304</v>
      </c>
      <c r="F2183">
        <v>-9.2200000000000006</v>
      </c>
      <c r="G2183" t="s">
        <v>70</v>
      </c>
      <c r="H2183" t="s">
        <v>264</v>
      </c>
      <c r="I2183" t="s">
        <v>72</v>
      </c>
    </row>
    <row r="2184" spans="1:9" x14ac:dyDescent="0.25">
      <c r="A2184" t="s">
        <v>264</v>
      </c>
      <c r="B2184" t="s">
        <v>100</v>
      </c>
      <c r="C2184" t="s">
        <v>774</v>
      </c>
      <c r="D2184" s="1">
        <v>45206</v>
      </c>
      <c r="E2184" t="s">
        <v>304</v>
      </c>
      <c r="F2184">
        <v>-117.2</v>
      </c>
      <c r="G2184" t="s">
        <v>70</v>
      </c>
      <c r="H2184" t="s">
        <v>264</v>
      </c>
      <c r="I2184" t="s">
        <v>72</v>
      </c>
    </row>
    <row r="2185" spans="1:9" x14ac:dyDescent="0.25">
      <c r="A2185" t="s">
        <v>264</v>
      </c>
      <c r="B2185" t="s">
        <v>100</v>
      </c>
      <c r="C2185" t="s">
        <v>774</v>
      </c>
      <c r="D2185" s="1">
        <v>45206</v>
      </c>
      <c r="E2185" t="s">
        <v>304</v>
      </c>
      <c r="F2185">
        <v>-44.04</v>
      </c>
      <c r="G2185" t="s">
        <v>70</v>
      </c>
      <c r="H2185" t="s">
        <v>264</v>
      </c>
      <c r="I2185" t="s">
        <v>72</v>
      </c>
    </row>
    <row r="2186" spans="1:9" x14ac:dyDescent="0.25">
      <c r="A2186" t="s">
        <v>264</v>
      </c>
      <c r="B2186" t="s">
        <v>100</v>
      </c>
      <c r="C2186" t="s">
        <v>774</v>
      </c>
      <c r="D2186" s="1">
        <v>45210</v>
      </c>
      <c r="E2186" t="s">
        <v>274</v>
      </c>
      <c r="F2186">
        <v>816.06</v>
      </c>
      <c r="G2186" t="s">
        <v>74</v>
      </c>
      <c r="H2186" t="s">
        <v>256</v>
      </c>
      <c r="I2186" t="s">
        <v>346</v>
      </c>
    </row>
    <row r="2187" spans="1:9" x14ac:dyDescent="0.25">
      <c r="A2187" t="s">
        <v>264</v>
      </c>
      <c r="B2187" t="s">
        <v>100</v>
      </c>
      <c r="C2187" t="s">
        <v>774</v>
      </c>
      <c r="D2187" s="1">
        <v>45210</v>
      </c>
      <c r="E2187" t="s">
        <v>268</v>
      </c>
      <c r="F2187">
        <v>803.21</v>
      </c>
      <c r="G2187" t="s">
        <v>70</v>
      </c>
      <c r="H2187" t="s">
        <v>264</v>
      </c>
      <c r="I2187" t="s">
        <v>72</v>
      </c>
    </row>
    <row r="2188" spans="1:9" x14ac:dyDescent="0.25">
      <c r="A2188" t="s">
        <v>264</v>
      </c>
      <c r="B2188" t="s">
        <v>100</v>
      </c>
      <c r="C2188" t="s">
        <v>774</v>
      </c>
      <c r="D2188" s="1">
        <v>45210</v>
      </c>
      <c r="E2188" t="s">
        <v>304</v>
      </c>
      <c r="F2188">
        <v>-277.62</v>
      </c>
      <c r="G2188" t="s">
        <v>70</v>
      </c>
      <c r="H2188" t="s">
        <v>264</v>
      </c>
      <c r="I2188" t="s">
        <v>72</v>
      </c>
    </row>
    <row r="2189" spans="1:9" x14ac:dyDescent="0.25">
      <c r="A2189" t="s">
        <v>264</v>
      </c>
      <c r="B2189" t="s">
        <v>100</v>
      </c>
      <c r="C2189" t="s">
        <v>774</v>
      </c>
      <c r="D2189" s="1">
        <v>45210</v>
      </c>
      <c r="E2189" t="s">
        <v>275</v>
      </c>
      <c r="F2189">
        <v>1003.13</v>
      </c>
      <c r="G2189" t="s">
        <v>70</v>
      </c>
      <c r="H2189" t="s">
        <v>264</v>
      </c>
      <c r="I2189" t="s">
        <v>72</v>
      </c>
    </row>
    <row r="2190" spans="1:9" x14ac:dyDescent="0.25">
      <c r="A2190" t="s">
        <v>264</v>
      </c>
      <c r="B2190" t="s">
        <v>100</v>
      </c>
      <c r="C2190" t="s">
        <v>774</v>
      </c>
      <c r="D2190" s="1">
        <v>45210</v>
      </c>
      <c r="E2190" t="s">
        <v>269</v>
      </c>
      <c r="F2190">
        <v>-1883.59</v>
      </c>
      <c r="G2190" t="s">
        <v>70</v>
      </c>
      <c r="H2190" t="s">
        <v>264</v>
      </c>
      <c r="I2190" t="s">
        <v>72</v>
      </c>
    </row>
    <row r="2191" spans="1:9" x14ac:dyDescent="0.25">
      <c r="A2191" t="s">
        <v>264</v>
      </c>
      <c r="B2191" t="s">
        <v>100</v>
      </c>
      <c r="C2191" t="s">
        <v>774</v>
      </c>
      <c r="D2191" s="1">
        <v>45210</v>
      </c>
      <c r="E2191" t="s">
        <v>304</v>
      </c>
      <c r="F2191">
        <v>-215.74</v>
      </c>
      <c r="G2191" t="s">
        <v>70</v>
      </c>
      <c r="H2191" t="s">
        <v>264</v>
      </c>
      <c r="I2191" t="s">
        <v>72</v>
      </c>
    </row>
    <row r="2192" spans="1:9" x14ac:dyDescent="0.25">
      <c r="A2192" t="s">
        <v>264</v>
      </c>
      <c r="B2192" t="s">
        <v>100</v>
      </c>
      <c r="C2192" t="s">
        <v>774</v>
      </c>
      <c r="D2192" s="1">
        <v>45210</v>
      </c>
      <c r="E2192" t="s">
        <v>276</v>
      </c>
      <c r="F2192">
        <v>-198.87</v>
      </c>
      <c r="G2192" t="s">
        <v>70</v>
      </c>
      <c r="H2192" t="s">
        <v>264</v>
      </c>
      <c r="I2192" t="s">
        <v>72</v>
      </c>
    </row>
    <row r="2193" spans="1:9" x14ac:dyDescent="0.25">
      <c r="A2193" t="s">
        <v>264</v>
      </c>
      <c r="B2193" t="s">
        <v>100</v>
      </c>
      <c r="C2193" t="s">
        <v>774</v>
      </c>
      <c r="D2193" s="1">
        <v>45212</v>
      </c>
      <c r="E2193" t="s">
        <v>314</v>
      </c>
      <c r="F2193">
        <v>-8.92</v>
      </c>
      <c r="G2193" t="s">
        <v>347</v>
      </c>
      <c r="H2193" t="s">
        <v>348</v>
      </c>
      <c r="I2193" t="s">
        <v>348</v>
      </c>
    </row>
    <row r="2194" spans="1:9" x14ac:dyDescent="0.25">
      <c r="A2194" t="s">
        <v>264</v>
      </c>
      <c r="B2194" t="s">
        <v>100</v>
      </c>
      <c r="C2194" t="s">
        <v>774</v>
      </c>
      <c r="D2194" s="1">
        <v>45214</v>
      </c>
      <c r="E2194" t="s">
        <v>285</v>
      </c>
      <c r="F2194">
        <v>-176.76</v>
      </c>
      <c r="G2194" t="s">
        <v>79</v>
      </c>
      <c r="H2194" t="s">
        <v>96</v>
      </c>
      <c r="I2194" t="s">
        <v>96</v>
      </c>
    </row>
    <row r="2195" spans="1:9" x14ac:dyDescent="0.25">
      <c r="A2195" t="s">
        <v>264</v>
      </c>
      <c r="B2195" t="s">
        <v>100</v>
      </c>
      <c r="C2195" t="s">
        <v>774</v>
      </c>
      <c r="D2195" s="1">
        <v>45218</v>
      </c>
      <c r="E2195" t="s">
        <v>267</v>
      </c>
      <c r="F2195">
        <v>2675.98</v>
      </c>
      <c r="G2195" t="s">
        <v>70</v>
      </c>
      <c r="H2195" t="s">
        <v>264</v>
      </c>
      <c r="I2195" t="s">
        <v>72</v>
      </c>
    </row>
    <row r="2196" spans="1:9" x14ac:dyDescent="0.25">
      <c r="A2196" t="s">
        <v>264</v>
      </c>
      <c r="B2196" t="s">
        <v>100</v>
      </c>
      <c r="C2196" t="s">
        <v>774</v>
      </c>
      <c r="D2196" s="1">
        <v>45218</v>
      </c>
      <c r="E2196" t="s">
        <v>268</v>
      </c>
      <c r="F2196">
        <v>308.93</v>
      </c>
      <c r="G2196" t="s">
        <v>70</v>
      </c>
      <c r="H2196" t="s">
        <v>264</v>
      </c>
      <c r="I2196" t="s">
        <v>72</v>
      </c>
    </row>
    <row r="2197" spans="1:9" x14ac:dyDescent="0.25">
      <c r="A2197" t="s">
        <v>264</v>
      </c>
      <c r="B2197" t="s">
        <v>100</v>
      </c>
      <c r="C2197" t="s">
        <v>774</v>
      </c>
      <c r="D2197" s="1">
        <v>45219</v>
      </c>
      <c r="E2197" t="s">
        <v>267</v>
      </c>
      <c r="F2197">
        <v>518.02</v>
      </c>
      <c r="G2197" t="s">
        <v>70</v>
      </c>
      <c r="H2197" t="s">
        <v>264</v>
      </c>
      <c r="I2197" t="s">
        <v>72</v>
      </c>
    </row>
    <row r="2198" spans="1:9" x14ac:dyDescent="0.25">
      <c r="A2198" t="s">
        <v>264</v>
      </c>
      <c r="B2198" t="s">
        <v>100</v>
      </c>
      <c r="C2198" t="s">
        <v>774</v>
      </c>
      <c r="D2198" s="1">
        <v>45219</v>
      </c>
      <c r="E2198" t="s">
        <v>304</v>
      </c>
      <c r="F2198">
        <v>-211.28</v>
      </c>
      <c r="G2198" t="s">
        <v>70</v>
      </c>
      <c r="H2198" t="s">
        <v>264</v>
      </c>
      <c r="I2198" t="s">
        <v>72</v>
      </c>
    </row>
    <row r="2199" spans="1:9" x14ac:dyDescent="0.25">
      <c r="A2199" t="s">
        <v>264</v>
      </c>
      <c r="B2199" t="s">
        <v>100</v>
      </c>
      <c r="C2199" t="s">
        <v>774</v>
      </c>
      <c r="D2199" s="1">
        <v>45219</v>
      </c>
      <c r="E2199" t="s">
        <v>271</v>
      </c>
      <c r="F2199">
        <v>-1145.6400000000001</v>
      </c>
      <c r="G2199" t="s">
        <v>70</v>
      </c>
      <c r="H2199" t="s">
        <v>264</v>
      </c>
      <c r="I2199" t="s">
        <v>72</v>
      </c>
    </row>
    <row r="2200" spans="1:9" x14ac:dyDescent="0.25">
      <c r="A2200" t="s">
        <v>264</v>
      </c>
      <c r="B2200" t="s">
        <v>100</v>
      </c>
      <c r="C2200" t="s">
        <v>774</v>
      </c>
      <c r="D2200" s="1">
        <v>45219</v>
      </c>
      <c r="E2200" t="s">
        <v>272</v>
      </c>
      <c r="F2200">
        <v>-341.93</v>
      </c>
      <c r="G2200" t="s">
        <v>70</v>
      </c>
      <c r="H2200" t="s">
        <v>264</v>
      </c>
      <c r="I2200" t="s">
        <v>72</v>
      </c>
    </row>
    <row r="2201" spans="1:9" x14ac:dyDescent="0.25">
      <c r="A2201" t="s">
        <v>264</v>
      </c>
      <c r="B2201" t="s">
        <v>100</v>
      </c>
      <c r="C2201" t="s">
        <v>774</v>
      </c>
      <c r="D2201" s="1">
        <v>45219</v>
      </c>
      <c r="E2201" t="s">
        <v>273</v>
      </c>
      <c r="F2201">
        <v>-120.18</v>
      </c>
      <c r="G2201" t="s">
        <v>70</v>
      </c>
      <c r="H2201" t="s">
        <v>264</v>
      </c>
      <c r="I2201" t="s">
        <v>72</v>
      </c>
    </row>
    <row r="2202" spans="1:9" x14ac:dyDescent="0.25">
      <c r="A2202" t="s">
        <v>264</v>
      </c>
      <c r="B2202" t="s">
        <v>100</v>
      </c>
      <c r="C2202" t="s">
        <v>774</v>
      </c>
      <c r="D2202" s="1">
        <v>45220</v>
      </c>
      <c r="E2202" t="s">
        <v>304</v>
      </c>
      <c r="F2202">
        <v>-84.33</v>
      </c>
      <c r="G2202" t="s">
        <v>70</v>
      </c>
      <c r="H2202" t="s">
        <v>264</v>
      </c>
      <c r="I2202" t="s">
        <v>72</v>
      </c>
    </row>
    <row r="2203" spans="1:9" x14ac:dyDescent="0.25">
      <c r="A2203" t="s">
        <v>264</v>
      </c>
      <c r="B2203" t="s">
        <v>100</v>
      </c>
      <c r="C2203" t="s">
        <v>774</v>
      </c>
      <c r="D2203" s="1">
        <v>45220</v>
      </c>
      <c r="E2203" t="s">
        <v>268</v>
      </c>
      <c r="F2203">
        <v>123.08</v>
      </c>
      <c r="G2203" t="s">
        <v>70</v>
      </c>
      <c r="H2203" t="s">
        <v>264</v>
      </c>
      <c r="I2203" t="s">
        <v>72</v>
      </c>
    </row>
    <row r="2204" spans="1:9" x14ac:dyDescent="0.25">
      <c r="A2204" t="s">
        <v>264</v>
      </c>
      <c r="B2204" t="s">
        <v>100</v>
      </c>
      <c r="C2204" t="s">
        <v>774</v>
      </c>
      <c r="D2204" s="1">
        <v>45220</v>
      </c>
      <c r="E2204" t="s">
        <v>304</v>
      </c>
      <c r="F2204">
        <v>-38.19</v>
      </c>
      <c r="G2204" t="s">
        <v>70</v>
      </c>
      <c r="H2204" t="s">
        <v>264</v>
      </c>
      <c r="I2204" t="s">
        <v>72</v>
      </c>
    </row>
    <row r="2205" spans="1:9" x14ac:dyDescent="0.25">
      <c r="A2205" t="s">
        <v>264</v>
      </c>
      <c r="B2205" t="s">
        <v>100</v>
      </c>
      <c r="C2205" t="s">
        <v>774</v>
      </c>
      <c r="D2205" s="1">
        <v>45221</v>
      </c>
      <c r="E2205" t="s">
        <v>267</v>
      </c>
      <c r="F2205">
        <v>509.64</v>
      </c>
      <c r="G2205" t="s">
        <v>70</v>
      </c>
      <c r="H2205" t="s">
        <v>264</v>
      </c>
      <c r="I2205" t="s">
        <v>72</v>
      </c>
    </row>
    <row r="2206" spans="1:9" x14ac:dyDescent="0.25">
      <c r="A2206" t="s">
        <v>264</v>
      </c>
      <c r="B2206" t="s">
        <v>100</v>
      </c>
      <c r="C2206" t="s">
        <v>774</v>
      </c>
      <c r="D2206" s="1">
        <v>45221</v>
      </c>
      <c r="E2206" t="s">
        <v>304</v>
      </c>
      <c r="F2206">
        <v>-307</v>
      </c>
      <c r="G2206" t="s">
        <v>70</v>
      </c>
      <c r="H2206" t="s">
        <v>264</v>
      </c>
      <c r="I2206" t="s">
        <v>72</v>
      </c>
    </row>
    <row r="2207" spans="1:9" x14ac:dyDescent="0.25">
      <c r="A2207" t="s">
        <v>264</v>
      </c>
      <c r="B2207" t="s">
        <v>100</v>
      </c>
      <c r="C2207" t="s">
        <v>774</v>
      </c>
      <c r="D2207" s="1">
        <v>45222</v>
      </c>
      <c r="E2207" t="s">
        <v>267</v>
      </c>
      <c r="F2207">
        <v>382.37</v>
      </c>
      <c r="G2207" t="s">
        <v>70</v>
      </c>
      <c r="H2207" t="s">
        <v>264</v>
      </c>
      <c r="I2207" t="s">
        <v>72</v>
      </c>
    </row>
    <row r="2208" spans="1:9" x14ac:dyDescent="0.25">
      <c r="A2208" t="s">
        <v>264</v>
      </c>
      <c r="B2208" t="s">
        <v>100</v>
      </c>
      <c r="C2208" t="s">
        <v>774</v>
      </c>
      <c r="D2208" s="1">
        <v>45222</v>
      </c>
      <c r="E2208" t="s">
        <v>304</v>
      </c>
      <c r="F2208">
        <v>-505.91</v>
      </c>
      <c r="G2208" t="s">
        <v>70</v>
      </c>
      <c r="H2208" t="s">
        <v>264</v>
      </c>
      <c r="I2208" t="s">
        <v>72</v>
      </c>
    </row>
    <row r="2209" spans="1:9" x14ac:dyDescent="0.25">
      <c r="A2209" t="s">
        <v>264</v>
      </c>
      <c r="B2209" t="s">
        <v>100</v>
      </c>
      <c r="C2209" t="s">
        <v>774</v>
      </c>
      <c r="D2209" s="1">
        <v>45223</v>
      </c>
      <c r="E2209" t="s">
        <v>304</v>
      </c>
      <c r="F2209">
        <v>-24.46</v>
      </c>
      <c r="G2209" t="s">
        <v>70</v>
      </c>
      <c r="H2209" t="s">
        <v>264</v>
      </c>
      <c r="I2209" t="s">
        <v>72</v>
      </c>
    </row>
    <row r="2210" spans="1:9" x14ac:dyDescent="0.25">
      <c r="A2210" t="s">
        <v>264</v>
      </c>
      <c r="B2210" t="s">
        <v>100</v>
      </c>
      <c r="C2210" t="s">
        <v>774</v>
      </c>
      <c r="D2210" s="1">
        <v>45224</v>
      </c>
      <c r="E2210" t="s">
        <v>274</v>
      </c>
      <c r="F2210">
        <v>1592.61</v>
      </c>
      <c r="G2210" t="s">
        <v>74</v>
      </c>
      <c r="H2210" t="s">
        <v>256</v>
      </c>
      <c r="I2210" t="s">
        <v>346</v>
      </c>
    </row>
    <row r="2211" spans="1:9" x14ac:dyDescent="0.25">
      <c r="A2211" t="s">
        <v>264</v>
      </c>
      <c r="B2211" t="s">
        <v>100</v>
      </c>
      <c r="C2211" t="s">
        <v>774</v>
      </c>
      <c r="D2211" s="1">
        <v>45224</v>
      </c>
      <c r="E2211" t="s">
        <v>304</v>
      </c>
      <c r="F2211">
        <v>-55.28</v>
      </c>
      <c r="G2211" t="s">
        <v>70</v>
      </c>
      <c r="H2211" t="s">
        <v>264</v>
      </c>
      <c r="I2211" t="s">
        <v>72</v>
      </c>
    </row>
    <row r="2212" spans="1:9" x14ac:dyDescent="0.25">
      <c r="A2212" t="s">
        <v>264</v>
      </c>
      <c r="B2212" t="s">
        <v>100</v>
      </c>
      <c r="C2212" t="s">
        <v>774</v>
      </c>
      <c r="D2212" s="1">
        <v>45224</v>
      </c>
      <c r="E2212" t="s">
        <v>269</v>
      </c>
      <c r="F2212">
        <v>-3264.85</v>
      </c>
      <c r="G2212" t="s">
        <v>70</v>
      </c>
      <c r="H2212" t="s">
        <v>264</v>
      </c>
      <c r="I2212" t="s">
        <v>72</v>
      </c>
    </row>
    <row r="2213" spans="1:9" x14ac:dyDescent="0.25">
      <c r="A2213" t="s">
        <v>264</v>
      </c>
      <c r="B2213" t="s">
        <v>100</v>
      </c>
      <c r="C2213" t="s">
        <v>774</v>
      </c>
      <c r="D2213" s="1">
        <v>45224</v>
      </c>
      <c r="E2213" t="s">
        <v>304</v>
      </c>
      <c r="F2213">
        <v>-49.77</v>
      </c>
      <c r="G2213" t="s">
        <v>70</v>
      </c>
      <c r="H2213" t="s">
        <v>264</v>
      </c>
      <c r="I2213" t="s">
        <v>72</v>
      </c>
    </row>
    <row r="2214" spans="1:9" x14ac:dyDescent="0.25">
      <c r="A2214" t="s">
        <v>264</v>
      </c>
      <c r="B2214" t="s">
        <v>100</v>
      </c>
      <c r="C2214" t="s">
        <v>774</v>
      </c>
      <c r="D2214" s="1">
        <v>45224</v>
      </c>
      <c r="E2214" t="s">
        <v>275</v>
      </c>
      <c r="F2214">
        <v>154.49</v>
      </c>
      <c r="G2214" t="s">
        <v>70</v>
      </c>
      <c r="H2214" t="s">
        <v>264</v>
      </c>
      <c r="I2214" t="s">
        <v>72</v>
      </c>
    </row>
    <row r="2215" spans="1:9" x14ac:dyDescent="0.25">
      <c r="A2215" t="s">
        <v>264</v>
      </c>
      <c r="B2215" t="s">
        <v>100</v>
      </c>
      <c r="C2215" t="s">
        <v>774</v>
      </c>
      <c r="D2215" s="1">
        <v>45224</v>
      </c>
      <c r="E2215" t="s">
        <v>268</v>
      </c>
      <c r="F2215">
        <v>1534.95</v>
      </c>
      <c r="G2215" t="s">
        <v>70</v>
      </c>
      <c r="H2215" t="s">
        <v>264</v>
      </c>
      <c r="I2215" t="s">
        <v>72</v>
      </c>
    </row>
    <row r="2216" spans="1:9" x14ac:dyDescent="0.25">
      <c r="A2216" t="s">
        <v>264</v>
      </c>
      <c r="B2216" t="s">
        <v>100</v>
      </c>
      <c r="C2216" t="s">
        <v>774</v>
      </c>
      <c r="D2216" s="1">
        <v>45224</v>
      </c>
      <c r="E2216" t="s">
        <v>269</v>
      </c>
      <c r="F2216">
        <v>-1708.78</v>
      </c>
      <c r="G2216" t="s">
        <v>70</v>
      </c>
      <c r="H2216" t="s">
        <v>264</v>
      </c>
      <c r="I2216" t="s">
        <v>72</v>
      </c>
    </row>
    <row r="2217" spans="1:9" x14ac:dyDescent="0.25">
      <c r="A2217" t="s">
        <v>264</v>
      </c>
      <c r="B2217" t="s">
        <v>100</v>
      </c>
      <c r="C2217" t="s">
        <v>774</v>
      </c>
      <c r="D2217" s="1">
        <v>45224</v>
      </c>
      <c r="E2217" t="s">
        <v>315</v>
      </c>
      <c r="F2217">
        <v>25.45</v>
      </c>
      <c r="G2217" t="s">
        <v>76</v>
      </c>
      <c r="H2217" t="s">
        <v>87</v>
      </c>
      <c r="I2217" t="s">
        <v>88</v>
      </c>
    </row>
    <row r="2218" spans="1:9" x14ac:dyDescent="0.25">
      <c r="A2218" t="s">
        <v>264</v>
      </c>
      <c r="B2218" t="s">
        <v>100</v>
      </c>
      <c r="C2218" t="s">
        <v>774</v>
      </c>
      <c r="D2218" s="1">
        <v>45224</v>
      </c>
      <c r="E2218" t="s">
        <v>276</v>
      </c>
      <c r="F2218">
        <v>-1836.79</v>
      </c>
      <c r="G2218" t="s">
        <v>70</v>
      </c>
      <c r="H2218" t="s">
        <v>264</v>
      </c>
      <c r="I2218" t="s">
        <v>72</v>
      </c>
    </row>
    <row r="2219" spans="1:9" x14ac:dyDescent="0.25">
      <c r="A2219" t="s">
        <v>264</v>
      </c>
      <c r="B2219" t="s">
        <v>100</v>
      </c>
      <c r="C2219" t="s">
        <v>774</v>
      </c>
      <c r="D2219" s="1">
        <v>45226</v>
      </c>
      <c r="E2219" t="s">
        <v>304</v>
      </c>
      <c r="F2219">
        <v>-4.5</v>
      </c>
      <c r="G2219" t="s">
        <v>70</v>
      </c>
      <c r="H2219" t="s">
        <v>264</v>
      </c>
      <c r="I2219" t="s">
        <v>72</v>
      </c>
    </row>
    <row r="2220" spans="1:9" x14ac:dyDescent="0.25">
      <c r="A2220" t="s">
        <v>264</v>
      </c>
      <c r="B2220" t="s">
        <v>100</v>
      </c>
      <c r="C2220" t="s">
        <v>774</v>
      </c>
      <c r="D2220" s="1">
        <v>45226</v>
      </c>
      <c r="E2220" t="s">
        <v>304</v>
      </c>
      <c r="F2220">
        <v>-38.94</v>
      </c>
      <c r="G2220" t="s">
        <v>70</v>
      </c>
      <c r="H2220" t="s">
        <v>264</v>
      </c>
      <c r="I2220" t="s">
        <v>72</v>
      </c>
    </row>
    <row r="2221" spans="1:9" x14ac:dyDescent="0.25">
      <c r="A2221" t="s">
        <v>264</v>
      </c>
      <c r="B2221" t="s">
        <v>100</v>
      </c>
      <c r="C2221" t="s">
        <v>774</v>
      </c>
      <c r="D2221" s="1">
        <v>45226</v>
      </c>
      <c r="E2221" t="s">
        <v>316</v>
      </c>
      <c r="F2221">
        <v>-17.66</v>
      </c>
      <c r="G2221" t="s">
        <v>347</v>
      </c>
      <c r="H2221" t="s">
        <v>348</v>
      </c>
      <c r="I2221" t="s">
        <v>348</v>
      </c>
    </row>
    <row r="2222" spans="1:9" x14ac:dyDescent="0.25">
      <c r="A2222" t="s">
        <v>264</v>
      </c>
      <c r="B2222" t="s">
        <v>100</v>
      </c>
      <c r="C2222" t="s">
        <v>774</v>
      </c>
      <c r="D2222" s="1">
        <v>45228</v>
      </c>
      <c r="E2222" t="s">
        <v>304</v>
      </c>
      <c r="F2222">
        <v>-141.56</v>
      </c>
      <c r="G2222" t="s">
        <v>70</v>
      </c>
      <c r="H2222" t="s">
        <v>264</v>
      </c>
      <c r="I2222" t="s">
        <v>72</v>
      </c>
    </row>
    <row r="2223" spans="1:9" x14ac:dyDescent="0.25">
      <c r="A2223" t="s">
        <v>264</v>
      </c>
      <c r="B2223" t="s">
        <v>100</v>
      </c>
      <c r="C2223" t="s">
        <v>774</v>
      </c>
      <c r="D2223" s="1">
        <v>45231</v>
      </c>
      <c r="E2223" t="s">
        <v>304</v>
      </c>
      <c r="F2223">
        <v>-0.33</v>
      </c>
      <c r="G2223" t="s">
        <v>70</v>
      </c>
      <c r="H2223" t="s">
        <v>264</v>
      </c>
      <c r="I2223" t="s">
        <v>72</v>
      </c>
    </row>
    <row r="2224" spans="1:9" x14ac:dyDescent="0.25">
      <c r="A2224" t="s">
        <v>264</v>
      </c>
      <c r="B2224" t="s">
        <v>100</v>
      </c>
      <c r="C2224" t="s">
        <v>774</v>
      </c>
      <c r="D2224" s="1">
        <v>45231</v>
      </c>
      <c r="E2224" t="s">
        <v>267</v>
      </c>
      <c r="F2224">
        <v>59.99</v>
      </c>
      <c r="G2224" t="s">
        <v>70</v>
      </c>
      <c r="H2224" t="s">
        <v>264</v>
      </c>
      <c r="I2224" t="s">
        <v>72</v>
      </c>
    </row>
    <row r="2225" spans="1:9" x14ac:dyDescent="0.25">
      <c r="A2225" t="s">
        <v>264</v>
      </c>
      <c r="B2225" t="s">
        <v>100</v>
      </c>
      <c r="C2225" t="s">
        <v>774</v>
      </c>
      <c r="D2225" s="1">
        <v>45231</v>
      </c>
      <c r="E2225" t="s">
        <v>267</v>
      </c>
      <c r="F2225">
        <v>2673.15</v>
      </c>
      <c r="G2225" t="s">
        <v>70</v>
      </c>
      <c r="H2225" t="s">
        <v>264</v>
      </c>
      <c r="I2225" t="s">
        <v>72</v>
      </c>
    </row>
    <row r="2226" spans="1:9" x14ac:dyDescent="0.25">
      <c r="A2226" t="s">
        <v>264</v>
      </c>
      <c r="B2226" t="s">
        <v>100</v>
      </c>
      <c r="C2226" t="s">
        <v>774</v>
      </c>
      <c r="D2226" s="1">
        <v>45231</v>
      </c>
      <c r="E2226" t="s">
        <v>275</v>
      </c>
      <c r="F2226">
        <v>451.46</v>
      </c>
      <c r="G2226" t="s">
        <v>70</v>
      </c>
      <c r="H2226" t="s">
        <v>264</v>
      </c>
      <c r="I2226" t="s">
        <v>72</v>
      </c>
    </row>
    <row r="2227" spans="1:9" x14ac:dyDescent="0.25">
      <c r="A2227" t="s">
        <v>264</v>
      </c>
      <c r="B2227" t="s">
        <v>100</v>
      </c>
      <c r="C2227" t="s">
        <v>774</v>
      </c>
      <c r="D2227" s="1">
        <v>45232</v>
      </c>
      <c r="E2227" t="s">
        <v>317</v>
      </c>
      <c r="F2227">
        <v>-77.95</v>
      </c>
      <c r="G2227" t="s">
        <v>76</v>
      </c>
      <c r="H2227" t="s">
        <v>87</v>
      </c>
      <c r="I2227" t="s">
        <v>88</v>
      </c>
    </row>
    <row r="2228" spans="1:9" x14ac:dyDescent="0.25">
      <c r="A2228" t="s">
        <v>264</v>
      </c>
      <c r="B2228" t="s">
        <v>100</v>
      </c>
      <c r="C2228" t="s">
        <v>774</v>
      </c>
      <c r="D2228" s="1">
        <v>45233</v>
      </c>
      <c r="E2228" t="s">
        <v>267</v>
      </c>
      <c r="F2228">
        <v>355.22</v>
      </c>
      <c r="G2228" t="s">
        <v>70</v>
      </c>
      <c r="H2228" t="s">
        <v>264</v>
      </c>
      <c r="I2228" t="s">
        <v>72</v>
      </c>
    </row>
    <row r="2229" spans="1:9" x14ac:dyDescent="0.25">
      <c r="A2229" t="s">
        <v>264</v>
      </c>
      <c r="B2229" t="s">
        <v>100</v>
      </c>
      <c r="C2229" t="s">
        <v>774</v>
      </c>
      <c r="D2229" s="1">
        <v>45233</v>
      </c>
      <c r="E2229" t="s">
        <v>304</v>
      </c>
      <c r="F2229">
        <v>-30.77</v>
      </c>
      <c r="G2229" t="s">
        <v>70</v>
      </c>
      <c r="H2229" t="s">
        <v>264</v>
      </c>
      <c r="I2229" t="s">
        <v>72</v>
      </c>
    </row>
    <row r="2230" spans="1:9" x14ac:dyDescent="0.25">
      <c r="A2230" t="s">
        <v>264</v>
      </c>
      <c r="B2230" t="s">
        <v>100</v>
      </c>
      <c r="C2230" t="s">
        <v>774</v>
      </c>
      <c r="D2230" s="1">
        <v>45233</v>
      </c>
      <c r="E2230" t="s">
        <v>304</v>
      </c>
      <c r="F2230">
        <v>-70.14</v>
      </c>
      <c r="G2230" t="s">
        <v>70</v>
      </c>
      <c r="H2230" t="s">
        <v>264</v>
      </c>
      <c r="I2230" t="s">
        <v>72</v>
      </c>
    </row>
    <row r="2231" spans="1:9" x14ac:dyDescent="0.25">
      <c r="A2231" t="s">
        <v>264</v>
      </c>
      <c r="B2231" t="s">
        <v>100</v>
      </c>
      <c r="C2231" t="s">
        <v>774</v>
      </c>
      <c r="D2231" s="1">
        <v>45233</v>
      </c>
      <c r="E2231" t="s">
        <v>271</v>
      </c>
      <c r="F2231">
        <v>-142.16</v>
      </c>
      <c r="G2231" t="s">
        <v>70</v>
      </c>
      <c r="H2231" t="s">
        <v>264</v>
      </c>
      <c r="I2231" t="s">
        <v>72</v>
      </c>
    </row>
    <row r="2232" spans="1:9" x14ac:dyDescent="0.25">
      <c r="A2232" t="s">
        <v>264</v>
      </c>
      <c r="B2232" t="s">
        <v>100</v>
      </c>
      <c r="C2232" t="s">
        <v>774</v>
      </c>
      <c r="D2232" s="1">
        <v>45233</v>
      </c>
      <c r="E2232" t="s">
        <v>272</v>
      </c>
      <c r="F2232">
        <v>-1439.6</v>
      </c>
      <c r="G2232" t="s">
        <v>70</v>
      </c>
      <c r="H2232" t="s">
        <v>264</v>
      </c>
      <c r="I2232" t="s">
        <v>72</v>
      </c>
    </row>
    <row r="2233" spans="1:9" x14ac:dyDescent="0.25">
      <c r="A2233" t="s">
        <v>264</v>
      </c>
      <c r="B2233" t="s">
        <v>100</v>
      </c>
      <c r="C2233" t="s">
        <v>774</v>
      </c>
      <c r="D2233" s="1">
        <v>45233</v>
      </c>
      <c r="E2233" t="s">
        <v>273</v>
      </c>
      <c r="F2233">
        <v>-140.46</v>
      </c>
      <c r="G2233" t="s">
        <v>70</v>
      </c>
      <c r="H2233" t="s">
        <v>264</v>
      </c>
      <c r="I2233" t="s">
        <v>72</v>
      </c>
    </row>
    <row r="2234" spans="1:9" x14ac:dyDescent="0.25">
      <c r="A2234" t="s">
        <v>264</v>
      </c>
      <c r="B2234" t="s">
        <v>100</v>
      </c>
      <c r="C2234" t="s">
        <v>774</v>
      </c>
      <c r="D2234" s="1">
        <v>45234</v>
      </c>
      <c r="E2234" t="s">
        <v>304</v>
      </c>
      <c r="F2234">
        <v>-54.71</v>
      </c>
      <c r="G2234" t="s">
        <v>70</v>
      </c>
      <c r="H2234" t="s">
        <v>264</v>
      </c>
      <c r="I2234" t="s">
        <v>72</v>
      </c>
    </row>
    <row r="2235" spans="1:9" x14ac:dyDescent="0.25">
      <c r="A2235" t="s">
        <v>264</v>
      </c>
      <c r="B2235" t="s">
        <v>100</v>
      </c>
      <c r="C2235" t="s">
        <v>774</v>
      </c>
      <c r="D2235" s="1">
        <v>45235</v>
      </c>
      <c r="E2235" t="s">
        <v>304</v>
      </c>
      <c r="F2235">
        <v>-17.41</v>
      </c>
      <c r="G2235" t="s">
        <v>70</v>
      </c>
      <c r="H2235" t="s">
        <v>264</v>
      </c>
      <c r="I2235" t="s">
        <v>72</v>
      </c>
    </row>
    <row r="2236" spans="1:9" x14ac:dyDescent="0.25">
      <c r="A2236" t="s">
        <v>264</v>
      </c>
      <c r="B2236" t="s">
        <v>100</v>
      </c>
      <c r="C2236" t="s">
        <v>774</v>
      </c>
      <c r="D2236" s="1">
        <v>45236</v>
      </c>
      <c r="E2236" t="s">
        <v>318</v>
      </c>
      <c r="F2236">
        <v>13.31</v>
      </c>
      <c r="G2236" t="s">
        <v>76</v>
      </c>
      <c r="H2236" t="s">
        <v>82</v>
      </c>
      <c r="I2236" t="s">
        <v>83</v>
      </c>
    </row>
    <row r="2237" spans="1:9" x14ac:dyDescent="0.25">
      <c r="A2237" t="s">
        <v>264</v>
      </c>
      <c r="B2237" t="s">
        <v>100</v>
      </c>
      <c r="C2237" t="s">
        <v>774</v>
      </c>
      <c r="D2237" s="1">
        <v>45236</v>
      </c>
      <c r="E2237" t="s">
        <v>304</v>
      </c>
      <c r="F2237">
        <v>-28.67</v>
      </c>
      <c r="G2237" t="s">
        <v>70</v>
      </c>
      <c r="H2237" t="s">
        <v>264</v>
      </c>
      <c r="I2237" t="s">
        <v>72</v>
      </c>
    </row>
    <row r="2238" spans="1:9" x14ac:dyDescent="0.25">
      <c r="A2238" t="s">
        <v>264</v>
      </c>
      <c r="B2238" t="s">
        <v>100</v>
      </c>
      <c r="C2238" t="s">
        <v>774</v>
      </c>
      <c r="D2238" s="1">
        <v>45237</v>
      </c>
      <c r="E2238" t="s">
        <v>267</v>
      </c>
      <c r="F2238">
        <v>449.52</v>
      </c>
      <c r="G2238" t="s">
        <v>70</v>
      </c>
      <c r="H2238" t="s">
        <v>264</v>
      </c>
      <c r="I2238" t="s">
        <v>72</v>
      </c>
    </row>
    <row r="2239" spans="1:9" x14ac:dyDescent="0.25">
      <c r="A2239" t="s">
        <v>264</v>
      </c>
      <c r="B2239" t="s">
        <v>100</v>
      </c>
      <c r="C2239" t="s">
        <v>774</v>
      </c>
      <c r="D2239" s="1">
        <v>45237</v>
      </c>
      <c r="E2239" t="s">
        <v>304</v>
      </c>
      <c r="F2239">
        <v>-14.82</v>
      </c>
      <c r="G2239" t="s">
        <v>70</v>
      </c>
      <c r="H2239" t="s">
        <v>264</v>
      </c>
      <c r="I2239" t="s">
        <v>72</v>
      </c>
    </row>
    <row r="2240" spans="1:9" x14ac:dyDescent="0.25">
      <c r="A2240" t="s">
        <v>264</v>
      </c>
      <c r="B2240" t="s">
        <v>100</v>
      </c>
      <c r="C2240" t="s">
        <v>774</v>
      </c>
      <c r="D2240" s="1">
        <v>45237</v>
      </c>
      <c r="E2240" t="s">
        <v>267</v>
      </c>
      <c r="F2240">
        <v>839.07</v>
      </c>
      <c r="G2240" t="s">
        <v>70</v>
      </c>
      <c r="H2240" t="s">
        <v>264</v>
      </c>
      <c r="I2240" t="s">
        <v>72</v>
      </c>
    </row>
    <row r="2241" spans="1:9" x14ac:dyDescent="0.25">
      <c r="A2241" t="s">
        <v>264</v>
      </c>
      <c r="B2241" t="s">
        <v>100</v>
      </c>
      <c r="C2241" t="s">
        <v>774</v>
      </c>
      <c r="D2241" s="1">
        <v>45238</v>
      </c>
      <c r="E2241" t="s">
        <v>274</v>
      </c>
      <c r="F2241">
        <v>2501</v>
      </c>
      <c r="G2241" t="s">
        <v>74</v>
      </c>
      <c r="H2241" t="s">
        <v>256</v>
      </c>
      <c r="I2241" t="s">
        <v>346</v>
      </c>
    </row>
    <row r="2242" spans="1:9" x14ac:dyDescent="0.25">
      <c r="A2242" t="s">
        <v>264</v>
      </c>
      <c r="B2242" t="s">
        <v>100</v>
      </c>
      <c r="C2242" t="s">
        <v>774</v>
      </c>
      <c r="D2242" s="1">
        <v>45238</v>
      </c>
      <c r="E2242" t="s">
        <v>269</v>
      </c>
      <c r="F2242">
        <v>-1444.37</v>
      </c>
      <c r="G2242" t="s">
        <v>70</v>
      </c>
      <c r="H2242" t="s">
        <v>264</v>
      </c>
      <c r="I2242" t="s">
        <v>72</v>
      </c>
    </row>
    <row r="2243" spans="1:9" x14ac:dyDescent="0.25">
      <c r="A2243" t="s">
        <v>264</v>
      </c>
      <c r="B2243" t="s">
        <v>100</v>
      </c>
      <c r="C2243" t="s">
        <v>774</v>
      </c>
      <c r="D2243" s="1">
        <v>45238</v>
      </c>
      <c r="E2243" t="s">
        <v>304</v>
      </c>
      <c r="F2243">
        <v>-0.43</v>
      </c>
      <c r="G2243" t="s">
        <v>70</v>
      </c>
      <c r="H2243" t="s">
        <v>264</v>
      </c>
      <c r="I2243" t="s">
        <v>72</v>
      </c>
    </row>
    <row r="2244" spans="1:9" x14ac:dyDescent="0.25">
      <c r="A2244" t="s">
        <v>264</v>
      </c>
      <c r="B2244" t="s">
        <v>100</v>
      </c>
      <c r="C2244" t="s">
        <v>774</v>
      </c>
      <c r="D2244" s="1">
        <v>45238</v>
      </c>
      <c r="E2244" t="s">
        <v>275</v>
      </c>
      <c r="F2244">
        <v>1443.95</v>
      </c>
      <c r="G2244" t="s">
        <v>70</v>
      </c>
      <c r="H2244" t="s">
        <v>264</v>
      </c>
      <c r="I2244" t="s">
        <v>72</v>
      </c>
    </row>
    <row r="2245" spans="1:9" x14ac:dyDescent="0.25">
      <c r="A2245" t="s">
        <v>264</v>
      </c>
      <c r="B2245" t="s">
        <v>100</v>
      </c>
      <c r="C2245" t="s">
        <v>774</v>
      </c>
      <c r="D2245" s="1">
        <v>45238</v>
      </c>
      <c r="E2245" t="s">
        <v>268</v>
      </c>
      <c r="F2245">
        <v>213.82</v>
      </c>
      <c r="G2245" t="s">
        <v>70</v>
      </c>
      <c r="H2245" t="s">
        <v>264</v>
      </c>
      <c r="I2245" t="s">
        <v>72</v>
      </c>
    </row>
    <row r="2246" spans="1:9" x14ac:dyDescent="0.25">
      <c r="A2246" t="s">
        <v>264</v>
      </c>
      <c r="B2246" t="s">
        <v>100</v>
      </c>
      <c r="C2246" t="s">
        <v>774</v>
      </c>
      <c r="D2246" s="1">
        <v>45238</v>
      </c>
      <c r="E2246" t="s">
        <v>269</v>
      </c>
      <c r="F2246">
        <v>-3097.89</v>
      </c>
      <c r="G2246" t="s">
        <v>70</v>
      </c>
      <c r="H2246" t="s">
        <v>264</v>
      </c>
      <c r="I2246" t="s">
        <v>72</v>
      </c>
    </row>
    <row r="2247" spans="1:9" x14ac:dyDescent="0.25">
      <c r="A2247" t="s">
        <v>264</v>
      </c>
      <c r="B2247" t="s">
        <v>100</v>
      </c>
      <c r="C2247" t="s">
        <v>774</v>
      </c>
      <c r="D2247" s="1">
        <v>45238</v>
      </c>
      <c r="E2247" t="s">
        <v>268</v>
      </c>
      <c r="F2247">
        <v>36.15</v>
      </c>
      <c r="G2247" t="s">
        <v>70</v>
      </c>
      <c r="H2247" t="s">
        <v>264</v>
      </c>
      <c r="I2247" t="s">
        <v>72</v>
      </c>
    </row>
    <row r="2248" spans="1:9" x14ac:dyDescent="0.25">
      <c r="A2248" t="s">
        <v>264</v>
      </c>
      <c r="B2248" t="s">
        <v>100</v>
      </c>
      <c r="C2248" t="s">
        <v>774</v>
      </c>
      <c r="D2248" s="1">
        <v>45238</v>
      </c>
      <c r="E2248" t="s">
        <v>276</v>
      </c>
      <c r="F2248">
        <v>-1010.39</v>
      </c>
      <c r="G2248" t="s">
        <v>70</v>
      </c>
      <c r="H2248" t="s">
        <v>264</v>
      </c>
      <c r="I2248" t="s">
        <v>72</v>
      </c>
    </row>
    <row r="2249" spans="1:9" x14ac:dyDescent="0.25">
      <c r="A2249" t="s">
        <v>264</v>
      </c>
      <c r="B2249" t="s">
        <v>100</v>
      </c>
      <c r="C2249" t="s">
        <v>774</v>
      </c>
      <c r="D2249" s="1">
        <v>45239</v>
      </c>
      <c r="E2249" t="s">
        <v>304</v>
      </c>
      <c r="F2249">
        <v>-8.75</v>
      </c>
      <c r="G2249" t="s">
        <v>70</v>
      </c>
      <c r="H2249" t="s">
        <v>264</v>
      </c>
      <c r="I2249" t="s">
        <v>72</v>
      </c>
    </row>
    <row r="2250" spans="1:9" x14ac:dyDescent="0.25">
      <c r="A2250" t="s">
        <v>264</v>
      </c>
      <c r="B2250" t="s">
        <v>100</v>
      </c>
      <c r="C2250" t="s">
        <v>774</v>
      </c>
      <c r="D2250" s="1">
        <v>45239</v>
      </c>
      <c r="E2250" t="s">
        <v>267</v>
      </c>
      <c r="F2250">
        <v>351.78</v>
      </c>
      <c r="G2250" t="s">
        <v>70</v>
      </c>
      <c r="H2250" t="s">
        <v>264</v>
      </c>
      <c r="I2250" t="s">
        <v>72</v>
      </c>
    </row>
    <row r="2251" spans="1:9" x14ac:dyDescent="0.25">
      <c r="A2251" t="s">
        <v>264</v>
      </c>
      <c r="B2251" t="s">
        <v>100</v>
      </c>
      <c r="C2251" t="s">
        <v>774</v>
      </c>
      <c r="D2251" s="1">
        <v>45239</v>
      </c>
      <c r="E2251" t="s">
        <v>304</v>
      </c>
      <c r="F2251">
        <v>-22.43</v>
      </c>
      <c r="G2251" t="s">
        <v>70</v>
      </c>
      <c r="H2251" t="s">
        <v>264</v>
      </c>
      <c r="I2251" t="s">
        <v>72</v>
      </c>
    </row>
    <row r="2252" spans="1:9" x14ac:dyDescent="0.25">
      <c r="A2252" t="s">
        <v>264</v>
      </c>
      <c r="B2252" t="s">
        <v>100</v>
      </c>
      <c r="C2252" t="s">
        <v>774</v>
      </c>
      <c r="D2252" s="1">
        <v>45239</v>
      </c>
      <c r="E2252" t="s">
        <v>304</v>
      </c>
      <c r="F2252">
        <v>-8.18</v>
      </c>
      <c r="G2252" t="s">
        <v>70</v>
      </c>
      <c r="H2252" t="s">
        <v>264</v>
      </c>
      <c r="I2252" t="s">
        <v>72</v>
      </c>
    </row>
    <row r="2253" spans="1:9" x14ac:dyDescent="0.25">
      <c r="A2253" t="s">
        <v>264</v>
      </c>
      <c r="B2253" t="s">
        <v>100</v>
      </c>
      <c r="C2253" t="s">
        <v>774</v>
      </c>
      <c r="D2253" s="1">
        <v>45239</v>
      </c>
      <c r="E2253" t="s">
        <v>304</v>
      </c>
      <c r="F2253">
        <v>-261.32</v>
      </c>
      <c r="G2253" t="s">
        <v>70</v>
      </c>
      <c r="H2253" t="s">
        <v>264</v>
      </c>
      <c r="I2253" t="s">
        <v>72</v>
      </c>
    </row>
    <row r="2254" spans="1:9" x14ac:dyDescent="0.25">
      <c r="A2254" t="s">
        <v>264</v>
      </c>
      <c r="B2254" t="s">
        <v>100</v>
      </c>
      <c r="C2254" t="s">
        <v>774</v>
      </c>
      <c r="D2254" s="1">
        <v>45239</v>
      </c>
      <c r="E2254" t="s">
        <v>319</v>
      </c>
      <c r="F2254">
        <v>57.96</v>
      </c>
      <c r="G2254" t="s">
        <v>70</v>
      </c>
      <c r="H2254" t="s">
        <v>264</v>
      </c>
      <c r="I2254" t="s">
        <v>72</v>
      </c>
    </row>
    <row r="2255" spans="1:9" x14ac:dyDescent="0.25">
      <c r="A2255" t="s">
        <v>264</v>
      </c>
      <c r="B2255" t="s">
        <v>100</v>
      </c>
      <c r="C2255" t="s">
        <v>774</v>
      </c>
      <c r="D2255" s="1">
        <v>45239</v>
      </c>
      <c r="E2255" t="s">
        <v>319</v>
      </c>
      <c r="F2255">
        <v>476.16</v>
      </c>
      <c r="G2255" t="s">
        <v>70</v>
      </c>
      <c r="H2255" t="s">
        <v>264</v>
      </c>
      <c r="I2255" t="s">
        <v>72</v>
      </c>
    </row>
    <row r="2256" spans="1:9" x14ac:dyDescent="0.25">
      <c r="A2256" t="s">
        <v>264</v>
      </c>
      <c r="B2256" t="s">
        <v>100</v>
      </c>
      <c r="C2256" t="s">
        <v>774</v>
      </c>
      <c r="D2256" s="1">
        <v>45239</v>
      </c>
      <c r="E2256" t="s">
        <v>320</v>
      </c>
      <c r="F2256">
        <v>-254.06</v>
      </c>
      <c r="G2256" t="s">
        <v>70</v>
      </c>
      <c r="H2256" t="s">
        <v>264</v>
      </c>
      <c r="I2256" t="s">
        <v>72</v>
      </c>
    </row>
    <row r="2257" spans="1:9" x14ac:dyDescent="0.25">
      <c r="A2257" t="s">
        <v>264</v>
      </c>
      <c r="B2257" t="s">
        <v>100</v>
      </c>
      <c r="C2257" t="s">
        <v>774</v>
      </c>
      <c r="D2257" s="1">
        <v>45239</v>
      </c>
      <c r="E2257" t="s">
        <v>267</v>
      </c>
      <c r="F2257">
        <v>42.25</v>
      </c>
      <c r="G2257" t="s">
        <v>70</v>
      </c>
      <c r="H2257" t="s">
        <v>264</v>
      </c>
      <c r="I2257" t="s">
        <v>72</v>
      </c>
    </row>
    <row r="2258" spans="1:9" x14ac:dyDescent="0.25">
      <c r="A2258" t="s">
        <v>264</v>
      </c>
      <c r="B2258" t="s">
        <v>100</v>
      </c>
      <c r="C2258" t="s">
        <v>774</v>
      </c>
      <c r="D2258" s="1">
        <v>45239</v>
      </c>
      <c r="E2258" t="s">
        <v>269</v>
      </c>
      <c r="F2258">
        <v>-567.73</v>
      </c>
      <c r="G2258" t="s">
        <v>70</v>
      </c>
      <c r="H2258" t="s">
        <v>264</v>
      </c>
      <c r="I2258" t="s">
        <v>72</v>
      </c>
    </row>
    <row r="2259" spans="1:9" x14ac:dyDescent="0.25">
      <c r="A2259" t="s">
        <v>264</v>
      </c>
      <c r="B2259" t="s">
        <v>100</v>
      </c>
      <c r="C2259" t="s">
        <v>774</v>
      </c>
      <c r="D2259" s="1">
        <v>45240</v>
      </c>
      <c r="E2259" t="s">
        <v>304</v>
      </c>
      <c r="F2259">
        <v>-1.62</v>
      </c>
      <c r="G2259" t="s">
        <v>70</v>
      </c>
      <c r="H2259" t="s">
        <v>264</v>
      </c>
      <c r="I2259" t="s">
        <v>72</v>
      </c>
    </row>
    <row r="2260" spans="1:9" x14ac:dyDescent="0.25">
      <c r="A2260" t="s">
        <v>264</v>
      </c>
      <c r="B2260" t="s">
        <v>100</v>
      </c>
      <c r="C2260" t="s">
        <v>774</v>
      </c>
      <c r="D2260" s="1">
        <v>45240</v>
      </c>
      <c r="E2260" t="s">
        <v>321</v>
      </c>
      <c r="F2260">
        <v>-0.28000000000000003</v>
      </c>
      <c r="G2260" t="s">
        <v>347</v>
      </c>
      <c r="H2260" t="s">
        <v>348</v>
      </c>
      <c r="I2260" t="s">
        <v>348</v>
      </c>
    </row>
    <row r="2261" spans="1:9" x14ac:dyDescent="0.25">
      <c r="A2261" t="s">
        <v>264</v>
      </c>
      <c r="B2261" t="s">
        <v>100</v>
      </c>
      <c r="C2261" t="s">
        <v>774</v>
      </c>
      <c r="D2261" s="1">
        <v>45241</v>
      </c>
      <c r="E2261" t="s">
        <v>304</v>
      </c>
      <c r="F2261">
        <v>-0.14000000000000001</v>
      </c>
      <c r="G2261" t="s">
        <v>70</v>
      </c>
      <c r="H2261" t="s">
        <v>264</v>
      </c>
      <c r="I2261" t="s">
        <v>72</v>
      </c>
    </row>
    <row r="2262" spans="1:9" x14ac:dyDescent="0.25">
      <c r="A2262" t="s">
        <v>264</v>
      </c>
      <c r="B2262" t="s">
        <v>100</v>
      </c>
      <c r="C2262" t="s">
        <v>774</v>
      </c>
      <c r="D2262" s="1">
        <v>45241</v>
      </c>
      <c r="E2262" t="s">
        <v>304</v>
      </c>
      <c r="F2262">
        <v>-2.0499999999999998</v>
      </c>
      <c r="G2262" t="s">
        <v>70</v>
      </c>
      <c r="H2262" t="s">
        <v>264</v>
      </c>
      <c r="I2262" t="s">
        <v>72</v>
      </c>
    </row>
    <row r="2263" spans="1:9" x14ac:dyDescent="0.25">
      <c r="A2263" t="s">
        <v>264</v>
      </c>
      <c r="B2263" t="s">
        <v>100</v>
      </c>
      <c r="C2263" t="s">
        <v>774</v>
      </c>
      <c r="D2263" s="1">
        <v>45242</v>
      </c>
      <c r="E2263" t="s">
        <v>267</v>
      </c>
      <c r="F2263">
        <v>456.38</v>
      </c>
      <c r="G2263" t="s">
        <v>70</v>
      </c>
      <c r="H2263" t="s">
        <v>264</v>
      </c>
      <c r="I2263" t="s">
        <v>72</v>
      </c>
    </row>
    <row r="2264" spans="1:9" x14ac:dyDescent="0.25">
      <c r="A2264" t="s">
        <v>264</v>
      </c>
      <c r="B2264" t="s">
        <v>100</v>
      </c>
      <c r="C2264" t="s">
        <v>774</v>
      </c>
      <c r="D2264" s="1">
        <v>45242</v>
      </c>
      <c r="E2264" t="s">
        <v>304</v>
      </c>
      <c r="F2264">
        <v>-43.51</v>
      </c>
      <c r="G2264" t="s">
        <v>70</v>
      </c>
      <c r="H2264" t="s">
        <v>264</v>
      </c>
      <c r="I2264" t="s">
        <v>72</v>
      </c>
    </row>
    <row r="2265" spans="1:9" x14ac:dyDescent="0.25">
      <c r="A2265" t="s">
        <v>264</v>
      </c>
      <c r="B2265" t="s">
        <v>100</v>
      </c>
      <c r="C2265" t="s">
        <v>774</v>
      </c>
      <c r="D2265" s="1">
        <v>45243</v>
      </c>
      <c r="E2265" t="s">
        <v>304</v>
      </c>
      <c r="F2265">
        <v>-7.03</v>
      </c>
      <c r="G2265" t="s">
        <v>70</v>
      </c>
      <c r="H2265" t="s">
        <v>264</v>
      </c>
      <c r="I2265" t="s">
        <v>72</v>
      </c>
    </row>
    <row r="2266" spans="1:9" x14ac:dyDescent="0.25">
      <c r="A2266" t="s">
        <v>264</v>
      </c>
      <c r="B2266" t="s">
        <v>100</v>
      </c>
      <c r="C2266" t="s">
        <v>774</v>
      </c>
      <c r="D2266" s="1">
        <v>45243</v>
      </c>
      <c r="E2266" t="s">
        <v>304</v>
      </c>
      <c r="F2266">
        <v>-29.56</v>
      </c>
      <c r="G2266" t="s">
        <v>70</v>
      </c>
      <c r="H2266" t="s">
        <v>264</v>
      </c>
      <c r="I2266" t="s">
        <v>72</v>
      </c>
    </row>
    <row r="2267" spans="1:9" x14ac:dyDescent="0.25">
      <c r="A2267" t="s">
        <v>264</v>
      </c>
      <c r="B2267" t="s">
        <v>100</v>
      </c>
      <c r="C2267" t="s">
        <v>774</v>
      </c>
      <c r="D2267" s="1">
        <v>45245</v>
      </c>
      <c r="E2267" t="s">
        <v>267</v>
      </c>
      <c r="F2267">
        <v>4373.7299999999996</v>
      </c>
      <c r="G2267" t="s">
        <v>70</v>
      </c>
      <c r="H2267" t="s">
        <v>264</v>
      </c>
      <c r="I2267" t="s">
        <v>72</v>
      </c>
    </row>
    <row r="2268" spans="1:9" x14ac:dyDescent="0.25">
      <c r="A2268" t="s">
        <v>264</v>
      </c>
      <c r="B2268" t="s">
        <v>100</v>
      </c>
      <c r="C2268" t="s">
        <v>774</v>
      </c>
      <c r="D2268" s="1">
        <v>45245</v>
      </c>
      <c r="E2268" t="s">
        <v>319</v>
      </c>
      <c r="F2268">
        <v>624.69000000000005</v>
      </c>
      <c r="G2268" t="s">
        <v>70</v>
      </c>
      <c r="H2268" t="s">
        <v>264</v>
      </c>
      <c r="I2268" t="s">
        <v>72</v>
      </c>
    </row>
    <row r="2269" spans="1:9" x14ac:dyDescent="0.25">
      <c r="A2269" t="s">
        <v>264</v>
      </c>
      <c r="B2269" t="s">
        <v>100</v>
      </c>
      <c r="C2269" t="s">
        <v>774</v>
      </c>
      <c r="D2269" s="1">
        <v>45245</v>
      </c>
      <c r="E2269" t="s">
        <v>267</v>
      </c>
      <c r="F2269">
        <v>32.229999999999997</v>
      </c>
      <c r="G2269" t="s">
        <v>70</v>
      </c>
      <c r="H2269" t="s">
        <v>264</v>
      </c>
      <c r="I2269" t="s">
        <v>72</v>
      </c>
    </row>
    <row r="2270" spans="1:9" x14ac:dyDescent="0.25">
      <c r="A2270" t="s">
        <v>264</v>
      </c>
      <c r="B2270" t="s">
        <v>100</v>
      </c>
      <c r="C2270" t="s">
        <v>774</v>
      </c>
      <c r="D2270" s="1">
        <v>45245</v>
      </c>
      <c r="E2270" t="s">
        <v>304</v>
      </c>
      <c r="F2270">
        <v>-34.26</v>
      </c>
      <c r="G2270" t="s">
        <v>70</v>
      </c>
      <c r="H2270" t="s">
        <v>264</v>
      </c>
      <c r="I2270" t="s">
        <v>72</v>
      </c>
    </row>
    <row r="2271" spans="1:9" x14ac:dyDescent="0.25">
      <c r="A2271" t="s">
        <v>264</v>
      </c>
      <c r="B2271" t="s">
        <v>100</v>
      </c>
      <c r="C2271" t="s">
        <v>774</v>
      </c>
      <c r="D2271" s="1">
        <v>45245</v>
      </c>
      <c r="E2271" t="s">
        <v>275</v>
      </c>
      <c r="F2271">
        <v>1047.57</v>
      </c>
      <c r="G2271" t="s">
        <v>70</v>
      </c>
      <c r="H2271" t="s">
        <v>264</v>
      </c>
      <c r="I2271" t="s">
        <v>72</v>
      </c>
    </row>
    <row r="2272" spans="1:9" x14ac:dyDescent="0.25">
      <c r="A2272" t="s">
        <v>264</v>
      </c>
      <c r="B2272" t="s">
        <v>100</v>
      </c>
      <c r="C2272" t="s">
        <v>774</v>
      </c>
      <c r="D2272" s="1">
        <v>45245</v>
      </c>
      <c r="E2272" t="s">
        <v>322</v>
      </c>
      <c r="F2272">
        <v>-202.02</v>
      </c>
      <c r="G2272" t="s">
        <v>70</v>
      </c>
      <c r="H2272" t="s">
        <v>264</v>
      </c>
      <c r="I2272" t="s">
        <v>72</v>
      </c>
    </row>
    <row r="2273" spans="1:9" x14ac:dyDescent="0.25">
      <c r="A2273" t="s">
        <v>264</v>
      </c>
      <c r="B2273" t="s">
        <v>100</v>
      </c>
      <c r="C2273" t="s">
        <v>774</v>
      </c>
      <c r="D2273" s="1">
        <v>45246</v>
      </c>
      <c r="E2273" t="s">
        <v>304</v>
      </c>
      <c r="F2273">
        <v>-4.46</v>
      </c>
      <c r="G2273" t="s">
        <v>70</v>
      </c>
      <c r="H2273" t="s">
        <v>264</v>
      </c>
      <c r="I2273" t="s">
        <v>72</v>
      </c>
    </row>
    <row r="2274" spans="1:9" x14ac:dyDescent="0.25">
      <c r="A2274" t="s">
        <v>264</v>
      </c>
      <c r="B2274" t="s">
        <v>100</v>
      </c>
      <c r="C2274" t="s">
        <v>774</v>
      </c>
      <c r="D2274" s="1">
        <v>45246</v>
      </c>
      <c r="E2274" t="s">
        <v>269</v>
      </c>
      <c r="F2274">
        <v>-477.57</v>
      </c>
      <c r="G2274" t="s">
        <v>70</v>
      </c>
      <c r="H2274" t="s">
        <v>264</v>
      </c>
      <c r="I2274" t="s">
        <v>72</v>
      </c>
    </row>
    <row r="2275" spans="1:9" x14ac:dyDescent="0.25">
      <c r="A2275" t="s">
        <v>264</v>
      </c>
      <c r="B2275" t="s">
        <v>100</v>
      </c>
      <c r="C2275" t="s">
        <v>774</v>
      </c>
      <c r="D2275" s="1">
        <v>45246</v>
      </c>
      <c r="E2275" t="s">
        <v>304</v>
      </c>
      <c r="F2275">
        <v>-15.21</v>
      </c>
      <c r="G2275" t="s">
        <v>70</v>
      </c>
      <c r="H2275" t="s">
        <v>264</v>
      </c>
      <c r="I2275" t="s">
        <v>72</v>
      </c>
    </row>
    <row r="2276" spans="1:9" x14ac:dyDescent="0.25">
      <c r="A2276" t="s">
        <v>264</v>
      </c>
      <c r="B2276" t="s">
        <v>100</v>
      </c>
      <c r="C2276" t="s">
        <v>774</v>
      </c>
      <c r="D2276" s="1">
        <v>45247</v>
      </c>
      <c r="E2276" t="s">
        <v>271</v>
      </c>
      <c r="F2276">
        <v>-673.68</v>
      </c>
      <c r="G2276" t="s">
        <v>70</v>
      </c>
      <c r="H2276" t="s">
        <v>264</v>
      </c>
      <c r="I2276" t="s">
        <v>72</v>
      </c>
    </row>
    <row r="2277" spans="1:9" x14ac:dyDescent="0.25">
      <c r="A2277" t="s">
        <v>264</v>
      </c>
      <c r="B2277" t="s">
        <v>100</v>
      </c>
      <c r="C2277" t="s">
        <v>774</v>
      </c>
      <c r="D2277" s="1">
        <v>45247</v>
      </c>
      <c r="E2277" t="s">
        <v>272</v>
      </c>
      <c r="F2277">
        <v>-84.22</v>
      </c>
      <c r="G2277" t="s">
        <v>70</v>
      </c>
      <c r="H2277" t="s">
        <v>264</v>
      </c>
      <c r="I2277" t="s">
        <v>72</v>
      </c>
    </row>
    <row r="2278" spans="1:9" x14ac:dyDescent="0.25">
      <c r="A2278" t="s">
        <v>264</v>
      </c>
      <c r="B2278" t="s">
        <v>100</v>
      </c>
      <c r="C2278" t="s">
        <v>774</v>
      </c>
      <c r="D2278" s="1">
        <v>45247</v>
      </c>
      <c r="E2278" t="s">
        <v>273</v>
      </c>
      <c r="F2278">
        <v>-277.57</v>
      </c>
      <c r="G2278" t="s">
        <v>70</v>
      </c>
      <c r="H2278" t="s">
        <v>264</v>
      </c>
      <c r="I2278" t="s">
        <v>72</v>
      </c>
    </row>
    <row r="2279" spans="1:9" x14ac:dyDescent="0.25">
      <c r="A2279" t="s">
        <v>264</v>
      </c>
      <c r="B2279" t="s">
        <v>100</v>
      </c>
      <c r="C2279" t="s">
        <v>774</v>
      </c>
      <c r="D2279" s="1">
        <v>45248</v>
      </c>
      <c r="E2279" t="s">
        <v>304</v>
      </c>
      <c r="F2279">
        <v>-81.040000000000006</v>
      </c>
      <c r="G2279" t="s">
        <v>70</v>
      </c>
      <c r="H2279" t="s">
        <v>264</v>
      </c>
      <c r="I2279" t="s">
        <v>72</v>
      </c>
    </row>
    <row r="2280" spans="1:9" x14ac:dyDescent="0.25">
      <c r="A2280" t="s">
        <v>264</v>
      </c>
      <c r="B2280" t="s">
        <v>100</v>
      </c>
      <c r="C2280" t="s">
        <v>774</v>
      </c>
      <c r="D2280" s="1">
        <v>45248</v>
      </c>
      <c r="E2280" t="s">
        <v>275</v>
      </c>
      <c r="F2280">
        <v>73.44</v>
      </c>
      <c r="G2280" t="s">
        <v>70</v>
      </c>
      <c r="H2280" t="s">
        <v>264</v>
      </c>
      <c r="I2280" t="s">
        <v>72</v>
      </c>
    </row>
    <row r="2281" spans="1:9" x14ac:dyDescent="0.25">
      <c r="A2281" t="s">
        <v>264</v>
      </c>
      <c r="B2281" t="s">
        <v>100</v>
      </c>
      <c r="C2281" t="s">
        <v>774</v>
      </c>
      <c r="D2281" s="1">
        <v>45248</v>
      </c>
      <c r="E2281" t="s">
        <v>304</v>
      </c>
      <c r="F2281">
        <v>-45.84</v>
      </c>
      <c r="G2281" t="s">
        <v>70</v>
      </c>
      <c r="H2281" t="s">
        <v>264</v>
      </c>
      <c r="I2281" t="s">
        <v>72</v>
      </c>
    </row>
    <row r="2282" spans="1:9" x14ac:dyDescent="0.25">
      <c r="A2282" t="s">
        <v>264</v>
      </c>
      <c r="B2282" t="s">
        <v>100</v>
      </c>
      <c r="C2282" t="s">
        <v>774</v>
      </c>
      <c r="D2282" s="1">
        <v>45249</v>
      </c>
      <c r="E2282" t="s">
        <v>267</v>
      </c>
      <c r="F2282">
        <v>574.13</v>
      </c>
      <c r="G2282" t="s">
        <v>70</v>
      </c>
      <c r="H2282" t="s">
        <v>264</v>
      </c>
      <c r="I2282" t="s">
        <v>72</v>
      </c>
    </row>
    <row r="2283" spans="1:9" x14ac:dyDescent="0.25">
      <c r="A2283" t="s">
        <v>264</v>
      </c>
      <c r="B2283" t="s">
        <v>100</v>
      </c>
      <c r="C2283" t="s">
        <v>774</v>
      </c>
      <c r="D2283" s="1">
        <v>45249</v>
      </c>
      <c r="E2283" t="s">
        <v>304</v>
      </c>
      <c r="F2283">
        <v>-472.13</v>
      </c>
      <c r="G2283" t="s">
        <v>70</v>
      </c>
      <c r="H2283" t="s">
        <v>264</v>
      </c>
      <c r="I2283" t="s">
        <v>72</v>
      </c>
    </row>
    <row r="2284" spans="1:9" x14ac:dyDescent="0.25">
      <c r="A2284" t="s">
        <v>264</v>
      </c>
      <c r="B2284" t="s">
        <v>100</v>
      </c>
      <c r="C2284" t="s">
        <v>774</v>
      </c>
      <c r="D2284" s="1">
        <v>45249</v>
      </c>
      <c r="E2284" t="s">
        <v>267</v>
      </c>
      <c r="F2284">
        <v>381.63</v>
      </c>
      <c r="G2284" t="s">
        <v>70</v>
      </c>
      <c r="H2284" t="s">
        <v>264</v>
      </c>
      <c r="I2284" t="s">
        <v>72</v>
      </c>
    </row>
    <row r="2285" spans="1:9" x14ac:dyDescent="0.25">
      <c r="A2285" t="s">
        <v>264</v>
      </c>
      <c r="B2285" t="s">
        <v>100</v>
      </c>
      <c r="C2285" t="s">
        <v>774</v>
      </c>
      <c r="D2285" s="1">
        <v>45249</v>
      </c>
      <c r="E2285" t="s">
        <v>304</v>
      </c>
      <c r="F2285">
        <v>-589.04</v>
      </c>
      <c r="G2285" t="s">
        <v>70</v>
      </c>
      <c r="H2285" t="s">
        <v>264</v>
      </c>
      <c r="I2285" t="s">
        <v>72</v>
      </c>
    </row>
    <row r="2286" spans="1:9" x14ac:dyDescent="0.25">
      <c r="A2286" t="s">
        <v>264</v>
      </c>
      <c r="B2286" t="s">
        <v>100</v>
      </c>
      <c r="C2286" t="s">
        <v>774</v>
      </c>
      <c r="D2286" s="1">
        <v>45249</v>
      </c>
      <c r="E2286" t="s">
        <v>267</v>
      </c>
      <c r="F2286">
        <v>3404.94</v>
      </c>
      <c r="G2286" t="s">
        <v>70</v>
      </c>
      <c r="H2286" t="s">
        <v>264</v>
      </c>
      <c r="I2286" t="s">
        <v>72</v>
      </c>
    </row>
    <row r="2287" spans="1:9" x14ac:dyDescent="0.25">
      <c r="A2287" t="s">
        <v>264</v>
      </c>
      <c r="B2287" t="s">
        <v>100</v>
      </c>
      <c r="C2287" t="s">
        <v>774</v>
      </c>
      <c r="D2287" s="1">
        <v>45249</v>
      </c>
      <c r="E2287" t="s">
        <v>304</v>
      </c>
      <c r="F2287">
        <v>-1081.56</v>
      </c>
      <c r="G2287" t="s">
        <v>70</v>
      </c>
      <c r="H2287" t="s">
        <v>264</v>
      </c>
      <c r="I2287" t="s">
        <v>72</v>
      </c>
    </row>
    <row r="2288" spans="1:9" x14ac:dyDescent="0.25">
      <c r="A2288" t="s">
        <v>264</v>
      </c>
      <c r="B2288" t="s">
        <v>100</v>
      </c>
      <c r="C2288" t="s">
        <v>774</v>
      </c>
      <c r="D2288" s="1">
        <v>45249</v>
      </c>
      <c r="E2288" t="s">
        <v>268</v>
      </c>
      <c r="F2288">
        <v>153.69999999999999</v>
      </c>
      <c r="G2288" t="s">
        <v>70</v>
      </c>
      <c r="H2288" t="s">
        <v>264</v>
      </c>
      <c r="I2288" t="s">
        <v>72</v>
      </c>
    </row>
    <row r="2289" spans="1:9" x14ac:dyDescent="0.25">
      <c r="A2289" t="s">
        <v>264</v>
      </c>
      <c r="B2289" t="s">
        <v>100</v>
      </c>
      <c r="C2289" t="s">
        <v>774</v>
      </c>
      <c r="D2289" s="1">
        <v>45249</v>
      </c>
      <c r="E2289" t="s">
        <v>304</v>
      </c>
      <c r="F2289">
        <v>-241.69</v>
      </c>
      <c r="G2289" t="s">
        <v>70</v>
      </c>
      <c r="H2289" t="s">
        <v>264</v>
      </c>
      <c r="I2289" t="s">
        <v>72</v>
      </c>
    </row>
    <row r="2290" spans="1:9" x14ac:dyDescent="0.25">
      <c r="A2290" t="s">
        <v>264</v>
      </c>
      <c r="B2290" t="s">
        <v>100</v>
      </c>
      <c r="C2290" t="s">
        <v>774</v>
      </c>
      <c r="D2290" s="1">
        <v>45249</v>
      </c>
      <c r="E2290" t="s">
        <v>267</v>
      </c>
      <c r="F2290">
        <v>520.73</v>
      </c>
      <c r="G2290" t="s">
        <v>70</v>
      </c>
      <c r="H2290" t="s">
        <v>264</v>
      </c>
      <c r="I2290" t="s">
        <v>72</v>
      </c>
    </row>
    <row r="2291" spans="1:9" x14ac:dyDescent="0.25">
      <c r="A2291" t="s">
        <v>264</v>
      </c>
      <c r="B2291" t="s">
        <v>100</v>
      </c>
      <c r="C2291" t="s">
        <v>774</v>
      </c>
      <c r="D2291" s="1">
        <v>45249</v>
      </c>
      <c r="E2291" t="s">
        <v>285</v>
      </c>
      <c r="F2291">
        <v>-57.53</v>
      </c>
      <c r="G2291" t="s">
        <v>79</v>
      </c>
      <c r="H2291" t="s">
        <v>96</v>
      </c>
      <c r="I2291" t="s">
        <v>96</v>
      </c>
    </row>
    <row r="2292" spans="1:9" x14ac:dyDescent="0.25">
      <c r="A2292" t="s">
        <v>264</v>
      </c>
      <c r="B2292" t="s">
        <v>100</v>
      </c>
      <c r="C2292" t="s">
        <v>774</v>
      </c>
      <c r="D2292" s="1">
        <v>45249</v>
      </c>
      <c r="E2292" t="s">
        <v>304</v>
      </c>
      <c r="F2292">
        <v>-16.16</v>
      </c>
      <c r="G2292" t="s">
        <v>70</v>
      </c>
      <c r="H2292" t="s">
        <v>264</v>
      </c>
      <c r="I2292" t="s">
        <v>72</v>
      </c>
    </row>
    <row r="2293" spans="1:9" x14ac:dyDescent="0.25">
      <c r="A2293" t="s">
        <v>264</v>
      </c>
      <c r="B2293" t="s">
        <v>100</v>
      </c>
      <c r="C2293" t="s">
        <v>774</v>
      </c>
      <c r="D2293" s="1">
        <v>45250</v>
      </c>
      <c r="E2293" t="s">
        <v>304</v>
      </c>
      <c r="F2293">
        <v>-144.41</v>
      </c>
      <c r="G2293" t="s">
        <v>70</v>
      </c>
      <c r="H2293" t="s">
        <v>264</v>
      </c>
      <c r="I2293" t="s">
        <v>72</v>
      </c>
    </row>
    <row r="2294" spans="1:9" x14ac:dyDescent="0.25">
      <c r="A2294" t="s">
        <v>264</v>
      </c>
      <c r="B2294" t="s">
        <v>100</v>
      </c>
      <c r="C2294" t="s">
        <v>774</v>
      </c>
      <c r="D2294" s="1">
        <v>45250</v>
      </c>
      <c r="E2294" t="s">
        <v>268</v>
      </c>
      <c r="F2294">
        <v>61.91</v>
      </c>
      <c r="G2294" t="s">
        <v>70</v>
      </c>
      <c r="H2294" t="s">
        <v>264</v>
      </c>
      <c r="I2294" t="s">
        <v>72</v>
      </c>
    </row>
    <row r="2295" spans="1:9" x14ac:dyDescent="0.25">
      <c r="A2295" t="s">
        <v>264</v>
      </c>
      <c r="B2295" t="s">
        <v>100</v>
      </c>
      <c r="C2295" t="s">
        <v>774</v>
      </c>
      <c r="D2295" s="1">
        <v>45250</v>
      </c>
      <c r="E2295" t="s">
        <v>304</v>
      </c>
      <c r="F2295">
        <v>-87.07</v>
      </c>
      <c r="G2295" t="s">
        <v>70</v>
      </c>
      <c r="H2295" t="s">
        <v>264</v>
      </c>
      <c r="I2295" t="s">
        <v>72</v>
      </c>
    </row>
    <row r="2296" spans="1:9" x14ac:dyDescent="0.25">
      <c r="A2296" t="s">
        <v>264</v>
      </c>
      <c r="B2296" t="s">
        <v>100</v>
      </c>
      <c r="C2296" t="s">
        <v>774</v>
      </c>
      <c r="D2296" s="1">
        <v>45250</v>
      </c>
      <c r="E2296" t="s">
        <v>268</v>
      </c>
      <c r="F2296">
        <v>248.3</v>
      </c>
      <c r="G2296" t="s">
        <v>70</v>
      </c>
      <c r="H2296" t="s">
        <v>264</v>
      </c>
      <c r="I2296" t="s">
        <v>72</v>
      </c>
    </row>
    <row r="2297" spans="1:9" x14ac:dyDescent="0.25">
      <c r="A2297" t="s">
        <v>264</v>
      </c>
      <c r="B2297" t="s">
        <v>100</v>
      </c>
      <c r="C2297" t="s">
        <v>774</v>
      </c>
      <c r="D2297" s="1">
        <v>45251</v>
      </c>
      <c r="E2297" t="s">
        <v>304</v>
      </c>
      <c r="F2297">
        <v>-144.91999999999999</v>
      </c>
      <c r="G2297" t="s">
        <v>70</v>
      </c>
      <c r="H2297" t="s">
        <v>264</v>
      </c>
      <c r="I2297" t="s">
        <v>72</v>
      </c>
    </row>
    <row r="2298" spans="1:9" x14ac:dyDescent="0.25">
      <c r="A2298" t="s">
        <v>264</v>
      </c>
      <c r="B2298" t="s">
        <v>100</v>
      </c>
      <c r="C2298" t="s">
        <v>774</v>
      </c>
      <c r="D2298" s="1">
        <v>45252</v>
      </c>
      <c r="E2298" t="s">
        <v>274</v>
      </c>
      <c r="F2298">
        <v>2521.87</v>
      </c>
      <c r="G2298" t="s">
        <v>74</v>
      </c>
      <c r="H2298" t="s">
        <v>256</v>
      </c>
      <c r="I2298" t="s">
        <v>346</v>
      </c>
    </row>
    <row r="2299" spans="1:9" x14ac:dyDescent="0.25">
      <c r="A2299" t="s">
        <v>264</v>
      </c>
      <c r="B2299" t="s">
        <v>100</v>
      </c>
      <c r="C2299" t="s">
        <v>774</v>
      </c>
      <c r="D2299" s="1">
        <v>45252</v>
      </c>
      <c r="E2299" t="s">
        <v>304</v>
      </c>
      <c r="F2299">
        <v>-96.85</v>
      </c>
      <c r="G2299" t="s">
        <v>70</v>
      </c>
      <c r="H2299" t="s">
        <v>264</v>
      </c>
      <c r="I2299" t="s">
        <v>72</v>
      </c>
    </row>
    <row r="2300" spans="1:9" x14ac:dyDescent="0.25">
      <c r="A2300" t="s">
        <v>264</v>
      </c>
      <c r="B2300" t="s">
        <v>100</v>
      </c>
      <c r="C2300" t="s">
        <v>774</v>
      </c>
      <c r="D2300" s="1">
        <v>45252</v>
      </c>
      <c r="E2300" t="s">
        <v>275</v>
      </c>
      <c r="F2300">
        <v>544.01</v>
      </c>
      <c r="G2300" t="s">
        <v>70</v>
      </c>
      <c r="H2300" t="s">
        <v>264</v>
      </c>
      <c r="I2300" t="s">
        <v>72</v>
      </c>
    </row>
    <row r="2301" spans="1:9" x14ac:dyDescent="0.25">
      <c r="A2301" t="s">
        <v>264</v>
      </c>
      <c r="B2301" t="s">
        <v>100</v>
      </c>
      <c r="C2301" t="s">
        <v>774</v>
      </c>
      <c r="D2301" s="1">
        <v>45252</v>
      </c>
      <c r="E2301" t="s">
        <v>268</v>
      </c>
      <c r="F2301">
        <v>105.34</v>
      </c>
      <c r="G2301" t="s">
        <v>70</v>
      </c>
      <c r="H2301" t="s">
        <v>264</v>
      </c>
      <c r="I2301" t="s">
        <v>72</v>
      </c>
    </row>
    <row r="2302" spans="1:9" x14ac:dyDescent="0.25">
      <c r="A2302" t="s">
        <v>264</v>
      </c>
      <c r="B2302" t="s">
        <v>100</v>
      </c>
      <c r="C2302" t="s">
        <v>774</v>
      </c>
      <c r="D2302" s="1">
        <v>45252</v>
      </c>
      <c r="E2302" t="s">
        <v>269</v>
      </c>
      <c r="F2302">
        <v>-3731.79</v>
      </c>
      <c r="G2302" t="s">
        <v>70</v>
      </c>
      <c r="H2302" t="s">
        <v>264</v>
      </c>
      <c r="I2302" t="s">
        <v>72</v>
      </c>
    </row>
    <row r="2303" spans="1:9" x14ac:dyDescent="0.25">
      <c r="A2303" t="s">
        <v>264</v>
      </c>
      <c r="B2303" t="s">
        <v>100</v>
      </c>
      <c r="C2303" t="s">
        <v>774</v>
      </c>
      <c r="D2303" s="1">
        <v>45252</v>
      </c>
      <c r="E2303" t="s">
        <v>322</v>
      </c>
      <c r="F2303">
        <v>-415.49</v>
      </c>
      <c r="G2303" t="s">
        <v>70</v>
      </c>
      <c r="H2303" t="s">
        <v>264</v>
      </c>
      <c r="I2303" t="s">
        <v>72</v>
      </c>
    </row>
    <row r="2304" spans="1:9" x14ac:dyDescent="0.25">
      <c r="A2304" t="s">
        <v>264</v>
      </c>
      <c r="B2304" t="s">
        <v>100</v>
      </c>
      <c r="C2304" t="s">
        <v>774</v>
      </c>
      <c r="D2304" s="1">
        <v>45253</v>
      </c>
      <c r="E2304" t="s">
        <v>304</v>
      </c>
      <c r="F2304">
        <v>-48.16</v>
      </c>
      <c r="G2304" t="s">
        <v>70</v>
      </c>
      <c r="H2304" t="s">
        <v>264</v>
      </c>
      <c r="I2304" t="s">
        <v>72</v>
      </c>
    </row>
    <row r="2305" spans="1:9" x14ac:dyDescent="0.25">
      <c r="A2305" t="s">
        <v>264</v>
      </c>
      <c r="B2305" t="s">
        <v>100</v>
      </c>
      <c r="C2305" t="s">
        <v>774</v>
      </c>
      <c r="D2305" s="1">
        <v>45253</v>
      </c>
      <c r="E2305" t="s">
        <v>267</v>
      </c>
      <c r="F2305">
        <v>64.349999999999994</v>
      </c>
      <c r="G2305" t="s">
        <v>70</v>
      </c>
      <c r="H2305" t="s">
        <v>264</v>
      </c>
      <c r="I2305" t="s">
        <v>72</v>
      </c>
    </row>
    <row r="2306" spans="1:9" x14ac:dyDescent="0.25">
      <c r="A2306" t="s">
        <v>264</v>
      </c>
      <c r="B2306" t="s">
        <v>100</v>
      </c>
      <c r="C2306" t="s">
        <v>774</v>
      </c>
      <c r="D2306" s="1">
        <v>45254</v>
      </c>
      <c r="E2306" t="s">
        <v>304</v>
      </c>
      <c r="F2306">
        <v>-700.23</v>
      </c>
      <c r="G2306" t="s">
        <v>70</v>
      </c>
      <c r="H2306" t="s">
        <v>264</v>
      </c>
      <c r="I2306" t="s">
        <v>72</v>
      </c>
    </row>
    <row r="2307" spans="1:9" x14ac:dyDescent="0.25">
      <c r="A2307" t="s">
        <v>264</v>
      </c>
      <c r="B2307" t="s">
        <v>100</v>
      </c>
      <c r="C2307" t="s">
        <v>774</v>
      </c>
      <c r="D2307" s="1">
        <v>45254</v>
      </c>
      <c r="E2307" t="s">
        <v>323</v>
      </c>
      <c r="F2307">
        <v>-9.68</v>
      </c>
      <c r="G2307" t="s">
        <v>347</v>
      </c>
      <c r="H2307" t="s">
        <v>348</v>
      </c>
      <c r="I2307" t="s">
        <v>348</v>
      </c>
    </row>
    <row r="2308" spans="1:9" x14ac:dyDescent="0.25">
      <c r="A2308" t="s">
        <v>264</v>
      </c>
      <c r="B2308" t="s">
        <v>100</v>
      </c>
      <c r="C2308" t="s">
        <v>774</v>
      </c>
      <c r="D2308" s="1">
        <v>45255</v>
      </c>
      <c r="E2308" t="s">
        <v>267</v>
      </c>
      <c r="F2308">
        <v>251.85</v>
      </c>
      <c r="G2308" t="s">
        <v>70</v>
      </c>
      <c r="H2308" t="s">
        <v>264</v>
      </c>
      <c r="I2308" t="s">
        <v>72</v>
      </c>
    </row>
    <row r="2309" spans="1:9" x14ac:dyDescent="0.25">
      <c r="A2309" t="s">
        <v>264</v>
      </c>
      <c r="B2309" t="s">
        <v>100</v>
      </c>
      <c r="C2309" t="s">
        <v>774</v>
      </c>
      <c r="D2309" s="1">
        <v>45255</v>
      </c>
      <c r="E2309" t="s">
        <v>304</v>
      </c>
      <c r="F2309">
        <v>-293.31</v>
      </c>
      <c r="G2309" t="s">
        <v>70</v>
      </c>
      <c r="H2309" t="s">
        <v>264</v>
      </c>
      <c r="I2309" t="s">
        <v>72</v>
      </c>
    </row>
    <row r="2310" spans="1:9" x14ac:dyDescent="0.25">
      <c r="A2310" t="s">
        <v>264</v>
      </c>
      <c r="B2310" t="s">
        <v>100</v>
      </c>
      <c r="C2310" t="s">
        <v>774</v>
      </c>
      <c r="D2310" s="1">
        <v>45255</v>
      </c>
      <c r="E2310" t="s">
        <v>267</v>
      </c>
      <c r="F2310">
        <v>716.3</v>
      </c>
      <c r="G2310" t="s">
        <v>70</v>
      </c>
      <c r="H2310" t="s">
        <v>264</v>
      </c>
      <c r="I2310" t="s">
        <v>72</v>
      </c>
    </row>
    <row r="2311" spans="1:9" x14ac:dyDescent="0.25">
      <c r="A2311" t="s">
        <v>264</v>
      </c>
      <c r="B2311" t="s">
        <v>100</v>
      </c>
      <c r="C2311" t="s">
        <v>774</v>
      </c>
      <c r="D2311" s="1">
        <v>45255</v>
      </c>
      <c r="E2311" t="s">
        <v>304</v>
      </c>
      <c r="F2311">
        <v>-203.46</v>
      </c>
      <c r="G2311" t="s">
        <v>70</v>
      </c>
      <c r="H2311" t="s">
        <v>264</v>
      </c>
      <c r="I2311" t="s">
        <v>72</v>
      </c>
    </row>
    <row r="2312" spans="1:9" x14ac:dyDescent="0.25">
      <c r="A2312" t="s">
        <v>264</v>
      </c>
      <c r="B2312" t="s">
        <v>100</v>
      </c>
      <c r="C2312" t="s">
        <v>774</v>
      </c>
      <c r="D2312" s="1">
        <v>45256</v>
      </c>
      <c r="E2312" t="s">
        <v>304</v>
      </c>
      <c r="F2312">
        <v>-5.47</v>
      </c>
      <c r="G2312" t="s">
        <v>70</v>
      </c>
      <c r="H2312" t="s">
        <v>264</v>
      </c>
      <c r="I2312" t="s">
        <v>72</v>
      </c>
    </row>
    <row r="2313" spans="1:9" x14ac:dyDescent="0.25">
      <c r="A2313" t="s">
        <v>264</v>
      </c>
      <c r="B2313" t="s">
        <v>100</v>
      </c>
      <c r="C2313" t="s">
        <v>774</v>
      </c>
      <c r="D2313" s="1">
        <v>45256</v>
      </c>
      <c r="E2313" t="s">
        <v>304</v>
      </c>
      <c r="F2313">
        <v>-98.13</v>
      </c>
      <c r="G2313" t="s">
        <v>70</v>
      </c>
      <c r="H2313" t="s">
        <v>264</v>
      </c>
      <c r="I2313" t="s">
        <v>72</v>
      </c>
    </row>
    <row r="2314" spans="1:9" x14ac:dyDescent="0.25">
      <c r="A2314" t="s">
        <v>264</v>
      </c>
      <c r="B2314" t="s">
        <v>100</v>
      </c>
      <c r="C2314" t="s">
        <v>774</v>
      </c>
      <c r="D2314" s="1">
        <v>45258</v>
      </c>
      <c r="E2314" t="s">
        <v>268</v>
      </c>
      <c r="F2314">
        <v>103.59</v>
      </c>
      <c r="G2314" t="s">
        <v>70</v>
      </c>
      <c r="H2314" t="s">
        <v>264</v>
      </c>
      <c r="I2314" t="s">
        <v>72</v>
      </c>
    </row>
    <row r="2315" spans="1:9" x14ac:dyDescent="0.25">
      <c r="A2315" t="s">
        <v>264</v>
      </c>
      <c r="B2315" t="s">
        <v>100</v>
      </c>
      <c r="C2315" t="s">
        <v>774</v>
      </c>
      <c r="D2315" s="1">
        <v>45258</v>
      </c>
      <c r="E2315" t="s">
        <v>304</v>
      </c>
      <c r="F2315">
        <v>-1.1000000000000001</v>
      </c>
      <c r="G2315" t="s">
        <v>70</v>
      </c>
      <c r="H2315" t="s">
        <v>264</v>
      </c>
      <c r="I2315" t="s">
        <v>72</v>
      </c>
    </row>
    <row r="2316" spans="1:9" x14ac:dyDescent="0.25">
      <c r="A2316" t="s">
        <v>264</v>
      </c>
      <c r="B2316" t="s">
        <v>100</v>
      </c>
      <c r="C2316" t="s">
        <v>774</v>
      </c>
      <c r="D2316" s="1">
        <v>45258</v>
      </c>
      <c r="E2316" t="s">
        <v>268</v>
      </c>
      <c r="F2316">
        <v>223</v>
      </c>
      <c r="G2316" t="s">
        <v>70</v>
      </c>
      <c r="H2316" t="s">
        <v>264</v>
      </c>
      <c r="I2316" t="s">
        <v>72</v>
      </c>
    </row>
    <row r="2317" spans="1:9" x14ac:dyDescent="0.25">
      <c r="A2317" t="s">
        <v>264</v>
      </c>
      <c r="B2317" t="s">
        <v>100</v>
      </c>
      <c r="C2317" t="s">
        <v>774</v>
      </c>
      <c r="D2317" s="1">
        <v>45258</v>
      </c>
      <c r="E2317" t="s">
        <v>304</v>
      </c>
      <c r="F2317">
        <v>-189.49</v>
      </c>
      <c r="G2317" t="s">
        <v>70</v>
      </c>
      <c r="H2317" t="s">
        <v>264</v>
      </c>
      <c r="I2317" t="s">
        <v>72</v>
      </c>
    </row>
    <row r="2318" spans="1:9" x14ac:dyDescent="0.25">
      <c r="A2318" t="s">
        <v>264</v>
      </c>
      <c r="B2318" t="s">
        <v>100</v>
      </c>
      <c r="C2318" t="s">
        <v>774</v>
      </c>
      <c r="D2318" s="1">
        <v>45258</v>
      </c>
      <c r="E2318" t="s">
        <v>304</v>
      </c>
      <c r="F2318">
        <v>-19.43</v>
      </c>
      <c r="G2318" t="s">
        <v>70</v>
      </c>
      <c r="H2318" t="s">
        <v>264</v>
      </c>
      <c r="I2318" t="s">
        <v>72</v>
      </c>
    </row>
    <row r="2319" spans="1:9" x14ac:dyDescent="0.25">
      <c r="A2319" t="s">
        <v>264</v>
      </c>
      <c r="B2319" t="s">
        <v>100</v>
      </c>
      <c r="C2319" t="s">
        <v>774</v>
      </c>
      <c r="D2319" s="1">
        <v>45259</v>
      </c>
      <c r="E2319" t="s">
        <v>275</v>
      </c>
      <c r="F2319">
        <v>803.51</v>
      </c>
      <c r="G2319" t="s">
        <v>70</v>
      </c>
      <c r="H2319" t="s">
        <v>264</v>
      </c>
      <c r="I2319" t="s">
        <v>72</v>
      </c>
    </row>
    <row r="2320" spans="1:9" x14ac:dyDescent="0.25">
      <c r="A2320" t="s">
        <v>264</v>
      </c>
      <c r="B2320" t="s">
        <v>100</v>
      </c>
      <c r="C2320" t="s">
        <v>774</v>
      </c>
      <c r="D2320" s="1">
        <v>45259</v>
      </c>
      <c r="E2320" t="s">
        <v>304</v>
      </c>
      <c r="F2320">
        <v>-71.260000000000005</v>
      </c>
      <c r="G2320" t="s">
        <v>70</v>
      </c>
      <c r="H2320" t="s">
        <v>264</v>
      </c>
      <c r="I2320" t="s">
        <v>72</v>
      </c>
    </row>
    <row r="2321" spans="1:9" x14ac:dyDescent="0.25">
      <c r="A2321" t="s">
        <v>264</v>
      </c>
      <c r="B2321" t="s">
        <v>100</v>
      </c>
      <c r="C2321" t="s">
        <v>774</v>
      </c>
      <c r="D2321" s="1">
        <v>45259</v>
      </c>
      <c r="E2321" t="s">
        <v>322</v>
      </c>
      <c r="F2321">
        <v>-41.97</v>
      </c>
      <c r="G2321" t="s">
        <v>70</v>
      </c>
      <c r="H2321" t="s">
        <v>264</v>
      </c>
      <c r="I2321" t="s">
        <v>72</v>
      </c>
    </row>
    <row r="2322" spans="1:9" x14ac:dyDescent="0.25">
      <c r="A2322" t="s">
        <v>264</v>
      </c>
      <c r="B2322" t="s">
        <v>100</v>
      </c>
      <c r="C2322" t="s">
        <v>774</v>
      </c>
      <c r="D2322" s="1">
        <v>45260</v>
      </c>
      <c r="E2322" t="s">
        <v>267</v>
      </c>
      <c r="F2322">
        <v>926.43</v>
      </c>
      <c r="G2322" t="s">
        <v>70</v>
      </c>
      <c r="H2322" t="s">
        <v>264</v>
      </c>
      <c r="I2322" t="s">
        <v>72</v>
      </c>
    </row>
    <row r="2323" spans="1:9" x14ac:dyDescent="0.25">
      <c r="A2323" t="s">
        <v>264</v>
      </c>
      <c r="B2323" t="s">
        <v>100</v>
      </c>
      <c r="C2323" t="s">
        <v>774</v>
      </c>
      <c r="D2323" s="1">
        <v>45261</v>
      </c>
      <c r="E2323" t="s">
        <v>267</v>
      </c>
      <c r="F2323">
        <v>77</v>
      </c>
      <c r="G2323" t="s">
        <v>70</v>
      </c>
      <c r="H2323" t="s">
        <v>264</v>
      </c>
      <c r="I2323" t="s">
        <v>72</v>
      </c>
    </row>
    <row r="2324" spans="1:9" x14ac:dyDescent="0.25">
      <c r="A2324" t="s">
        <v>264</v>
      </c>
      <c r="B2324" t="s">
        <v>100</v>
      </c>
      <c r="C2324" t="s">
        <v>774</v>
      </c>
      <c r="D2324" s="1">
        <v>45261</v>
      </c>
      <c r="E2324" t="s">
        <v>271</v>
      </c>
      <c r="F2324">
        <v>-866.74</v>
      </c>
      <c r="G2324" t="s">
        <v>70</v>
      </c>
      <c r="H2324" t="s">
        <v>264</v>
      </c>
      <c r="I2324" t="s">
        <v>72</v>
      </c>
    </row>
    <row r="2325" spans="1:9" x14ac:dyDescent="0.25">
      <c r="A2325" t="s">
        <v>264</v>
      </c>
      <c r="B2325" t="s">
        <v>100</v>
      </c>
      <c r="C2325" t="s">
        <v>774</v>
      </c>
      <c r="D2325" s="1">
        <v>45261</v>
      </c>
      <c r="E2325" t="s">
        <v>272</v>
      </c>
      <c r="F2325">
        <v>-1561.64</v>
      </c>
      <c r="G2325" t="s">
        <v>70</v>
      </c>
      <c r="H2325" t="s">
        <v>264</v>
      </c>
      <c r="I2325" t="s">
        <v>72</v>
      </c>
    </row>
    <row r="2326" spans="1:9" x14ac:dyDescent="0.25">
      <c r="A2326" t="s">
        <v>264</v>
      </c>
      <c r="B2326" t="s">
        <v>100</v>
      </c>
      <c r="C2326" t="s">
        <v>774</v>
      </c>
      <c r="D2326" s="1">
        <v>45261</v>
      </c>
      <c r="E2326" t="s">
        <v>273</v>
      </c>
      <c r="F2326">
        <v>-103.54</v>
      </c>
      <c r="G2326" t="s">
        <v>70</v>
      </c>
      <c r="H2326" t="s">
        <v>264</v>
      </c>
      <c r="I2326" t="s">
        <v>72</v>
      </c>
    </row>
    <row r="2327" spans="1:9" x14ac:dyDescent="0.25">
      <c r="A2327" t="s">
        <v>264</v>
      </c>
      <c r="B2327" t="s">
        <v>100</v>
      </c>
      <c r="C2327" t="s">
        <v>774</v>
      </c>
      <c r="D2327" s="1">
        <v>45262</v>
      </c>
      <c r="E2327" t="s">
        <v>304</v>
      </c>
      <c r="F2327">
        <v>-10.52</v>
      </c>
      <c r="G2327" t="s">
        <v>70</v>
      </c>
      <c r="H2327" t="s">
        <v>264</v>
      </c>
      <c r="I2327" t="s">
        <v>72</v>
      </c>
    </row>
    <row r="2328" spans="1:9" x14ac:dyDescent="0.25">
      <c r="A2328" t="s">
        <v>264</v>
      </c>
      <c r="B2328" t="s">
        <v>100</v>
      </c>
      <c r="C2328" t="s">
        <v>774</v>
      </c>
      <c r="D2328" s="1">
        <v>45263</v>
      </c>
      <c r="E2328" t="s">
        <v>304</v>
      </c>
      <c r="F2328">
        <v>-57.76</v>
      </c>
      <c r="G2328" t="s">
        <v>70</v>
      </c>
      <c r="H2328" t="s">
        <v>264</v>
      </c>
      <c r="I2328" t="s">
        <v>72</v>
      </c>
    </row>
    <row r="2329" spans="1:9" x14ac:dyDescent="0.25">
      <c r="A2329" t="s">
        <v>264</v>
      </c>
      <c r="B2329" t="s">
        <v>100</v>
      </c>
      <c r="C2329" t="s">
        <v>774</v>
      </c>
      <c r="D2329" s="1">
        <v>45265</v>
      </c>
      <c r="E2329" t="s">
        <v>267</v>
      </c>
      <c r="F2329">
        <v>88.28</v>
      </c>
      <c r="G2329" t="s">
        <v>70</v>
      </c>
      <c r="H2329" t="s">
        <v>264</v>
      </c>
      <c r="I2329" t="s">
        <v>72</v>
      </c>
    </row>
    <row r="2330" spans="1:9" x14ac:dyDescent="0.25">
      <c r="A2330" t="s">
        <v>264</v>
      </c>
      <c r="B2330" t="s">
        <v>100</v>
      </c>
      <c r="C2330" t="s">
        <v>774</v>
      </c>
      <c r="D2330" s="1">
        <v>45265</v>
      </c>
      <c r="E2330" t="s">
        <v>286</v>
      </c>
      <c r="F2330">
        <v>-33.75</v>
      </c>
      <c r="G2330" t="s">
        <v>70</v>
      </c>
      <c r="H2330" t="s">
        <v>264</v>
      </c>
      <c r="I2330" t="s">
        <v>72</v>
      </c>
    </row>
    <row r="2331" spans="1:9" x14ac:dyDescent="0.25">
      <c r="A2331" t="s">
        <v>264</v>
      </c>
      <c r="B2331" t="s">
        <v>100</v>
      </c>
      <c r="C2331" t="s">
        <v>774</v>
      </c>
      <c r="D2331" s="1">
        <v>45265</v>
      </c>
      <c r="E2331" t="s">
        <v>304</v>
      </c>
      <c r="F2331">
        <v>-195.78</v>
      </c>
      <c r="G2331" t="s">
        <v>70</v>
      </c>
      <c r="H2331" t="s">
        <v>264</v>
      </c>
      <c r="I2331" t="s">
        <v>72</v>
      </c>
    </row>
    <row r="2332" spans="1:9" x14ac:dyDescent="0.25">
      <c r="A2332" t="s">
        <v>264</v>
      </c>
      <c r="B2332" t="s">
        <v>100</v>
      </c>
      <c r="C2332" t="s">
        <v>774</v>
      </c>
      <c r="D2332" s="1">
        <v>45266</v>
      </c>
      <c r="E2332" t="s">
        <v>274</v>
      </c>
      <c r="F2332">
        <v>5341.37</v>
      </c>
      <c r="G2332" t="s">
        <v>74</v>
      </c>
      <c r="H2332" t="s">
        <v>256</v>
      </c>
      <c r="I2332" t="s">
        <v>346</v>
      </c>
    </row>
    <row r="2333" spans="1:9" x14ac:dyDescent="0.25">
      <c r="A2333" t="s">
        <v>264</v>
      </c>
      <c r="B2333" t="s">
        <v>100</v>
      </c>
      <c r="C2333" t="s">
        <v>774</v>
      </c>
      <c r="D2333" s="1">
        <v>45266</v>
      </c>
      <c r="E2333" t="s">
        <v>268</v>
      </c>
      <c r="F2333">
        <v>1805.37</v>
      </c>
      <c r="G2333" t="s">
        <v>70</v>
      </c>
      <c r="H2333" t="s">
        <v>264</v>
      </c>
      <c r="I2333" t="s">
        <v>72</v>
      </c>
    </row>
    <row r="2334" spans="1:9" x14ac:dyDescent="0.25">
      <c r="A2334" t="s">
        <v>264</v>
      </c>
      <c r="B2334" t="s">
        <v>100</v>
      </c>
      <c r="C2334" t="s">
        <v>774</v>
      </c>
      <c r="D2334" s="1">
        <v>45266</v>
      </c>
      <c r="E2334" t="s">
        <v>304</v>
      </c>
      <c r="F2334">
        <v>-37.03</v>
      </c>
      <c r="G2334" t="s">
        <v>70</v>
      </c>
      <c r="H2334" t="s">
        <v>264</v>
      </c>
      <c r="I2334" t="s">
        <v>72</v>
      </c>
    </row>
    <row r="2335" spans="1:9" x14ac:dyDescent="0.25">
      <c r="A2335" t="s">
        <v>264</v>
      </c>
      <c r="B2335" t="s">
        <v>100</v>
      </c>
      <c r="C2335" t="s">
        <v>774</v>
      </c>
      <c r="D2335" s="1">
        <v>45266</v>
      </c>
      <c r="E2335" t="s">
        <v>304</v>
      </c>
      <c r="F2335">
        <v>-13.5</v>
      </c>
      <c r="G2335" t="s">
        <v>70</v>
      </c>
      <c r="H2335" t="s">
        <v>264</v>
      </c>
      <c r="I2335" t="s">
        <v>72</v>
      </c>
    </row>
    <row r="2336" spans="1:9" x14ac:dyDescent="0.25">
      <c r="A2336" t="s">
        <v>264</v>
      </c>
      <c r="B2336" t="s">
        <v>100</v>
      </c>
      <c r="C2336" t="s">
        <v>774</v>
      </c>
      <c r="D2336" s="1">
        <v>45266</v>
      </c>
      <c r="E2336" t="s">
        <v>275</v>
      </c>
      <c r="F2336">
        <v>721.68</v>
      </c>
      <c r="G2336" t="s">
        <v>70</v>
      </c>
      <c r="H2336" t="s">
        <v>264</v>
      </c>
      <c r="I2336" t="s">
        <v>72</v>
      </c>
    </row>
    <row r="2337" spans="1:9" x14ac:dyDescent="0.25">
      <c r="A2337" t="s">
        <v>264</v>
      </c>
      <c r="B2337" t="s">
        <v>100</v>
      </c>
      <c r="C2337" t="s">
        <v>774</v>
      </c>
      <c r="D2337" s="1">
        <v>45266</v>
      </c>
      <c r="E2337" t="s">
        <v>322</v>
      </c>
      <c r="F2337">
        <v>-348.98</v>
      </c>
      <c r="G2337" t="s">
        <v>70</v>
      </c>
      <c r="H2337" t="s">
        <v>264</v>
      </c>
      <c r="I2337" t="s">
        <v>72</v>
      </c>
    </row>
    <row r="2338" spans="1:9" x14ac:dyDescent="0.25">
      <c r="A2338" t="s">
        <v>264</v>
      </c>
      <c r="B2338" t="s">
        <v>100</v>
      </c>
      <c r="C2338" t="s">
        <v>774</v>
      </c>
      <c r="D2338" s="1">
        <v>45267</v>
      </c>
      <c r="E2338" t="s">
        <v>269</v>
      </c>
      <c r="F2338">
        <v>-127.94</v>
      </c>
      <c r="G2338" t="s">
        <v>70</v>
      </c>
      <c r="H2338" t="s">
        <v>264</v>
      </c>
      <c r="I2338" t="s">
        <v>72</v>
      </c>
    </row>
    <row r="2339" spans="1:9" x14ac:dyDescent="0.25">
      <c r="A2339" t="s">
        <v>264</v>
      </c>
      <c r="B2339" t="s">
        <v>100</v>
      </c>
      <c r="C2339" t="s">
        <v>774</v>
      </c>
      <c r="D2339" s="1">
        <v>45267</v>
      </c>
      <c r="E2339" t="s">
        <v>267</v>
      </c>
      <c r="F2339">
        <v>248.72</v>
      </c>
      <c r="G2339" t="s">
        <v>70</v>
      </c>
      <c r="H2339" t="s">
        <v>264</v>
      </c>
      <c r="I2339" t="s">
        <v>72</v>
      </c>
    </row>
    <row r="2340" spans="1:9" x14ac:dyDescent="0.25">
      <c r="A2340" t="s">
        <v>264</v>
      </c>
      <c r="B2340" t="s">
        <v>100</v>
      </c>
      <c r="C2340" t="s">
        <v>774</v>
      </c>
      <c r="D2340" s="1">
        <v>45267</v>
      </c>
      <c r="E2340" t="s">
        <v>304</v>
      </c>
      <c r="F2340">
        <v>-620.52</v>
      </c>
      <c r="G2340" t="s">
        <v>70</v>
      </c>
      <c r="H2340" t="s">
        <v>264</v>
      </c>
      <c r="I2340" t="s">
        <v>72</v>
      </c>
    </row>
    <row r="2341" spans="1:9" x14ac:dyDescent="0.25">
      <c r="A2341" t="s">
        <v>264</v>
      </c>
      <c r="B2341" t="s">
        <v>100</v>
      </c>
      <c r="C2341" t="s">
        <v>774</v>
      </c>
      <c r="D2341" s="1">
        <v>45268</v>
      </c>
      <c r="E2341" t="s">
        <v>304</v>
      </c>
      <c r="F2341">
        <v>-33.619999999999997</v>
      </c>
      <c r="G2341" t="s">
        <v>70</v>
      </c>
      <c r="H2341" t="s">
        <v>264</v>
      </c>
      <c r="I2341" t="s">
        <v>72</v>
      </c>
    </row>
    <row r="2342" spans="1:9" x14ac:dyDescent="0.25">
      <c r="A2342" t="s">
        <v>264</v>
      </c>
      <c r="B2342" t="s">
        <v>100</v>
      </c>
      <c r="C2342" t="s">
        <v>774</v>
      </c>
      <c r="D2342" s="1">
        <v>45268</v>
      </c>
      <c r="E2342" t="s">
        <v>304</v>
      </c>
      <c r="F2342">
        <v>-69.150000000000006</v>
      </c>
      <c r="G2342" t="s">
        <v>70</v>
      </c>
      <c r="H2342" t="s">
        <v>264</v>
      </c>
      <c r="I2342" t="s">
        <v>72</v>
      </c>
    </row>
    <row r="2343" spans="1:9" x14ac:dyDescent="0.25">
      <c r="A2343" t="s">
        <v>264</v>
      </c>
      <c r="B2343" t="s">
        <v>100</v>
      </c>
      <c r="C2343" t="s">
        <v>774</v>
      </c>
      <c r="D2343" s="1">
        <v>45268</v>
      </c>
      <c r="E2343" t="s">
        <v>324</v>
      </c>
      <c r="F2343">
        <v>-18.170000000000002</v>
      </c>
      <c r="G2343" t="s">
        <v>347</v>
      </c>
      <c r="H2343" t="s">
        <v>348</v>
      </c>
      <c r="I2343" t="s">
        <v>348</v>
      </c>
    </row>
    <row r="2344" spans="1:9" x14ac:dyDescent="0.25">
      <c r="A2344" t="s">
        <v>264</v>
      </c>
      <c r="B2344" t="s">
        <v>100</v>
      </c>
      <c r="C2344" t="s">
        <v>774</v>
      </c>
      <c r="D2344" s="1">
        <v>45269</v>
      </c>
      <c r="E2344" t="s">
        <v>267</v>
      </c>
      <c r="F2344">
        <v>735.31</v>
      </c>
      <c r="G2344" t="s">
        <v>70</v>
      </c>
      <c r="H2344" t="s">
        <v>264</v>
      </c>
      <c r="I2344" t="s">
        <v>72</v>
      </c>
    </row>
    <row r="2345" spans="1:9" x14ac:dyDescent="0.25">
      <c r="A2345" t="s">
        <v>264</v>
      </c>
      <c r="B2345" t="s">
        <v>100</v>
      </c>
      <c r="C2345" t="s">
        <v>774</v>
      </c>
      <c r="D2345" s="1">
        <v>45269</v>
      </c>
      <c r="E2345" t="s">
        <v>304</v>
      </c>
      <c r="F2345">
        <v>-6.56</v>
      </c>
      <c r="G2345" t="s">
        <v>70</v>
      </c>
      <c r="H2345" t="s">
        <v>264</v>
      </c>
      <c r="I2345" t="s">
        <v>72</v>
      </c>
    </row>
    <row r="2346" spans="1:9" x14ac:dyDescent="0.25">
      <c r="A2346" t="s">
        <v>264</v>
      </c>
      <c r="B2346" t="s">
        <v>100</v>
      </c>
      <c r="C2346" t="s">
        <v>774</v>
      </c>
      <c r="D2346" s="1">
        <v>45269</v>
      </c>
      <c r="E2346" t="s">
        <v>304</v>
      </c>
      <c r="F2346">
        <v>-12.05</v>
      </c>
      <c r="G2346" t="s">
        <v>70</v>
      </c>
      <c r="H2346" t="s">
        <v>264</v>
      </c>
      <c r="I2346" t="s">
        <v>72</v>
      </c>
    </row>
    <row r="2347" spans="1:9" x14ac:dyDescent="0.25">
      <c r="A2347" t="s">
        <v>264</v>
      </c>
      <c r="B2347" t="s">
        <v>100</v>
      </c>
      <c r="C2347" t="s">
        <v>774</v>
      </c>
      <c r="D2347" s="1">
        <v>45269</v>
      </c>
      <c r="E2347" t="s">
        <v>304</v>
      </c>
      <c r="F2347">
        <v>-204.03</v>
      </c>
      <c r="G2347" t="s">
        <v>70</v>
      </c>
      <c r="H2347" t="s">
        <v>264</v>
      </c>
      <c r="I2347" t="s">
        <v>72</v>
      </c>
    </row>
    <row r="2348" spans="1:9" x14ac:dyDescent="0.25">
      <c r="A2348" t="s">
        <v>264</v>
      </c>
      <c r="B2348" t="s">
        <v>100</v>
      </c>
      <c r="C2348" t="s">
        <v>774</v>
      </c>
      <c r="D2348" s="1">
        <v>45269</v>
      </c>
      <c r="E2348" t="s">
        <v>304</v>
      </c>
      <c r="F2348">
        <v>-94.29</v>
      </c>
      <c r="G2348" t="s">
        <v>70</v>
      </c>
      <c r="H2348" t="s">
        <v>264</v>
      </c>
      <c r="I2348" t="s">
        <v>72</v>
      </c>
    </row>
    <row r="2349" spans="1:9" x14ac:dyDescent="0.25">
      <c r="A2349" t="s">
        <v>264</v>
      </c>
      <c r="B2349" t="s">
        <v>100</v>
      </c>
      <c r="C2349" t="s">
        <v>774</v>
      </c>
      <c r="D2349" s="1">
        <v>45270</v>
      </c>
      <c r="E2349" t="s">
        <v>304</v>
      </c>
      <c r="F2349">
        <v>-18.5</v>
      </c>
      <c r="G2349" t="s">
        <v>70</v>
      </c>
      <c r="H2349" t="s">
        <v>264</v>
      </c>
      <c r="I2349" t="s">
        <v>72</v>
      </c>
    </row>
    <row r="2350" spans="1:9" x14ac:dyDescent="0.25">
      <c r="A2350" t="s">
        <v>264</v>
      </c>
      <c r="B2350" t="s">
        <v>100</v>
      </c>
      <c r="C2350" t="s">
        <v>774</v>
      </c>
      <c r="D2350" s="1">
        <v>45270</v>
      </c>
      <c r="E2350" t="s">
        <v>304</v>
      </c>
      <c r="F2350">
        <v>-58.27</v>
      </c>
      <c r="G2350" t="s">
        <v>70</v>
      </c>
      <c r="H2350" t="s">
        <v>264</v>
      </c>
      <c r="I2350" t="s">
        <v>72</v>
      </c>
    </row>
    <row r="2351" spans="1:9" x14ac:dyDescent="0.25">
      <c r="A2351" t="s">
        <v>264</v>
      </c>
      <c r="B2351" t="s">
        <v>100</v>
      </c>
      <c r="C2351" t="s">
        <v>774</v>
      </c>
      <c r="D2351" s="1">
        <v>45270</v>
      </c>
      <c r="E2351" t="s">
        <v>304</v>
      </c>
      <c r="F2351">
        <v>-102.26</v>
      </c>
      <c r="G2351" t="s">
        <v>70</v>
      </c>
      <c r="H2351" t="s">
        <v>264</v>
      </c>
      <c r="I2351" t="s">
        <v>72</v>
      </c>
    </row>
    <row r="2352" spans="1:9" x14ac:dyDescent="0.25">
      <c r="A2352" t="s">
        <v>264</v>
      </c>
      <c r="B2352" t="s">
        <v>100</v>
      </c>
      <c r="C2352" t="s">
        <v>774</v>
      </c>
      <c r="D2352" s="1">
        <v>45270</v>
      </c>
      <c r="E2352" t="s">
        <v>269</v>
      </c>
      <c r="F2352">
        <v>-3373.05</v>
      </c>
      <c r="G2352" t="s">
        <v>70</v>
      </c>
      <c r="H2352" t="s">
        <v>264</v>
      </c>
      <c r="I2352" t="s">
        <v>72</v>
      </c>
    </row>
    <row r="2353" spans="1:9" x14ac:dyDescent="0.25">
      <c r="A2353" t="s">
        <v>264</v>
      </c>
      <c r="B2353" t="s">
        <v>100</v>
      </c>
      <c r="C2353" t="s">
        <v>774</v>
      </c>
      <c r="D2353" s="1">
        <v>45270</v>
      </c>
      <c r="E2353" t="s">
        <v>286</v>
      </c>
      <c r="F2353">
        <v>-90.4</v>
      </c>
      <c r="G2353" t="s">
        <v>70</v>
      </c>
      <c r="H2353" t="s">
        <v>264</v>
      </c>
      <c r="I2353" t="s">
        <v>72</v>
      </c>
    </row>
    <row r="2354" spans="1:9" x14ac:dyDescent="0.25">
      <c r="A2354" t="s">
        <v>264</v>
      </c>
      <c r="B2354" t="s">
        <v>100</v>
      </c>
      <c r="C2354" t="s">
        <v>774</v>
      </c>
      <c r="D2354" s="1">
        <v>45272</v>
      </c>
      <c r="E2354" t="s">
        <v>267</v>
      </c>
      <c r="F2354">
        <v>388.73</v>
      </c>
      <c r="G2354" t="s">
        <v>70</v>
      </c>
      <c r="H2354" t="s">
        <v>264</v>
      </c>
      <c r="I2354" t="s">
        <v>72</v>
      </c>
    </row>
    <row r="2355" spans="1:9" x14ac:dyDescent="0.25">
      <c r="A2355" t="s">
        <v>264</v>
      </c>
      <c r="B2355" t="s">
        <v>100</v>
      </c>
      <c r="C2355" t="s">
        <v>774</v>
      </c>
      <c r="D2355" s="1">
        <v>45272</v>
      </c>
      <c r="E2355" t="s">
        <v>304</v>
      </c>
      <c r="F2355">
        <v>-301.69</v>
      </c>
      <c r="G2355" t="s">
        <v>70</v>
      </c>
      <c r="H2355" t="s">
        <v>264</v>
      </c>
      <c r="I2355" t="s">
        <v>72</v>
      </c>
    </row>
    <row r="2356" spans="1:9" x14ac:dyDescent="0.25">
      <c r="A2356" t="s">
        <v>264</v>
      </c>
      <c r="B2356" t="s">
        <v>100</v>
      </c>
      <c r="C2356" t="s">
        <v>774</v>
      </c>
      <c r="D2356" s="1">
        <v>45273</v>
      </c>
      <c r="E2356" t="s">
        <v>267</v>
      </c>
      <c r="F2356">
        <v>1373.44</v>
      </c>
      <c r="G2356" t="s">
        <v>70</v>
      </c>
      <c r="H2356" t="s">
        <v>264</v>
      </c>
      <c r="I2356" t="s">
        <v>72</v>
      </c>
    </row>
    <row r="2357" spans="1:9" x14ac:dyDescent="0.25">
      <c r="A2357" t="s">
        <v>264</v>
      </c>
      <c r="B2357" t="s">
        <v>100</v>
      </c>
      <c r="C2357" t="s">
        <v>774</v>
      </c>
      <c r="D2357" s="1">
        <v>45273</v>
      </c>
      <c r="E2357" t="s">
        <v>304</v>
      </c>
      <c r="F2357">
        <v>-11.81</v>
      </c>
      <c r="G2357" t="s">
        <v>70</v>
      </c>
      <c r="H2357" t="s">
        <v>264</v>
      </c>
      <c r="I2357" t="s">
        <v>72</v>
      </c>
    </row>
    <row r="2358" spans="1:9" x14ac:dyDescent="0.25">
      <c r="A2358" t="s">
        <v>264</v>
      </c>
      <c r="B2358" t="s">
        <v>100</v>
      </c>
      <c r="C2358" t="s">
        <v>774</v>
      </c>
      <c r="D2358" s="1">
        <v>45273</v>
      </c>
      <c r="E2358" t="s">
        <v>275</v>
      </c>
      <c r="F2358">
        <v>599.70000000000005</v>
      </c>
      <c r="G2358" t="s">
        <v>70</v>
      </c>
      <c r="H2358" t="s">
        <v>264</v>
      </c>
      <c r="I2358" t="s">
        <v>72</v>
      </c>
    </row>
    <row r="2359" spans="1:9" x14ac:dyDescent="0.25">
      <c r="A2359" t="s">
        <v>264</v>
      </c>
      <c r="B2359" t="s">
        <v>100</v>
      </c>
      <c r="C2359" t="s">
        <v>774</v>
      </c>
      <c r="D2359" s="1">
        <v>45273</v>
      </c>
      <c r="E2359" t="s">
        <v>304</v>
      </c>
      <c r="F2359">
        <v>-178.03</v>
      </c>
      <c r="G2359" t="s">
        <v>70</v>
      </c>
      <c r="H2359" t="s">
        <v>264</v>
      </c>
      <c r="I2359" t="s">
        <v>72</v>
      </c>
    </row>
    <row r="2360" spans="1:9" x14ac:dyDescent="0.25">
      <c r="A2360" t="s">
        <v>264</v>
      </c>
      <c r="B2360" t="s">
        <v>100</v>
      </c>
      <c r="C2360" t="s">
        <v>774</v>
      </c>
      <c r="D2360" s="1">
        <v>45273</v>
      </c>
      <c r="E2360" t="s">
        <v>322</v>
      </c>
      <c r="F2360">
        <v>-571.66999999999996</v>
      </c>
      <c r="G2360" t="s">
        <v>70</v>
      </c>
      <c r="H2360" t="s">
        <v>264</v>
      </c>
      <c r="I2360" t="s">
        <v>72</v>
      </c>
    </row>
    <row r="2361" spans="1:9" x14ac:dyDescent="0.25">
      <c r="A2361" t="s">
        <v>264</v>
      </c>
      <c r="B2361" t="s">
        <v>100</v>
      </c>
      <c r="C2361" t="s">
        <v>774</v>
      </c>
      <c r="D2361" s="1">
        <v>45274</v>
      </c>
      <c r="E2361" t="s">
        <v>304</v>
      </c>
      <c r="F2361">
        <v>-58.75</v>
      </c>
      <c r="G2361" t="s">
        <v>70</v>
      </c>
      <c r="H2361" t="s">
        <v>264</v>
      </c>
      <c r="I2361" t="s">
        <v>72</v>
      </c>
    </row>
    <row r="2362" spans="1:9" x14ac:dyDescent="0.25">
      <c r="A2362" t="s">
        <v>264</v>
      </c>
      <c r="B2362" t="s">
        <v>100</v>
      </c>
      <c r="C2362" t="s">
        <v>774</v>
      </c>
      <c r="D2362" s="1">
        <v>45275</v>
      </c>
      <c r="E2362" t="s">
        <v>304</v>
      </c>
      <c r="F2362">
        <v>-12.46</v>
      </c>
      <c r="G2362" t="s">
        <v>70</v>
      </c>
      <c r="H2362" t="s">
        <v>264</v>
      </c>
      <c r="I2362" t="s">
        <v>72</v>
      </c>
    </row>
    <row r="2363" spans="1:9" x14ac:dyDescent="0.25">
      <c r="A2363" t="s">
        <v>264</v>
      </c>
      <c r="B2363" t="s">
        <v>100</v>
      </c>
      <c r="C2363" t="s">
        <v>774</v>
      </c>
      <c r="D2363" s="1">
        <v>45275</v>
      </c>
      <c r="E2363" t="s">
        <v>304</v>
      </c>
      <c r="F2363">
        <v>-10.14</v>
      </c>
      <c r="G2363" t="s">
        <v>70</v>
      </c>
      <c r="H2363" t="s">
        <v>264</v>
      </c>
      <c r="I2363" t="s">
        <v>72</v>
      </c>
    </row>
    <row r="2364" spans="1:9" x14ac:dyDescent="0.25">
      <c r="A2364" t="s">
        <v>264</v>
      </c>
      <c r="B2364" t="s">
        <v>100</v>
      </c>
      <c r="C2364" t="s">
        <v>774</v>
      </c>
      <c r="D2364" s="1">
        <v>45275</v>
      </c>
      <c r="E2364" t="s">
        <v>275</v>
      </c>
      <c r="F2364">
        <v>217.76</v>
      </c>
      <c r="G2364" t="s">
        <v>70</v>
      </c>
      <c r="H2364" t="s">
        <v>264</v>
      </c>
      <c r="I2364" t="s">
        <v>72</v>
      </c>
    </row>
    <row r="2365" spans="1:9" x14ac:dyDescent="0.25">
      <c r="A2365" t="s">
        <v>264</v>
      </c>
      <c r="B2365" t="s">
        <v>100</v>
      </c>
      <c r="C2365" t="s">
        <v>774</v>
      </c>
      <c r="D2365" s="1">
        <v>45275</v>
      </c>
      <c r="E2365" t="s">
        <v>269</v>
      </c>
      <c r="F2365">
        <v>-1759.37</v>
      </c>
      <c r="G2365" t="s">
        <v>70</v>
      </c>
      <c r="H2365" t="s">
        <v>264</v>
      </c>
      <c r="I2365" t="s">
        <v>72</v>
      </c>
    </row>
    <row r="2366" spans="1:9" x14ac:dyDescent="0.25">
      <c r="A2366" t="s">
        <v>264</v>
      </c>
      <c r="B2366" t="s">
        <v>100</v>
      </c>
      <c r="C2366" t="s">
        <v>774</v>
      </c>
      <c r="D2366" s="1">
        <v>45275</v>
      </c>
      <c r="E2366" t="s">
        <v>325</v>
      </c>
      <c r="F2366">
        <v>-17.75</v>
      </c>
      <c r="G2366" t="s">
        <v>212</v>
      </c>
      <c r="H2366" t="s">
        <v>212</v>
      </c>
      <c r="I2366" t="s">
        <v>353</v>
      </c>
    </row>
    <row r="2367" spans="1:9" x14ac:dyDescent="0.25">
      <c r="A2367" t="s">
        <v>264</v>
      </c>
      <c r="B2367" t="s">
        <v>100</v>
      </c>
      <c r="C2367" t="s">
        <v>774</v>
      </c>
      <c r="D2367" s="1">
        <v>45275</v>
      </c>
      <c r="E2367" t="s">
        <v>271</v>
      </c>
      <c r="F2367">
        <v>-149.81</v>
      </c>
      <c r="G2367" t="s">
        <v>70</v>
      </c>
      <c r="H2367" t="s">
        <v>264</v>
      </c>
      <c r="I2367" t="s">
        <v>72</v>
      </c>
    </row>
    <row r="2368" spans="1:9" x14ac:dyDescent="0.25">
      <c r="A2368" t="s">
        <v>264</v>
      </c>
      <c r="B2368" t="s">
        <v>100</v>
      </c>
      <c r="C2368" t="s">
        <v>774</v>
      </c>
      <c r="D2368" s="1">
        <v>45275</v>
      </c>
      <c r="E2368" t="s">
        <v>272</v>
      </c>
      <c r="F2368">
        <v>-888.22</v>
      </c>
      <c r="G2368" t="s">
        <v>70</v>
      </c>
      <c r="H2368" t="s">
        <v>264</v>
      </c>
      <c r="I2368" t="s">
        <v>72</v>
      </c>
    </row>
    <row r="2369" spans="1:9" x14ac:dyDescent="0.25">
      <c r="A2369" t="s">
        <v>264</v>
      </c>
      <c r="B2369" t="s">
        <v>100</v>
      </c>
      <c r="C2369" t="s">
        <v>774</v>
      </c>
      <c r="D2369" s="1">
        <v>45275</v>
      </c>
      <c r="E2369" t="s">
        <v>273</v>
      </c>
      <c r="F2369">
        <v>-262.42</v>
      </c>
      <c r="G2369" t="s">
        <v>70</v>
      </c>
      <c r="H2369" t="s">
        <v>264</v>
      </c>
      <c r="I2369" t="s">
        <v>72</v>
      </c>
    </row>
    <row r="2370" spans="1:9" x14ac:dyDescent="0.25">
      <c r="A2370" t="s">
        <v>264</v>
      </c>
      <c r="B2370" t="s">
        <v>100</v>
      </c>
      <c r="C2370" t="s">
        <v>774</v>
      </c>
      <c r="D2370" s="1">
        <v>45276</v>
      </c>
      <c r="E2370" t="s">
        <v>269</v>
      </c>
      <c r="F2370">
        <v>-13.37</v>
      </c>
      <c r="G2370" t="s">
        <v>70</v>
      </c>
      <c r="H2370" t="s">
        <v>264</v>
      </c>
      <c r="I2370" t="s">
        <v>72</v>
      </c>
    </row>
    <row r="2371" spans="1:9" x14ac:dyDescent="0.25">
      <c r="A2371" t="s">
        <v>264</v>
      </c>
      <c r="B2371" t="s">
        <v>100</v>
      </c>
      <c r="C2371" t="s">
        <v>774</v>
      </c>
      <c r="D2371" s="1">
        <v>45276</v>
      </c>
      <c r="E2371" t="s">
        <v>304</v>
      </c>
      <c r="F2371">
        <v>-1.57</v>
      </c>
      <c r="G2371" t="s">
        <v>70</v>
      </c>
      <c r="H2371" t="s">
        <v>264</v>
      </c>
      <c r="I2371" t="s">
        <v>72</v>
      </c>
    </row>
    <row r="2372" spans="1:9" x14ac:dyDescent="0.25">
      <c r="A2372" t="s">
        <v>264</v>
      </c>
      <c r="B2372" t="s">
        <v>100</v>
      </c>
      <c r="C2372" t="s">
        <v>774</v>
      </c>
      <c r="D2372" s="1">
        <v>45276</v>
      </c>
      <c r="E2372" t="s">
        <v>304</v>
      </c>
      <c r="F2372">
        <v>-59.43</v>
      </c>
      <c r="G2372" t="s">
        <v>70</v>
      </c>
      <c r="H2372" t="s">
        <v>264</v>
      </c>
      <c r="I2372" t="s">
        <v>72</v>
      </c>
    </row>
    <row r="2373" spans="1:9" x14ac:dyDescent="0.25">
      <c r="A2373" t="s">
        <v>264</v>
      </c>
      <c r="B2373" t="s">
        <v>100</v>
      </c>
      <c r="C2373" t="s">
        <v>774</v>
      </c>
      <c r="D2373" s="1">
        <v>45276</v>
      </c>
      <c r="E2373" t="s">
        <v>304</v>
      </c>
      <c r="F2373">
        <v>-4.3600000000000003</v>
      </c>
      <c r="G2373" t="s">
        <v>70</v>
      </c>
      <c r="H2373" t="s">
        <v>264</v>
      </c>
      <c r="I2373" t="s">
        <v>72</v>
      </c>
    </row>
    <row r="2374" spans="1:9" x14ac:dyDescent="0.25">
      <c r="A2374" t="s">
        <v>264</v>
      </c>
      <c r="B2374" t="s">
        <v>100</v>
      </c>
      <c r="C2374" t="s">
        <v>774</v>
      </c>
      <c r="D2374" s="1">
        <v>45276</v>
      </c>
      <c r="E2374" t="s">
        <v>304</v>
      </c>
      <c r="F2374">
        <v>-0.3</v>
      </c>
      <c r="G2374" t="s">
        <v>70</v>
      </c>
      <c r="H2374" t="s">
        <v>264</v>
      </c>
      <c r="I2374" t="s">
        <v>72</v>
      </c>
    </row>
    <row r="2375" spans="1:9" x14ac:dyDescent="0.25">
      <c r="A2375" t="s">
        <v>264</v>
      </c>
      <c r="B2375" t="s">
        <v>100</v>
      </c>
      <c r="C2375" t="s">
        <v>774</v>
      </c>
      <c r="D2375" s="1">
        <v>45278</v>
      </c>
      <c r="E2375" t="s">
        <v>304</v>
      </c>
      <c r="F2375">
        <v>-9.4600000000000009</v>
      </c>
      <c r="G2375" t="s">
        <v>70</v>
      </c>
      <c r="H2375" t="s">
        <v>264</v>
      </c>
      <c r="I2375" t="s">
        <v>72</v>
      </c>
    </row>
    <row r="2376" spans="1:9" x14ac:dyDescent="0.25">
      <c r="A2376" t="s">
        <v>264</v>
      </c>
      <c r="B2376" t="s">
        <v>100</v>
      </c>
      <c r="C2376" t="s">
        <v>774</v>
      </c>
      <c r="D2376" s="1">
        <v>45279</v>
      </c>
      <c r="E2376" t="s">
        <v>304</v>
      </c>
      <c r="F2376">
        <v>-17.43</v>
      </c>
      <c r="G2376" t="s">
        <v>70</v>
      </c>
      <c r="H2376" t="s">
        <v>264</v>
      </c>
      <c r="I2376" t="s">
        <v>72</v>
      </c>
    </row>
    <row r="2377" spans="1:9" x14ac:dyDescent="0.25">
      <c r="A2377" t="s">
        <v>264</v>
      </c>
      <c r="B2377" t="s">
        <v>100</v>
      </c>
      <c r="C2377" t="s">
        <v>774</v>
      </c>
      <c r="D2377" s="1">
        <v>45280</v>
      </c>
      <c r="E2377" t="s">
        <v>268</v>
      </c>
      <c r="F2377">
        <v>37.67</v>
      </c>
      <c r="G2377" t="s">
        <v>70</v>
      </c>
      <c r="H2377" t="s">
        <v>264</v>
      </c>
      <c r="I2377" t="s">
        <v>72</v>
      </c>
    </row>
    <row r="2378" spans="1:9" x14ac:dyDescent="0.25">
      <c r="A2378" t="s">
        <v>264</v>
      </c>
      <c r="B2378" t="s">
        <v>100</v>
      </c>
      <c r="C2378" t="s">
        <v>774</v>
      </c>
      <c r="D2378" s="1">
        <v>45280</v>
      </c>
      <c r="E2378" t="s">
        <v>274</v>
      </c>
      <c r="F2378">
        <v>2185.4</v>
      </c>
      <c r="G2378" t="s">
        <v>74</v>
      </c>
      <c r="H2378" t="s">
        <v>256</v>
      </c>
      <c r="I2378" t="s">
        <v>346</v>
      </c>
    </row>
    <row r="2379" spans="1:9" x14ac:dyDescent="0.25">
      <c r="A2379" t="s">
        <v>264</v>
      </c>
      <c r="B2379" t="s">
        <v>100</v>
      </c>
      <c r="C2379" t="s">
        <v>774</v>
      </c>
      <c r="D2379" s="1">
        <v>45280</v>
      </c>
      <c r="E2379" t="s">
        <v>269</v>
      </c>
      <c r="F2379">
        <v>-615.07000000000005</v>
      </c>
      <c r="G2379" t="s">
        <v>70</v>
      </c>
      <c r="H2379" t="s">
        <v>264</v>
      </c>
      <c r="I2379" t="s">
        <v>72</v>
      </c>
    </row>
    <row r="2380" spans="1:9" x14ac:dyDescent="0.25">
      <c r="A2380" t="s">
        <v>264</v>
      </c>
      <c r="B2380" t="s">
        <v>100</v>
      </c>
      <c r="C2380" t="s">
        <v>774</v>
      </c>
      <c r="D2380" s="1">
        <v>45280</v>
      </c>
      <c r="E2380" t="s">
        <v>275</v>
      </c>
      <c r="F2380">
        <v>912.94</v>
      </c>
      <c r="G2380" t="s">
        <v>70</v>
      </c>
      <c r="H2380" t="s">
        <v>264</v>
      </c>
      <c r="I2380" t="s">
        <v>72</v>
      </c>
    </row>
    <row r="2381" spans="1:9" x14ac:dyDescent="0.25">
      <c r="A2381" t="s">
        <v>264</v>
      </c>
      <c r="B2381" t="s">
        <v>100</v>
      </c>
      <c r="C2381" t="s">
        <v>774</v>
      </c>
      <c r="D2381" s="1">
        <v>45280</v>
      </c>
      <c r="E2381" t="s">
        <v>268</v>
      </c>
      <c r="F2381">
        <v>1497.21</v>
      </c>
      <c r="G2381" t="s">
        <v>70</v>
      </c>
      <c r="H2381" t="s">
        <v>264</v>
      </c>
      <c r="I2381" t="s">
        <v>72</v>
      </c>
    </row>
    <row r="2382" spans="1:9" x14ac:dyDescent="0.25">
      <c r="A2382" t="s">
        <v>264</v>
      </c>
      <c r="B2382" t="s">
        <v>100</v>
      </c>
      <c r="C2382" t="s">
        <v>774</v>
      </c>
      <c r="D2382" s="1">
        <v>45280</v>
      </c>
      <c r="E2382" t="s">
        <v>304</v>
      </c>
      <c r="F2382">
        <v>-200.93</v>
      </c>
      <c r="G2382" t="s">
        <v>70</v>
      </c>
      <c r="H2382" t="s">
        <v>264</v>
      </c>
      <c r="I2382" t="s">
        <v>72</v>
      </c>
    </row>
    <row r="2383" spans="1:9" x14ac:dyDescent="0.25">
      <c r="A2383" t="s">
        <v>264</v>
      </c>
      <c r="B2383" t="s">
        <v>100</v>
      </c>
      <c r="C2383" t="s">
        <v>774</v>
      </c>
      <c r="D2383" s="1">
        <v>45280</v>
      </c>
      <c r="E2383" t="s">
        <v>269</v>
      </c>
      <c r="F2383">
        <v>-418.97</v>
      </c>
      <c r="G2383" t="s">
        <v>70</v>
      </c>
      <c r="H2383" t="s">
        <v>264</v>
      </c>
      <c r="I2383" t="s">
        <v>72</v>
      </c>
    </row>
    <row r="2384" spans="1:9" x14ac:dyDescent="0.25">
      <c r="A2384" t="s">
        <v>264</v>
      </c>
      <c r="B2384" t="s">
        <v>100</v>
      </c>
      <c r="C2384" t="s">
        <v>774</v>
      </c>
      <c r="D2384" s="1">
        <v>45280</v>
      </c>
      <c r="E2384" t="s">
        <v>322</v>
      </c>
      <c r="F2384">
        <v>-1171.55</v>
      </c>
      <c r="G2384" t="s">
        <v>70</v>
      </c>
      <c r="H2384" t="s">
        <v>264</v>
      </c>
      <c r="I2384" t="s">
        <v>72</v>
      </c>
    </row>
    <row r="2385" spans="1:9" x14ac:dyDescent="0.25">
      <c r="A2385" t="s">
        <v>264</v>
      </c>
      <c r="B2385" t="s">
        <v>100</v>
      </c>
      <c r="C2385" t="s">
        <v>774</v>
      </c>
      <c r="D2385" s="1">
        <v>45280</v>
      </c>
      <c r="E2385" t="s">
        <v>304</v>
      </c>
      <c r="F2385">
        <v>-35.619999999999997</v>
      </c>
      <c r="G2385" t="s">
        <v>70</v>
      </c>
      <c r="H2385" t="s">
        <v>264</v>
      </c>
      <c r="I2385" t="s">
        <v>72</v>
      </c>
    </row>
    <row r="2386" spans="1:9" x14ac:dyDescent="0.25">
      <c r="A2386" t="s">
        <v>264</v>
      </c>
      <c r="B2386" t="s">
        <v>100</v>
      </c>
      <c r="C2386" t="s">
        <v>774</v>
      </c>
      <c r="D2386" s="1">
        <v>45282</v>
      </c>
      <c r="E2386" t="s">
        <v>304</v>
      </c>
      <c r="F2386">
        <v>-13.13</v>
      </c>
      <c r="G2386" t="s">
        <v>70</v>
      </c>
      <c r="H2386" t="s">
        <v>264</v>
      </c>
      <c r="I2386" t="s">
        <v>72</v>
      </c>
    </row>
    <row r="2387" spans="1:9" x14ac:dyDescent="0.25">
      <c r="A2387" t="s">
        <v>264</v>
      </c>
      <c r="B2387" t="s">
        <v>100</v>
      </c>
      <c r="C2387" t="s">
        <v>774</v>
      </c>
      <c r="D2387" s="1">
        <v>45283</v>
      </c>
      <c r="E2387" t="s">
        <v>267</v>
      </c>
      <c r="F2387">
        <v>35.880000000000003</v>
      </c>
      <c r="G2387" t="s">
        <v>70</v>
      </c>
      <c r="H2387" t="s">
        <v>264</v>
      </c>
      <c r="I2387" t="s">
        <v>72</v>
      </c>
    </row>
    <row r="2388" spans="1:9" x14ac:dyDescent="0.25">
      <c r="A2388" t="s">
        <v>264</v>
      </c>
      <c r="B2388" t="s">
        <v>100</v>
      </c>
      <c r="C2388" t="s">
        <v>774</v>
      </c>
      <c r="D2388" s="1">
        <v>45283</v>
      </c>
      <c r="E2388" t="s">
        <v>304</v>
      </c>
      <c r="F2388">
        <v>-53.67</v>
      </c>
      <c r="G2388" t="s">
        <v>70</v>
      </c>
      <c r="H2388" t="s">
        <v>264</v>
      </c>
      <c r="I2388" t="s">
        <v>72</v>
      </c>
    </row>
    <row r="2389" spans="1:9" x14ac:dyDescent="0.25">
      <c r="A2389" t="s">
        <v>264</v>
      </c>
      <c r="B2389" t="s">
        <v>100</v>
      </c>
      <c r="C2389" t="s">
        <v>774</v>
      </c>
      <c r="D2389" s="1">
        <v>45283</v>
      </c>
      <c r="E2389" t="s">
        <v>326</v>
      </c>
      <c r="F2389">
        <v>0</v>
      </c>
      <c r="G2389" t="s">
        <v>84</v>
      </c>
      <c r="H2389" t="s">
        <v>85</v>
      </c>
      <c r="I2389" t="s">
        <v>86</v>
      </c>
    </row>
    <row r="2390" spans="1:9" x14ac:dyDescent="0.25">
      <c r="A2390" t="s">
        <v>264</v>
      </c>
      <c r="B2390" t="s">
        <v>100</v>
      </c>
      <c r="C2390" t="s">
        <v>774</v>
      </c>
      <c r="D2390" s="1">
        <v>45283</v>
      </c>
      <c r="E2390" t="s">
        <v>327</v>
      </c>
      <c r="F2390">
        <v>0</v>
      </c>
      <c r="G2390" t="s">
        <v>347</v>
      </c>
      <c r="H2390" t="s">
        <v>348</v>
      </c>
      <c r="I2390" t="s">
        <v>348</v>
      </c>
    </row>
    <row r="2391" spans="1:9" x14ac:dyDescent="0.25">
      <c r="A2391" t="s">
        <v>264</v>
      </c>
      <c r="B2391" t="s">
        <v>100</v>
      </c>
      <c r="C2391" t="s">
        <v>774</v>
      </c>
      <c r="D2391" s="1">
        <v>45287</v>
      </c>
      <c r="E2391" t="s">
        <v>304</v>
      </c>
      <c r="F2391">
        <v>-1.34</v>
      </c>
      <c r="G2391" t="s">
        <v>70</v>
      </c>
      <c r="H2391" t="s">
        <v>264</v>
      </c>
      <c r="I2391" t="s">
        <v>72</v>
      </c>
    </row>
    <row r="2392" spans="1:9" x14ac:dyDescent="0.25">
      <c r="A2392" t="s">
        <v>264</v>
      </c>
      <c r="B2392" t="s">
        <v>100</v>
      </c>
      <c r="C2392" t="s">
        <v>774</v>
      </c>
      <c r="D2392" s="1">
        <v>45287</v>
      </c>
      <c r="E2392" t="s">
        <v>267</v>
      </c>
      <c r="F2392">
        <v>5831.67</v>
      </c>
      <c r="G2392" t="s">
        <v>70</v>
      </c>
      <c r="H2392" t="s">
        <v>264</v>
      </c>
      <c r="I2392" t="s">
        <v>72</v>
      </c>
    </row>
    <row r="2393" spans="1:9" x14ac:dyDescent="0.25">
      <c r="A2393" t="s">
        <v>264</v>
      </c>
      <c r="B2393" t="s">
        <v>100</v>
      </c>
      <c r="C2393" t="s">
        <v>774</v>
      </c>
      <c r="D2393" s="1">
        <v>45287</v>
      </c>
      <c r="E2393" t="s">
        <v>322</v>
      </c>
      <c r="F2393">
        <v>-674.3</v>
      </c>
      <c r="G2393" t="s">
        <v>70</v>
      </c>
      <c r="H2393" t="s">
        <v>264</v>
      </c>
      <c r="I2393" t="s">
        <v>72</v>
      </c>
    </row>
    <row r="2394" spans="1:9" x14ac:dyDescent="0.25">
      <c r="A2394" t="s">
        <v>264</v>
      </c>
      <c r="B2394" t="s">
        <v>100</v>
      </c>
      <c r="C2394" t="s">
        <v>774</v>
      </c>
      <c r="D2394" s="1">
        <v>45288</v>
      </c>
      <c r="E2394" t="s">
        <v>304</v>
      </c>
      <c r="F2394">
        <v>-0.27</v>
      </c>
      <c r="G2394" t="s">
        <v>70</v>
      </c>
      <c r="H2394" t="s">
        <v>264</v>
      </c>
      <c r="I2394" t="s">
        <v>72</v>
      </c>
    </row>
    <row r="2395" spans="1:9" x14ac:dyDescent="0.25">
      <c r="A2395" t="s">
        <v>264</v>
      </c>
      <c r="B2395" t="s">
        <v>100</v>
      </c>
      <c r="C2395" t="s">
        <v>774</v>
      </c>
      <c r="D2395" s="1">
        <v>45289</v>
      </c>
      <c r="E2395" t="s">
        <v>271</v>
      </c>
      <c r="F2395">
        <v>-1776.9</v>
      </c>
      <c r="G2395" t="s">
        <v>70</v>
      </c>
      <c r="H2395" t="s">
        <v>264</v>
      </c>
      <c r="I2395" t="s">
        <v>72</v>
      </c>
    </row>
    <row r="2396" spans="1:9" x14ac:dyDescent="0.25">
      <c r="A2396" t="s">
        <v>264</v>
      </c>
      <c r="B2396" t="s">
        <v>100</v>
      </c>
      <c r="C2396" t="s">
        <v>774</v>
      </c>
      <c r="D2396" s="1">
        <v>45289</v>
      </c>
      <c r="E2396" t="s">
        <v>272</v>
      </c>
      <c r="F2396">
        <v>-72.41</v>
      </c>
      <c r="G2396" t="s">
        <v>70</v>
      </c>
      <c r="H2396" t="s">
        <v>264</v>
      </c>
      <c r="I2396" t="s">
        <v>72</v>
      </c>
    </row>
    <row r="2397" spans="1:9" x14ac:dyDescent="0.25">
      <c r="A2397" t="s">
        <v>264</v>
      </c>
      <c r="B2397" t="s">
        <v>100</v>
      </c>
      <c r="C2397" t="s">
        <v>774</v>
      </c>
      <c r="D2397" s="1">
        <v>45289</v>
      </c>
      <c r="E2397" t="s">
        <v>273</v>
      </c>
      <c r="F2397">
        <v>-140.91999999999999</v>
      </c>
      <c r="G2397" t="s">
        <v>70</v>
      </c>
      <c r="H2397" t="s">
        <v>264</v>
      </c>
      <c r="I2397" t="s">
        <v>72</v>
      </c>
    </row>
    <row r="2398" spans="1:9" x14ac:dyDescent="0.25">
      <c r="A2398" t="s">
        <v>264</v>
      </c>
      <c r="B2398" t="s">
        <v>100</v>
      </c>
      <c r="C2398" t="s">
        <v>774</v>
      </c>
      <c r="D2398" s="1">
        <v>45290</v>
      </c>
      <c r="E2398" t="s">
        <v>275</v>
      </c>
      <c r="F2398">
        <v>1445.2</v>
      </c>
      <c r="G2398" t="s">
        <v>70</v>
      </c>
      <c r="H2398" t="s">
        <v>264</v>
      </c>
      <c r="I2398" t="s">
        <v>72</v>
      </c>
    </row>
    <row r="2399" spans="1:9" x14ac:dyDescent="0.25">
      <c r="A2399" t="s">
        <v>264</v>
      </c>
      <c r="B2399" t="s">
        <v>100</v>
      </c>
      <c r="C2399" t="s">
        <v>774</v>
      </c>
      <c r="D2399" s="1">
        <v>45290</v>
      </c>
      <c r="E2399" t="s">
        <v>269</v>
      </c>
      <c r="F2399">
        <v>-1572.87</v>
      </c>
      <c r="G2399" t="s">
        <v>70</v>
      </c>
      <c r="H2399" t="s">
        <v>264</v>
      </c>
      <c r="I2399" t="s">
        <v>72</v>
      </c>
    </row>
    <row r="2400" spans="1:9" x14ac:dyDescent="0.25">
      <c r="A2400" t="s">
        <v>264</v>
      </c>
      <c r="B2400" t="s">
        <v>100</v>
      </c>
      <c r="C2400" t="s">
        <v>774</v>
      </c>
      <c r="D2400" s="1">
        <v>45291</v>
      </c>
      <c r="E2400" t="s">
        <v>304</v>
      </c>
      <c r="F2400">
        <v>-76.64</v>
      </c>
      <c r="G2400" t="s">
        <v>70</v>
      </c>
      <c r="H2400" t="s">
        <v>264</v>
      </c>
      <c r="I2400" t="s">
        <v>72</v>
      </c>
    </row>
    <row r="2401" spans="1:9" x14ac:dyDescent="0.25">
      <c r="A2401" t="s">
        <v>264</v>
      </c>
      <c r="B2401" t="s">
        <v>100</v>
      </c>
      <c r="C2401" t="s">
        <v>774</v>
      </c>
      <c r="D2401" s="1">
        <v>45291</v>
      </c>
      <c r="E2401" t="s">
        <v>275</v>
      </c>
      <c r="F2401">
        <v>25.15</v>
      </c>
      <c r="G2401" t="s">
        <v>70</v>
      </c>
      <c r="H2401" t="s">
        <v>264</v>
      </c>
      <c r="I2401" t="s">
        <v>72</v>
      </c>
    </row>
    <row r="2402" spans="1:9" x14ac:dyDescent="0.25">
      <c r="A2402" t="s">
        <v>264</v>
      </c>
      <c r="B2402" t="s">
        <v>100</v>
      </c>
      <c r="C2402" t="s">
        <v>774</v>
      </c>
      <c r="D2402" s="1">
        <v>45291</v>
      </c>
      <c r="E2402" t="s">
        <v>304</v>
      </c>
      <c r="F2402">
        <v>-0.81</v>
      </c>
      <c r="G2402" t="s">
        <v>70</v>
      </c>
      <c r="H2402" t="s">
        <v>264</v>
      </c>
      <c r="I2402" t="s">
        <v>72</v>
      </c>
    </row>
    <row r="2403" spans="1:9" x14ac:dyDescent="0.25">
      <c r="A2403" t="s">
        <v>264</v>
      </c>
      <c r="B2403" t="s">
        <v>100</v>
      </c>
      <c r="C2403" t="s">
        <v>774</v>
      </c>
      <c r="D2403" s="1">
        <v>45292</v>
      </c>
      <c r="E2403" t="s">
        <v>267</v>
      </c>
      <c r="F2403">
        <v>84.74</v>
      </c>
      <c r="G2403" t="s">
        <v>70</v>
      </c>
      <c r="H2403" t="s">
        <v>264</v>
      </c>
      <c r="I2403" t="s">
        <v>72</v>
      </c>
    </row>
    <row r="2404" spans="1:9" x14ac:dyDescent="0.25">
      <c r="A2404" t="s">
        <v>264</v>
      </c>
      <c r="B2404" t="s">
        <v>100</v>
      </c>
      <c r="C2404" t="s">
        <v>774</v>
      </c>
      <c r="D2404" s="1">
        <v>45292</v>
      </c>
      <c r="E2404" t="s">
        <v>304</v>
      </c>
      <c r="F2404">
        <v>-33.08</v>
      </c>
      <c r="G2404" t="s">
        <v>70</v>
      </c>
      <c r="H2404" t="s">
        <v>264</v>
      </c>
      <c r="I2404" t="s">
        <v>72</v>
      </c>
    </row>
    <row r="2405" spans="1:9" x14ac:dyDescent="0.25">
      <c r="A2405" t="s">
        <v>264</v>
      </c>
      <c r="B2405" t="s">
        <v>100</v>
      </c>
      <c r="C2405" t="s">
        <v>774</v>
      </c>
      <c r="D2405" s="1">
        <v>45294</v>
      </c>
      <c r="E2405" t="s">
        <v>267</v>
      </c>
      <c r="F2405">
        <v>130.91</v>
      </c>
      <c r="G2405" t="s">
        <v>70</v>
      </c>
      <c r="H2405" t="s">
        <v>264</v>
      </c>
      <c r="I2405" t="s">
        <v>72</v>
      </c>
    </row>
    <row r="2406" spans="1:9" x14ac:dyDescent="0.25">
      <c r="A2406" t="s">
        <v>264</v>
      </c>
      <c r="B2406" t="s">
        <v>100</v>
      </c>
      <c r="C2406" t="s">
        <v>774</v>
      </c>
      <c r="D2406" s="1">
        <v>45294</v>
      </c>
      <c r="E2406" t="s">
        <v>304</v>
      </c>
      <c r="F2406">
        <v>-25.91</v>
      </c>
      <c r="G2406" t="s">
        <v>70</v>
      </c>
      <c r="H2406" t="s">
        <v>264</v>
      </c>
      <c r="I2406" t="s">
        <v>72</v>
      </c>
    </row>
    <row r="2407" spans="1:9" x14ac:dyDescent="0.25">
      <c r="A2407" t="s">
        <v>264</v>
      </c>
      <c r="B2407" t="s">
        <v>100</v>
      </c>
      <c r="C2407" t="s">
        <v>774</v>
      </c>
      <c r="D2407" s="1">
        <v>45294</v>
      </c>
      <c r="E2407" t="s">
        <v>274</v>
      </c>
      <c r="F2407">
        <v>4571.37</v>
      </c>
      <c r="G2407" t="s">
        <v>74</v>
      </c>
      <c r="H2407" t="s">
        <v>256</v>
      </c>
      <c r="I2407" t="s">
        <v>346</v>
      </c>
    </row>
    <row r="2408" spans="1:9" x14ac:dyDescent="0.25">
      <c r="A2408" t="s">
        <v>264</v>
      </c>
      <c r="B2408" t="s">
        <v>100</v>
      </c>
      <c r="C2408" t="s">
        <v>774</v>
      </c>
      <c r="D2408" s="1">
        <v>45294</v>
      </c>
      <c r="E2408" t="s">
        <v>322</v>
      </c>
      <c r="F2408">
        <v>-520.58000000000004</v>
      </c>
      <c r="G2408" t="s">
        <v>70</v>
      </c>
      <c r="H2408" t="s">
        <v>264</v>
      </c>
      <c r="I2408" t="s">
        <v>72</v>
      </c>
    </row>
    <row r="2409" spans="1:9" x14ac:dyDescent="0.25">
      <c r="A2409" t="s">
        <v>264</v>
      </c>
      <c r="B2409" t="s">
        <v>100</v>
      </c>
      <c r="C2409" t="s">
        <v>774</v>
      </c>
      <c r="D2409" s="1">
        <v>45294</v>
      </c>
      <c r="E2409" t="s">
        <v>269</v>
      </c>
      <c r="F2409">
        <v>-3258.38</v>
      </c>
      <c r="G2409" t="s">
        <v>70</v>
      </c>
      <c r="H2409" t="s">
        <v>264</v>
      </c>
      <c r="I2409" t="s">
        <v>72</v>
      </c>
    </row>
    <row r="2410" spans="1:9" x14ac:dyDescent="0.25">
      <c r="A2410" t="s">
        <v>264</v>
      </c>
      <c r="B2410" t="s">
        <v>100</v>
      </c>
      <c r="C2410" t="s">
        <v>774</v>
      </c>
      <c r="D2410" s="1">
        <v>45294</v>
      </c>
      <c r="E2410" t="s">
        <v>275</v>
      </c>
      <c r="F2410">
        <v>193.24</v>
      </c>
      <c r="G2410" t="s">
        <v>70</v>
      </c>
      <c r="H2410" t="s">
        <v>264</v>
      </c>
      <c r="I2410" t="s">
        <v>72</v>
      </c>
    </row>
    <row r="2411" spans="1:9" x14ac:dyDescent="0.25">
      <c r="A2411" t="s">
        <v>264</v>
      </c>
      <c r="B2411" t="s">
        <v>100</v>
      </c>
      <c r="C2411" t="s">
        <v>774</v>
      </c>
      <c r="D2411" s="1">
        <v>45294</v>
      </c>
      <c r="E2411" t="s">
        <v>269</v>
      </c>
      <c r="F2411">
        <v>-847.85</v>
      </c>
      <c r="G2411" t="s">
        <v>70</v>
      </c>
      <c r="H2411" t="s">
        <v>264</v>
      </c>
      <c r="I2411" t="s">
        <v>72</v>
      </c>
    </row>
    <row r="2412" spans="1:9" x14ac:dyDescent="0.25">
      <c r="A2412" t="s">
        <v>264</v>
      </c>
      <c r="B2412" t="s">
        <v>100</v>
      </c>
      <c r="C2412" t="s">
        <v>774</v>
      </c>
      <c r="D2412" s="1">
        <v>45295</v>
      </c>
      <c r="E2412" t="s">
        <v>304</v>
      </c>
      <c r="F2412">
        <v>-24.53</v>
      </c>
      <c r="G2412" t="s">
        <v>70</v>
      </c>
      <c r="H2412" t="s">
        <v>264</v>
      </c>
      <c r="I2412" t="s">
        <v>72</v>
      </c>
    </row>
    <row r="2413" spans="1:9" x14ac:dyDescent="0.25">
      <c r="A2413" t="s">
        <v>264</v>
      </c>
      <c r="B2413" t="s">
        <v>100</v>
      </c>
      <c r="C2413" t="s">
        <v>774</v>
      </c>
      <c r="D2413" s="1">
        <v>45295</v>
      </c>
      <c r="E2413" t="s">
        <v>268</v>
      </c>
      <c r="F2413">
        <v>338.81</v>
      </c>
      <c r="G2413" t="s">
        <v>70</v>
      </c>
      <c r="H2413" t="s">
        <v>264</v>
      </c>
      <c r="I2413" t="s">
        <v>72</v>
      </c>
    </row>
    <row r="2414" spans="1:9" x14ac:dyDescent="0.25">
      <c r="A2414" t="s">
        <v>264</v>
      </c>
      <c r="B2414" t="s">
        <v>100</v>
      </c>
      <c r="C2414" t="s">
        <v>774</v>
      </c>
      <c r="D2414" s="1">
        <v>45296</v>
      </c>
      <c r="E2414" t="s">
        <v>269</v>
      </c>
      <c r="F2414">
        <v>-1254.58</v>
      </c>
      <c r="G2414" t="s">
        <v>70</v>
      </c>
      <c r="H2414" t="s">
        <v>264</v>
      </c>
      <c r="I2414" t="s">
        <v>72</v>
      </c>
    </row>
    <row r="2415" spans="1:9" x14ac:dyDescent="0.25">
      <c r="A2415" t="s">
        <v>264</v>
      </c>
      <c r="B2415" t="s">
        <v>100</v>
      </c>
      <c r="C2415" t="s">
        <v>774</v>
      </c>
      <c r="D2415" s="1">
        <v>45296</v>
      </c>
      <c r="E2415" t="s">
        <v>304</v>
      </c>
      <c r="F2415">
        <v>-13.06</v>
      </c>
      <c r="G2415" t="s">
        <v>70</v>
      </c>
      <c r="H2415" t="s">
        <v>264</v>
      </c>
      <c r="I2415" t="s">
        <v>72</v>
      </c>
    </row>
    <row r="2416" spans="1:9" x14ac:dyDescent="0.25">
      <c r="A2416" t="s">
        <v>264</v>
      </c>
      <c r="B2416" t="s">
        <v>100</v>
      </c>
      <c r="C2416" t="s">
        <v>774</v>
      </c>
      <c r="D2416" s="1">
        <v>45296</v>
      </c>
      <c r="E2416" t="s">
        <v>304</v>
      </c>
      <c r="F2416">
        <v>-1.61</v>
      </c>
      <c r="G2416" t="s">
        <v>70</v>
      </c>
      <c r="H2416" t="s">
        <v>264</v>
      </c>
      <c r="I2416" t="s">
        <v>72</v>
      </c>
    </row>
    <row r="2417" spans="1:9" x14ac:dyDescent="0.25">
      <c r="A2417" t="s">
        <v>264</v>
      </c>
      <c r="B2417" t="s">
        <v>100</v>
      </c>
      <c r="C2417" t="s">
        <v>774</v>
      </c>
      <c r="D2417" s="1">
        <v>45296</v>
      </c>
      <c r="E2417" t="s">
        <v>304</v>
      </c>
      <c r="F2417">
        <v>-7.0000000000000007E-2</v>
      </c>
      <c r="G2417" t="s">
        <v>70</v>
      </c>
      <c r="H2417" t="s">
        <v>264</v>
      </c>
      <c r="I2417" t="s">
        <v>72</v>
      </c>
    </row>
    <row r="2418" spans="1:9" x14ac:dyDescent="0.25">
      <c r="A2418" t="s">
        <v>264</v>
      </c>
      <c r="B2418" t="s">
        <v>100</v>
      </c>
      <c r="C2418" t="s">
        <v>774</v>
      </c>
      <c r="D2418" s="1">
        <v>45296</v>
      </c>
      <c r="E2418" t="s">
        <v>328</v>
      </c>
      <c r="F2418">
        <v>-21.16</v>
      </c>
      <c r="G2418" t="s">
        <v>347</v>
      </c>
      <c r="H2418" t="s">
        <v>348</v>
      </c>
      <c r="I2418" t="s">
        <v>348</v>
      </c>
    </row>
    <row r="2419" spans="1:9" x14ac:dyDescent="0.25">
      <c r="A2419" t="s">
        <v>264</v>
      </c>
      <c r="B2419" t="s">
        <v>100</v>
      </c>
      <c r="C2419" t="s">
        <v>774</v>
      </c>
      <c r="D2419" s="1">
        <v>45297</v>
      </c>
      <c r="E2419" t="s">
        <v>304</v>
      </c>
      <c r="F2419">
        <v>-161.19999999999999</v>
      </c>
      <c r="G2419" t="s">
        <v>70</v>
      </c>
      <c r="H2419" t="s">
        <v>264</v>
      </c>
      <c r="I2419" t="s">
        <v>72</v>
      </c>
    </row>
    <row r="2420" spans="1:9" x14ac:dyDescent="0.25">
      <c r="A2420" t="s">
        <v>264</v>
      </c>
      <c r="B2420" t="s">
        <v>100</v>
      </c>
      <c r="C2420" t="s">
        <v>774</v>
      </c>
      <c r="D2420" s="1">
        <v>45297</v>
      </c>
      <c r="E2420" t="s">
        <v>268</v>
      </c>
      <c r="F2420">
        <v>42465.36</v>
      </c>
      <c r="G2420" t="s">
        <v>70</v>
      </c>
      <c r="H2420" t="s">
        <v>264</v>
      </c>
      <c r="I2420" t="s">
        <v>72</v>
      </c>
    </row>
    <row r="2421" spans="1:9" x14ac:dyDescent="0.25">
      <c r="A2421" t="s">
        <v>264</v>
      </c>
      <c r="B2421" t="s">
        <v>100</v>
      </c>
      <c r="C2421" t="s">
        <v>774</v>
      </c>
      <c r="D2421" s="1">
        <v>45297</v>
      </c>
      <c r="E2421" t="s">
        <v>269</v>
      </c>
      <c r="F2421">
        <v>-105287.88</v>
      </c>
      <c r="G2421" t="s">
        <v>70</v>
      </c>
      <c r="H2421" t="s">
        <v>264</v>
      </c>
      <c r="I2421" t="s">
        <v>72</v>
      </c>
    </row>
    <row r="2422" spans="1:9" x14ac:dyDescent="0.25">
      <c r="A2422" t="s">
        <v>264</v>
      </c>
      <c r="B2422" t="s">
        <v>100</v>
      </c>
      <c r="C2422" t="s">
        <v>774</v>
      </c>
      <c r="D2422" s="1">
        <v>45297</v>
      </c>
      <c r="E2422" t="s">
        <v>304</v>
      </c>
      <c r="F2422">
        <v>-2.98</v>
      </c>
      <c r="G2422" t="s">
        <v>70</v>
      </c>
      <c r="H2422" t="s">
        <v>264</v>
      </c>
      <c r="I2422" t="s">
        <v>72</v>
      </c>
    </row>
    <row r="2423" spans="1:9" x14ac:dyDescent="0.25">
      <c r="A2423" t="s">
        <v>264</v>
      </c>
      <c r="B2423" t="s">
        <v>100</v>
      </c>
      <c r="C2423" t="s">
        <v>774</v>
      </c>
      <c r="D2423" s="1">
        <v>45298</v>
      </c>
      <c r="E2423" t="s">
        <v>267</v>
      </c>
      <c r="F2423">
        <v>148.33000000000001</v>
      </c>
      <c r="G2423" t="s">
        <v>70</v>
      </c>
      <c r="H2423" t="s">
        <v>264</v>
      </c>
      <c r="I2423" t="s">
        <v>72</v>
      </c>
    </row>
    <row r="2424" spans="1:9" x14ac:dyDescent="0.25">
      <c r="A2424" t="s">
        <v>264</v>
      </c>
      <c r="B2424" t="s">
        <v>100</v>
      </c>
      <c r="C2424" t="s">
        <v>774</v>
      </c>
      <c r="D2424" s="1">
        <v>45298</v>
      </c>
      <c r="E2424" t="s">
        <v>304</v>
      </c>
      <c r="F2424">
        <v>-440.17</v>
      </c>
      <c r="G2424" t="s">
        <v>70</v>
      </c>
      <c r="H2424" t="s">
        <v>264</v>
      </c>
      <c r="I2424" t="s">
        <v>72</v>
      </c>
    </row>
    <row r="2425" spans="1:9" x14ac:dyDescent="0.25">
      <c r="A2425" t="s">
        <v>264</v>
      </c>
      <c r="B2425" t="s">
        <v>100</v>
      </c>
      <c r="C2425" t="s">
        <v>774</v>
      </c>
      <c r="D2425" s="1">
        <v>45298</v>
      </c>
      <c r="E2425" t="s">
        <v>304</v>
      </c>
      <c r="F2425">
        <v>-251.88</v>
      </c>
      <c r="G2425" t="s">
        <v>70</v>
      </c>
      <c r="H2425" t="s">
        <v>264</v>
      </c>
      <c r="I2425" t="s">
        <v>72</v>
      </c>
    </row>
    <row r="2426" spans="1:9" x14ac:dyDescent="0.25">
      <c r="A2426" t="s">
        <v>264</v>
      </c>
      <c r="B2426" t="s">
        <v>100</v>
      </c>
      <c r="C2426" t="s">
        <v>774</v>
      </c>
      <c r="D2426" s="1">
        <v>45298</v>
      </c>
      <c r="E2426" t="s">
        <v>267</v>
      </c>
      <c r="F2426">
        <v>218.07</v>
      </c>
      <c r="G2426" t="s">
        <v>70</v>
      </c>
      <c r="H2426" t="s">
        <v>264</v>
      </c>
      <c r="I2426" t="s">
        <v>72</v>
      </c>
    </row>
    <row r="2427" spans="1:9" x14ac:dyDescent="0.25">
      <c r="A2427" t="s">
        <v>264</v>
      </c>
      <c r="B2427" t="s">
        <v>100</v>
      </c>
      <c r="C2427" t="s">
        <v>774</v>
      </c>
      <c r="D2427" s="1">
        <v>45298</v>
      </c>
      <c r="E2427" t="s">
        <v>304</v>
      </c>
      <c r="F2427">
        <v>-29.5</v>
      </c>
      <c r="G2427" t="s">
        <v>70</v>
      </c>
      <c r="H2427" t="s">
        <v>264</v>
      </c>
      <c r="I2427" t="s">
        <v>72</v>
      </c>
    </row>
    <row r="2428" spans="1:9" x14ac:dyDescent="0.25">
      <c r="A2428" t="s">
        <v>264</v>
      </c>
      <c r="B2428" t="s">
        <v>100</v>
      </c>
      <c r="C2428" t="s">
        <v>774</v>
      </c>
      <c r="D2428" s="1">
        <v>45299</v>
      </c>
      <c r="E2428" t="s">
        <v>304</v>
      </c>
      <c r="F2428">
        <v>-97.67</v>
      </c>
      <c r="G2428" t="s">
        <v>70</v>
      </c>
      <c r="H2428" t="s">
        <v>264</v>
      </c>
      <c r="I2428" t="s">
        <v>72</v>
      </c>
    </row>
    <row r="2429" spans="1:9" x14ac:dyDescent="0.25">
      <c r="A2429" t="s">
        <v>264</v>
      </c>
      <c r="B2429" t="s">
        <v>100</v>
      </c>
      <c r="C2429" t="s">
        <v>774</v>
      </c>
      <c r="D2429" s="1">
        <v>45299</v>
      </c>
      <c r="E2429" t="s">
        <v>304</v>
      </c>
      <c r="F2429">
        <v>-9.7200000000000006</v>
      </c>
      <c r="G2429" t="s">
        <v>70</v>
      </c>
      <c r="H2429" t="s">
        <v>264</v>
      </c>
      <c r="I2429" t="s">
        <v>72</v>
      </c>
    </row>
    <row r="2430" spans="1:9" x14ac:dyDescent="0.25">
      <c r="A2430" t="s">
        <v>264</v>
      </c>
      <c r="B2430" t="s">
        <v>100</v>
      </c>
      <c r="C2430" t="s">
        <v>774</v>
      </c>
      <c r="D2430" s="1">
        <v>45299</v>
      </c>
      <c r="E2430" t="s">
        <v>304</v>
      </c>
      <c r="F2430">
        <v>-5.69</v>
      </c>
      <c r="G2430" t="s">
        <v>70</v>
      </c>
      <c r="H2430" t="s">
        <v>264</v>
      </c>
      <c r="I2430" t="s">
        <v>72</v>
      </c>
    </row>
    <row r="2431" spans="1:9" x14ac:dyDescent="0.25">
      <c r="A2431" t="s">
        <v>264</v>
      </c>
      <c r="B2431" t="s">
        <v>100</v>
      </c>
      <c r="C2431" t="s">
        <v>774</v>
      </c>
      <c r="D2431" s="1">
        <v>45300</v>
      </c>
      <c r="E2431" t="s">
        <v>304</v>
      </c>
      <c r="F2431">
        <v>-207.92</v>
      </c>
      <c r="G2431" t="s">
        <v>70</v>
      </c>
      <c r="H2431" t="s">
        <v>264</v>
      </c>
      <c r="I2431" t="s">
        <v>72</v>
      </c>
    </row>
    <row r="2432" spans="1:9" x14ac:dyDescent="0.25">
      <c r="A2432" t="s">
        <v>264</v>
      </c>
      <c r="B2432" t="s">
        <v>100</v>
      </c>
      <c r="C2432" t="s">
        <v>774</v>
      </c>
      <c r="D2432" s="1">
        <v>45300</v>
      </c>
      <c r="E2432" t="s">
        <v>267</v>
      </c>
      <c r="F2432">
        <v>218.38</v>
      </c>
      <c r="G2432" t="s">
        <v>70</v>
      </c>
      <c r="H2432" t="s">
        <v>264</v>
      </c>
      <c r="I2432" t="s">
        <v>72</v>
      </c>
    </row>
    <row r="2433" spans="1:9" x14ac:dyDescent="0.25">
      <c r="A2433" t="s">
        <v>264</v>
      </c>
      <c r="B2433" t="s">
        <v>100</v>
      </c>
      <c r="C2433" t="s">
        <v>774</v>
      </c>
      <c r="D2433" s="1">
        <v>45300</v>
      </c>
      <c r="E2433" t="s">
        <v>286</v>
      </c>
      <c r="F2433">
        <v>-288</v>
      </c>
      <c r="G2433" t="s">
        <v>70</v>
      </c>
      <c r="H2433" t="s">
        <v>264</v>
      </c>
      <c r="I2433" t="s">
        <v>72</v>
      </c>
    </row>
    <row r="2434" spans="1:9" x14ac:dyDescent="0.25">
      <c r="A2434" t="s">
        <v>264</v>
      </c>
      <c r="B2434" t="s">
        <v>100</v>
      </c>
      <c r="C2434" t="s">
        <v>774</v>
      </c>
      <c r="D2434" s="1">
        <v>45301</v>
      </c>
      <c r="E2434" t="s">
        <v>304</v>
      </c>
      <c r="F2434">
        <v>-1.17</v>
      </c>
      <c r="G2434" t="s">
        <v>70</v>
      </c>
      <c r="H2434" t="s">
        <v>264</v>
      </c>
      <c r="I2434" t="s">
        <v>72</v>
      </c>
    </row>
    <row r="2435" spans="1:9" x14ac:dyDescent="0.25">
      <c r="A2435" t="s">
        <v>264</v>
      </c>
      <c r="B2435" t="s">
        <v>100</v>
      </c>
      <c r="C2435" t="s">
        <v>774</v>
      </c>
      <c r="D2435" s="1">
        <v>45301</v>
      </c>
      <c r="E2435" t="s">
        <v>304</v>
      </c>
      <c r="F2435">
        <v>-17.07</v>
      </c>
      <c r="G2435" t="s">
        <v>70</v>
      </c>
      <c r="H2435" t="s">
        <v>264</v>
      </c>
      <c r="I2435" t="s">
        <v>72</v>
      </c>
    </row>
    <row r="2436" spans="1:9" x14ac:dyDescent="0.25">
      <c r="A2436" t="s">
        <v>264</v>
      </c>
      <c r="B2436" t="s">
        <v>100</v>
      </c>
      <c r="C2436" t="s">
        <v>774</v>
      </c>
      <c r="D2436" s="1">
        <v>45301</v>
      </c>
      <c r="E2436" t="s">
        <v>267</v>
      </c>
      <c r="F2436">
        <v>8050.06</v>
      </c>
      <c r="G2436" t="s">
        <v>70</v>
      </c>
      <c r="H2436" t="s">
        <v>264</v>
      </c>
      <c r="I2436" t="s">
        <v>72</v>
      </c>
    </row>
    <row r="2437" spans="1:9" x14ac:dyDescent="0.25">
      <c r="A2437" t="s">
        <v>264</v>
      </c>
      <c r="B2437" t="s">
        <v>100</v>
      </c>
      <c r="C2437" t="s">
        <v>774</v>
      </c>
      <c r="D2437" s="1">
        <v>45301</v>
      </c>
      <c r="E2437" t="s">
        <v>304</v>
      </c>
      <c r="F2437">
        <v>-846.88</v>
      </c>
      <c r="G2437" t="s">
        <v>70</v>
      </c>
      <c r="H2437" t="s">
        <v>264</v>
      </c>
      <c r="I2437" t="s">
        <v>72</v>
      </c>
    </row>
    <row r="2438" spans="1:9" x14ac:dyDescent="0.25">
      <c r="A2438" t="s">
        <v>264</v>
      </c>
      <c r="B2438" t="s">
        <v>100</v>
      </c>
      <c r="C2438" t="s">
        <v>774</v>
      </c>
      <c r="D2438" s="1">
        <v>45301</v>
      </c>
      <c r="E2438" t="s">
        <v>267</v>
      </c>
      <c r="F2438">
        <v>6835.86</v>
      </c>
      <c r="G2438" t="s">
        <v>70</v>
      </c>
      <c r="H2438" t="s">
        <v>264</v>
      </c>
      <c r="I2438" t="s">
        <v>72</v>
      </c>
    </row>
    <row r="2439" spans="1:9" x14ac:dyDescent="0.25">
      <c r="A2439" t="s">
        <v>264</v>
      </c>
      <c r="B2439" t="s">
        <v>100</v>
      </c>
      <c r="C2439" t="s">
        <v>774</v>
      </c>
      <c r="D2439" s="1">
        <v>45301</v>
      </c>
      <c r="E2439" t="s">
        <v>322</v>
      </c>
      <c r="F2439">
        <v>-1090.3900000000001</v>
      </c>
      <c r="G2439" t="s">
        <v>70</v>
      </c>
      <c r="H2439" t="s">
        <v>264</v>
      </c>
      <c r="I2439" t="s">
        <v>72</v>
      </c>
    </row>
    <row r="2440" spans="1:9" x14ac:dyDescent="0.25">
      <c r="A2440" t="s">
        <v>264</v>
      </c>
      <c r="B2440" t="s">
        <v>100</v>
      </c>
      <c r="C2440" t="s">
        <v>774</v>
      </c>
      <c r="D2440" s="1">
        <v>45302</v>
      </c>
      <c r="E2440" t="s">
        <v>275</v>
      </c>
      <c r="F2440">
        <v>397.16</v>
      </c>
      <c r="G2440" t="s">
        <v>70</v>
      </c>
      <c r="H2440" t="s">
        <v>264</v>
      </c>
      <c r="I2440" t="s">
        <v>72</v>
      </c>
    </row>
    <row r="2441" spans="1:9" x14ac:dyDescent="0.25">
      <c r="A2441" t="s">
        <v>264</v>
      </c>
      <c r="B2441" t="s">
        <v>100</v>
      </c>
      <c r="C2441" t="s">
        <v>774</v>
      </c>
      <c r="D2441" s="1">
        <v>45302</v>
      </c>
      <c r="E2441" t="s">
        <v>304</v>
      </c>
      <c r="F2441">
        <v>-260.16000000000003</v>
      </c>
      <c r="G2441" t="s">
        <v>70</v>
      </c>
      <c r="H2441" t="s">
        <v>264</v>
      </c>
      <c r="I2441" t="s">
        <v>72</v>
      </c>
    </row>
    <row r="2442" spans="1:9" x14ac:dyDescent="0.25">
      <c r="A2442" t="s">
        <v>264</v>
      </c>
      <c r="B2442" t="s">
        <v>100</v>
      </c>
      <c r="C2442" t="s">
        <v>774</v>
      </c>
      <c r="D2442" s="1">
        <v>45302</v>
      </c>
      <c r="E2442" t="s">
        <v>304</v>
      </c>
      <c r="F2442">
        <v>-178.31</v>
      </c>
      <c r="G2442" t="s">
        <v>70</v>
      </c>
      <c r="H2442" t="s">
        <v>264</v>
      </c>
      <c r="I2442" t="s">
        <v>72</v>
      </c>
    </row>
    <row r="2443" spans="1:9" x14ac:dyDescent="0.25">
      <c r="A2443" t="s">
        <v>264</v>
      </c>
      <c r="B2443" t="s">
        <v>100</v>
      </c>
      <c r="C2443" t="s">
        <v>774</v>
      </c>
      <c r="D2443" s="1">
        <v>45303</v>
      </c>
      <c r="E2443" t="s">
        <v>271</v>
      </c>
      <c r="F2443">
        <v>-1713.25</v>
      </c>
      <c r="G2443" t="s">
        <v>70</v>
      </c>
      <c r="H2443" t="s">
        <v>264</v>
      </c>
      <c r="I2443" t="s">
        <v>72</v>
      </c>
    </row>
    <row r="2444" spans="1:9" x14ac:dyDescent="0.25">
      <c r="A2444" t="s">
        <v>264</v>
      </c>
      <c r="B2444" t="s">
        <v>100</v>
      </c>
      <c r="C2444" t="s">
        <v>774</v>
      </c>
      <c r="D2444" s="1">
        <v>45303</v>
      </c>
      <c r="E2444" t="s">
        <v>272</v>
      </c>
      <c r="F2444">
        <v>-917.53</v>
      </c>
      <c r="G2444" t="s">
        <v>70</v>
      </c>
      <c r="H2444" t="s">
        <v>264</v>
      </c>
      <c r="I2444" t="s">
        <v>72</v>
      </c>
    </row>
    <row r="2445" spans="1:9" x14ac:dyDescent="0.25">
      <c r="A2445" t="s">
        <v>264</v>
      </c>
      <c r="B2445" t="s">
        <v>100</v>
      </c>
      <c r="C2445" t="s">
        <v>774</v>
      </c>
      <c r="D2445" s="1">
        <v>45303</v>
      </c>
      <c r="E2445" t="s">
        <v>273</v>
      </c>
      <c r="F2445">
        <v>-535.66999999999996</v>
      </c>
      <c r="G2445" t="s">
        <v>70</v>
      </c>
      <c r="H2445" t="s">
        <v>264</v>
      </c>
      <c r="I2445" t="s">
        <v>72</v>
      </c>
    </row>
    <row r="2446" spans="1:9" x14ac:dyDescent="0.25">
      <c r="A2446" t="s">
        <v>264</v>
      </c>
      <c r="B2446" t="s">
        <v>100</v>
      </c>
      <c r="C2446" t="s">
        <v>774</v>
      </c>
      <c r="D2446" s="1">
        <v>45304</v>
      </c>
      <c r="E2446" t="s">
        <v>269</v>
      </c>
      <c r="F2446">
        <v>-437.86</v>
      </c>
      <c r="G2446" t="s">
        <v>70</v>
      </c>
      <c r="H2446" t="s">
        <v>264</v>
      </c>
      <c r="I2446" t="s">
        <v>72</v>
      </c>
    </row>
    <row r="2447" spans="1:9" x14ac:dyDescent="0.25">
      <c r="A2447" t="s">
        <v>264</v>
      </c>
      <c r="B2447" t="s">
        <v>100</v>
      </c>
      <c r="C2447" t="s">
        <v>774</v>
      </c>
      <c r="D2447" s="1">
        <v>45305</v>
      </c>
      <c r="E2447" t="s">
        <v>267</v>
      </c>
      <c r="F2447">
        <v>3197.99</v>
      </c>
      <c r="G2447" t="s">
        <v>70</v>
      </c>
      <c r="H2447" t="s">
        <v>264</v>
      </c>
      <c r="I2447" t="s">
        <v>72</v>
      </c>
    </row>
    <row r="2448" spans="1:9" x14ac:dyDescent="0.25">
      <c r="A2448" t="s">
        <v>264</v>
      </c>
      <c r="B2448" t="s">
        <v>100</v>
      </c>
      <c r="C2448" t="s">
        <v>774</v>
      </c>
      <c r="D2448" s="1">
        <v>45305</v>
      </c>
      <c r="E2448" t="s">
        <v>267</v>
      </c>
      <c r="F2448">
        <v>2953.14</v>
      </c>
      <c r="G2448" t="s">
        <v>70</v>
      </c>
      <c r="H2448" t="s">
        <v>264</v>
      </c>
      <c r="I2448" t="s">
        <v>72</v>
      </c>
    </row>
    <row r="2449" spans="1:9" x14ac:dyDescent="0.25">
      <c r="A2449" t="s">
        <v>264</v>
      </c>
      <c r="B2449" t="s">
        <v>100</v>
      </c>
      <c r="C2449" t="s">
        <v>774</v>
      </c>
      <c r="D2449" s="1">
        <v>45305</v>
      </c>
      <c r="E2449" t="s">
        <v>286</v>
      </c>
      <c r="F2449">
        <v>-2109.8000000000002</v>
      </c>
      <c r="G2449" t="s">
        <v>70</v>
      </c>
      <c r="H2449" t="s">
        <v>264</v>
      </c>
      <c r="I2449" t="s">
        <v>72</v>
      </c>
    </row>
    <row r="2450" spans="1:9" x14ac:dyDescent="0.25">
      <c r="A2450" t="s">
        <v>264</v>
      </c>
      <c r="B2450" t="s">
        <v>100</v>
      </c>
      <c r="C2450" t="s">
        <v>774</v>
      </c>
      <c r="D2450" s="1">
        <v>45305</v>
      </c>
      <c r="E2450" t="s">
        <v>267</v>
      </c>
      <c r="F2450">
        <v>22.31</v>
      </c>
      <c r="G2450" t="s">
        <v>70</v>
      </c>
      <c r="H2450" t="s">
        <v>264</v>
      </c>
      <c r="I2450" t="s">
        <v>72</v>
      </c>
    </row>
    <row r="2451" spans="1:9" x14ac:dyDescent="0.25">
      <c r="A2451" t="s">
        <v>264</v>
      </c>
      <c r="B2451" t="s">
        <v>100</v>
      </c>
      <c r="C2451" t="s">
        <v>774</v>
      </c>
      <c r="D2451" s="1">
        <v>45306</v>
      </c>
      <c r="E2451" t="s">
        <v>329</v>
      </c>
      <c r="F2451">
        <v>-2228.4699999999998</v>
      </c>
      <c r="G2451" t="s">
        <v>350</v>
      </c>
      <c r="H2451" t="s">
        <v>351</v>
      </c>
      <c r="I2451" t="s">
        <v>351</v>
      </c>
    </row>
    <row r="2452" spans="1:9" x14ac:dyDescent="0.25">
      <c r="A2452" t="s">
        <v>264</v>
      </c>
      <c r="B2452" t="s">
        <v>100</v>
      </c>
      <c r="C2452" t="s">
        <v>774</v>
      </c>
      <c r="D2452" s="1">
        <v>45307</v>
      </c>
      <c r="E2452" t="s">
        <v>304</v>
      </c>
      <c r="F2452">
        <v>-27</v>
      </c>
      <c r="G2452" t="s">
        <v>70</v>
      </c>
      <c r="H2452" t="s">
        <v>264</v>
      </c>
      <c r="I2452" t="s">
        <v>72</v>
      </c>
    </row>
    <row r="2453" spans="1:9" x14ac:dyDescent="0.25">
      <c r="A2453" t="s">
        <v>264</v>
      </c>
      <c r="B2453" t="s">
        <v>100</v>
      </c>
      <c r="C2453" t="s">
        <v>774</v>
      </c>
      <c r="D2453" s="1">
        <v>45308</v>
      </c>
      <c r="E2453" t="s">
        <v>268</v>
      </c>
      <c r="F2453">
        <v>1519.67</v>
      </c>
      <c r="G2453" t="s">
        <v>70</v>
      </c>
      <c r="H2453" t="s">
        <v>264</v>
      </c>
      <c r="I2453" t="s">
        <v>72</v>
      </c>
    </row>
    <row r="2454" spans="1:9" x14ac:dyDescent="0.25">
      <c r="A2454" t="s">
        <v>264</v>
      </c>
      <c r="B2454" t="s">
        <v>100</v>
      </c>
      <c r="C2454" t="s">
        <v>774</v>
      </c>
      <c r="D2454" s="1">
        <v>45308</v>
      </c>
      <c r="E2454" t="s">
        <v>304</v>
      </c>
      <c r="F2454">
        <v>-83.89</v>
      </c>
      <c r="G2454" t="s">
        <v>70</v>
      </c>
      <c r="H2454" t="s">
        <v>264</v>
      </c>
      <c r="I2454" t="s">
        <v>72</v>
      </c>
    </row>
    <row r="2455" spans="1:9" x14ac:dyDescent="0.25">
      <c r="A2455" t="s">
        <v>264</v>
      </c>
      <c r="B2455" t="s">
        <v>100</v>
      </c>
      <c r="C2455" t="s">
        <v>774</v>
      </c>
      <c r="D2455" s="1">
        <v>45308</v>
      </c>
      <c r="E2455" t="s">
        <v>275</v>
      </c>
      <c r="F2455">
        <v>142.84</v>
      </c>
      <c r="G2455" t="s">
        <v>70</v>
      </c>
      <c r="H2455" t="s">
        <v>264</v>
      </c>
      <c r="I2455" t="s">
        <v>72</v>
      </c>
    </row>
    <row r="2456" spans="1:9" x14ac:dyDescent="0.25">
      <c r="A2456" t="s">
        <v>264</v>
      </c>
      <c r="B2456" t="s">
        <v>100</v>
      </c>
      <c r="C2456" t="s">
        <v>774</v>
      </c>
      <c r="D2456" s="1">
        <v>45308</v>
      </c>
      <c r="E2456" t="s">
        <v>274</v>
      </c>
      <c r="F2456">
        <v>3137.31</v>
      </c>
      <c r="G2456" t="s">
        <v>74</v>
      </c>
      <c r="H2456" t="s">
        <v>256</v>
      </c>
      <c r="I2456" t="s">
        <v>346</v>
      </c>
    </row>
    <row r="2457" spans="1:9" x14ac:dyDescent="0.25">
      <c r="A2457" t="s">
        <v>264</v>
      </c>
      <c r="B2457" t="s">
        <v>100</v>
      </c>
      <c r="C2457" t="s">
        <v>774</v>
      </c>
      <c r="D2457" s="1">
        <v>45308</v>
      </c>
      <c r="E2457" t="s">
        <v>269</v>
      </c>
      <c r="F2457">
        <v>-2292.94</v>
      </c>
      <c r="G2457" t="s">
        <v>70</v>
      </c>
      <c r="H2457" t="s">
        <v>264</v>
      </c>
      <c r="I2457" t="s">
        <v>72</v>
      </c>
    </row>
    <row r="2458" spans="1:9" x14ac:dyDescent="0.25">
      <c r="A2458" t="s">
        <v>264</v>
      </c>
      <c r="B2458" t="s">
        <v>100</v>
      </c>
      <c r="C2458" t="s">
        <v>774</v>
      </c>
      <c r="D2458" s="1">
        <v>45308</v>
      </c>
      <c r="E2458" t="s">
        <v>304</v>
      </c>
      <c r="F2458">
        <v>-67.540000000000006</v>
      </c>
      <c r="G2458" t="s">
        <v>70</v>
      </c>
      <c r="H2458" t="s">
        <v>264</v>
      </c>
      <c r="I2458" t="s">
        <v>72</v>
      </c>
    </row>
    <row r="2459" spans="1:9" x14ac:dyDescent="0.25">
      <c r="A2459" t="s">
        <v>264</v>
      </c>
      <c r="B2459" t="s">
        <v>100</v>
      </c>
      <c r="C2459" t="s">
        <v>774</v>
      </c>
      <c r="D2459" s="1">
        <v>45308</v>
      </c>
      <c r="E2459" t="s">
        <v>322</v>
      </c>
      <c r="F2459">
        <v>-884.26</v>
      </c>
      <c r="G2459" t="s">
        <v>70</v>
      </c>
      <c r="H2459" t="s">
        <v>264</v>
      </c>
      <c r="I2459" t="s">
        <v>72</v>
      </c>
    </row>
    <row r="2460" spans="1:9" x14ac:dyDescent="0.25">
      <c r="A2460" t="s">
        <v>264</v>
      </c>
      <c r="B2460" t="s">
        <v>100</v>
      </c>
      <c r="C2460" t="s">
        <v>774</v>
      </c>
      <c r="D2460" s="1">
        <v>45308</v>
      </c>
      <c r="E2460" t="s">
        <v>267</v>
      </c>
      <c r="F2460">
        <v>333.23</v>
      </c>
      <c r="G2460" t="s">
        <v>70</v>
      </c>
      <c r="H2460" t="s">
        <v>264</v>
      </c>
      <c r="I2460" t="s">
        <v>72</v>
      </c>
    </row>
    <row r="2461" spans="1:9" x14ac:dyDescent="0.25">
      <c r="A2461" t="s">
        <v>264</v>
      </c>
      <c r="B2461" t="s">
        <v>100</v>
      </c>
      <c r="C2461" t="s">
        <v>774</v>
      </c>
      <c r="D2461" s="1">
        <v>45308</v>
      </c>
      <c r="E2461" t="s">
        <v>304</v>
      </c>
      <c r="F2461">
        <v>-247.63</v>
      </c>
      <c r="G2461" t="s">
        <v>70</v>
      </c>
      <c r="H2461" t="s">
        <v>264</v>
      </c>
      <c r="I2461" t="s">
        <v>72</v>
      </c>
    </row>
    <row r="2462" spans="1:9" x14ac:dyDescent="0.25">
      <c r="A2462" t="s">
        <v>264</v>
      </c>
      <c r="B2462" t="s">
        <v>100</v>
      </c>
      <c r="C2462" t="s">
        <v>774</v>
      </c>
      <c r="D2462" s="1">
        <v>45310</v>
      </c>
      <c r="E2462" t="s">
        <v>304</v>
      </c>
      <c r="F2462">
        <v>-4.26</v>
      </c>
      <c r="G2462" t="s">
        <v>70</v>
      </c>
      <c r="H2462" t="s">
        <v>264</v>
      </c>
      <c r="I2462" t="s">
        <v>72</v>
      </c>
    </row>
    <row r="2463" spans="1:9" x14ac:dyDescent="0.25">
      <c r="A2463" t="s">
        <v>264</v>
      </c>
      <c r="B2463" t="s">
        <v>100</v>
      </c>
      <c r="C2463" t="s">
        <v>774</v>
      </c>
      <c r="D2463" s="1">
        <v>45310</v>
      </c>
      <c r="E2463" t="s">
        <v>330</v>
      </c>
      <c r="F2463">
        <v>-27.94</v>
      </c>
      <c r="G2463" t="s">
        <v>347</v>
      </c>
      <c r="H2463" t="s">
        <v>348</v>
      </c>
      <c r="I2463" t="s">
        <v>348</v>
      </c>
    </row>
    <row r="2464" spans="1:9" x14ac:dyDescent="0.25">
      <c r="A2464" t="s">
        <v>264</v>
      </c>
      <c r="B2464" t="s">
        <v>100</v>
      </c>
      <c r="C2464" t="s">
        <v>774</v>
      </c>
      <c r="D2464" s="1">
        <v>45311</v>
      </c>
      <c r="E2464" t="s">
        <v>267</v>
      </c>
      <c r="F2464">
        <v>302.89999999999998</v>
      </c>
      <c r="G2464" t="s">
        <v>70</v>
      </c>
      <c r="H2464" t="s">
        <v>264</v>
      </c>
      <c r="I2464" t="s">
        <v>72</v>
      </c>
    </row>
    <row r="2465" spans="1:9" x14ac:dyDescent="0.25">
      <c r="A2465" t="s">
        <v>264</v>
      </c>
      <c r="B2465" t="s">
        <v>100</v>
      </c>
      <c r="C2465" t="s">
        <v>774</v>
      </c>
      <c r="D2465" s="1">
        <v>45311</v>
      </c>
      <c r="E2465" t="s">
        <v>304</v>
      </c>
      <c r="F2465">
        <v>-314.49</v>
      </c>
      <c r="G2465" t="s">
        <v>70</v>
      </c>
      <c r="H2465" t="s">
        <v>264</v>
      </c>
      <c r="I2465" t="s">
        <v>72</v>
      </c>
    </row>
    <row r="2466" spans="1:9" x14ac:dyDescent="0.25">
      <c r="A2466" t="s">
        <v>264</v>
      </c>
      <c r="B2466" t="s">
        <v>100</v>
      </c>
      <c r="C2466" t="s">
        <v>774</v>
      </c>
      <c r="D2466" s="1">
        <v>45311</v>
      </c>
      <c r="E2466" t="s">
        <v>304</v>
      </c>
      <c r="F2466">
        <v>-1.73</v>
      </c>
      <c r="G2466" t="s">
        <v>70</v>
      </c>
      <c r="H2466" t="s">
        <v>264</v>
      </c>
      <c r="I2466" t="s">
        <v>72</v>
      </c>
    </row>
    <row r="2467" spans="1:9" x14ac:dyDescent="0.25">
      <c r="A2467" t="s">
        <v>264</v>
      </c>
      <c r="B2467" t="s">
        <v>100</v>
      </c>
      <c r="C2467" t="s">
        <v>774</v>
      </c>
      <c r="D2467" s="1">
        <v>45311</v>
      </c>
      <c r="E2467" t="s">
        <v>304</v>
      </c>
      <c r="F2467">
        <v>-2.75</v>
      </c>
      <c r="G2467" t="s">
        <v>70</v>
      </c>
      <c r="H2467" t="s">
        <v>264</v>
      </c>
      <c r="I2467" t="s">
        <v>72</v>
      </c>
    </row>
    <row r="2468" spans="1:9" x14ac:dyDescent="0.25">
      <c r="A2468" t="s">
        <v>264</v>
      </c>
      <c r="B2468" t="s">
        <v>100</v>
      </c>
      <c r="C2468" t="s">
        <v>774</v>
      </c>
      <c r="D2468" s="1">
        <v>45312</v>
      </c>
      <c r="E2468" t="s">
        <v>304</v>
      </c>
      <c r="F2468">
        <v>-70.17</v>
      </c>
      <c r="G2468" t="s">
        <v>70</v>
      </c>
      <c r="H2468" t="s">
        <v>264</v>
      </c>
      <c r="I2468" t="s">
        <v>72</v>
      </c>
    </row>
    <row r="2469" spans="1:9" x14ac:dyDescent="0.25">
      <c r="A2469" t="s">
        <v>264</v>
      </c>
      <c r="B2469" t="s">
        <v>100</v>
      </c>
      <c r="C2469" t="s">
        <v>774</v>
      </c>
      <c r="D2469" s="1">
        <v>45313</v>
      </c>
      <c r="E2469" t="s">
        <v>304</v>
      </c>
      <c r="F2469">
        <v>-32.78</v>
      </c>
      <c r="G2469" t="s">
        <v>70</v>
      </c>
      <c r="H2469" t="s">
        <v>264</v>
      </c>
      <c r="I2469" t="s">
        <v>72</v>
      </c>
    </row>
    <row r="2470" spans="1:9" x14ac:dyDescent="0.25">
      <c r="A2470" t="s">
        <v>264</v>
      </c>
      <c r="B2470" t="s">
        <v>100</v>
      </c>
      <c r="C2470" t="s">
        <v>774</v>
      </c>
      <c r="D2470" s="1">
        <v>45313</v>
      </c>
      <c r="E2470" t="s">
        <v>304</v>
      </c>
      <c r="F2470">
        <v>-9.23</v>
      </c>
      <c r="G2470" t="s">
        <v>70</v>
      </c>
      <c r="H2470" t="s">
        <v>264</v>
      </c>
      <c r="I2470" t="s">
        <v>72</v>
      </c>
    </row>
    <row r="2471" spans="1:9" x14ac:dyDescent="0.25">
      <c r="A2471" t="s">
        <v>264</v>
      </c>
      <c r="B2471" t="s">
        <v>100</v>
      </c>
      <c r="C2471" t="s">
        <v>774</v>
      </c>
      <c r="D2471" s="1">
        <v>45313</v>
      </c>
      <c r="E2471" t="s">
        <v>268</v>
      </c>
      <c r="F2471">
        <v>108.53</v>
      </c>
      <c r="G2471" t="s">
        <v>70</v>
      </c>
      <c r="H2471" t="s">
        <v>264</v>
      </c>
      <c r="I2471" t="s">
        <v>72</v>
      </c>
    </row>
    <row r="2472" spans="1:9" x14ac:dyDescent="0.25">
      <c r="A2472" t="s">
        <v>264</v>
      </c>
      <c r="B2472" t="s">
        <v>100</v>
      </c>
      <c r="C2472" t="s">
        <v>774</v>
      </c>
      <c r="D2472" s="1">
        <v>45313</v>
      </c>
      <c r="E2472" t="s">
        <v>304</v>
      </c>
      <c r="F2472">
        <v>-275.76</v>
      </c>
      <c r="G2472" t="s">
        <v>70</v>
      </c>
      <c r="H2472" t="s">
        <v>264</v>
      </c>
      <c r="I2472" t="s">
        <v>72</v>
      </c>
    </row>
    <row r="2473" spans="1:9" x14ac:dyDescent="0.25">
      <c r="A2473" t="s">
        <v>264</v>
      </c>
      <c r="B2473" t="s">
        <v>100</v>
      </c>
      <c r="C2473" t="s">
        <v>774</v>
      </c>
      <c r="D2473" s="1">
        <v>45314</v>
      </c>
      <c r="E2473" t="s">
        <v>304</v>
      </c>
      <c r="F2473">
        <v>-1.26</v>
      </c>
      <c r="G2473" t="s">
        <v>70</v>
      </c>
      <c r="H2473" t="s">
        <v>264</v>
      </c>
      <c r="I2473" t="s">
        <v>72</v>
      </c>
    </row>
    <row r="2474" spans="1:9" x14ac:dyDescent="0.25">
      <c r="A2474" t="s">
        <v>264</v>
      </c>
      <c r="B2474" t="s">
        <v>100</v>
      </c>
      <c r="C2474" t="s">
        <v>774</v>
      </c>
      <c r="D2474" s="1">
        <v>45315</v>
      </c>
      <c r="E2474" t="s">
        <v>304</v>
      </c>
      <c r="F2474">
        <v>-71.3</v>
      </c>
      <c r="G2474" t="s">
        <v>70</v>
      </c>
      <c r="H2474" t="s">
        <v>264</v>
      </c>
      <c r="I2474" t="s">
        <v>72</v>
      </c>
    </row>
    <row r="2475" spans="1:9" x14ac:dyDescent="0.25">
      <c r="A2475" t="s">
        <v>264</v>
      </c>
      <c r="B2475" t="s">
        <v>100</v>
      </c>
      <c r="C2475" t="s">
        <v>774</v>
      </c>
      <c r="D2475" s="1">
        <v>45315</v>
      </c>
      <c r="E2475" t="s">
        <v>304</v>
      </c>
      <c r="F2475">
        <v>-9.61</v>
      </c>
      <c r="G2475" t="s">
        <v>70</v>
      </c>
      <c r="H2475" t="s">
        <v>264</v>
      </c>
      <c r="I2475" t="s">
        <v>72</v>
      </c>
    </row>
    <row r="2476" spans="1:9" x14ac:dyDescent="0.25">
      <c r="A2476" t="s">
        <v>264</v>
      </c>
      <c r="B2476" t="s">
        <v>100</v>
      </c>
      <c r="C2476" t="s">
        <v>774</v>
      </c>
      <c r="D2476" s="1">
        <v>45315</v>
      </c>
      <c r="E2476" t="s">
        <v>267</v>
      </c>
      <c r="F2476">
        <v>3477.86</v>
      </c>
      <c r="G2476" t="s">
        <v>70</v>
      </c>
      <c r="H2476" t="s">
        <v>264</v>
      </c>
      <c r="I2476" t="s">
        <v>72</v>
      </c>
    </row>
    <row r="2477" spans="1:9" x14ac:dyDescent="0.25">
      <c r="A2477" t="s">
        <v>264</v>
      </c>
      <c r="B2477" t="s">
        <v>100</v>
      </c>
      <c r="C2477" t="s">
        <v>774</v>
      </c>
      <c r="D2477" s="1">
        <v>45315</v>
      </c>
      <c r="E2477" t="s">
        <v>275</v>
      </c>
      <c r="F2477">
        <v>194.65</v>
      </c>
      <c r="G2477" t="s">
        <v>70</v>
      </c>
      <c r="H2477" t="s">
        <v>264</v>
      </c>
      <c r="I2477" t="s">
        <v>72</v>
      </c>
    </row>
    <row r="2478" spans="1:9" x14ac:dyDescent="0.25">
      <c r="A2478" t="s">
        <v>264</v>
      </c>
      <c r="B2478" t="s">
        <v>100</v>
      </c>
      <c r="C2478" t="s">
        <v>774</v>
      </c>
      <c r="D2478" s="1">
        <v>45315</v>
      </c>
      <c r="E2478" t="s">
        <v>304</v>
      </c>
      <c r="F2478">
        <v>-200.83</v>
      </c>
      <c r="G2478" t="s">
        <v>70</v>
      </c>
      <c r="H2478" t="s">
        <v>264</v>
      </c>
      <c r="I2478" t="s">
        <v>72</v>
      </c>
    </row>
    <row r="2479" spans="1:9" x14ac:dyDescent="0.25">
      <c r="A2479" t="s">
        <v>264</v>
      </c>
      <c r="B2479" t="s">
        <v>100</v>
      </c>
      <c r="C2479" t="s">
        <v>774</v>
      </c>
      <c r="D2479" s="1">
        <v>45315</v>
      </c>
      <c r="E2479" t="s">
        <v>322</v>
      </c>
      <c r="F2479">
        <v>-1100.8900000000001</v>
      </c>
      <c r="G2479" t="s">
        <v>70</v>
      </c>
      <c r="H2479" t="s">
        <v>264</v>
      </c>
      <c r="I2479" t="s">
        <v>72</v>
      </c>
    </row>
    <row r="2480" spans="1:9" x14ac:dyDescent="0.25">
      <c r="A2480" t="s">
        <v>264</v>
      </c>
      <c r="B2480" t="s">
        <v>100</v>
      </c>
      <c r="C2480" t="s">
        <v>774</v>
      </c>
      <c r="D2480" s="1">
        <v>45316</v>
      </c>
      <c r="E2480" t="s">
        <v>304</v>
      </c>
      <c r="F2480">
        <v>-3.67</v>
      </c>
      <c r="G2480" t="s">
        <v>70</v>
      </c>
      <c r="H2480" t="s">
        <v>264</v>
      </c>
      <c r="I2480" t="s">
        <v>72</v>
      </c>
    </row>
    <row r="2481" spans="1:9" x14ac:dyDescent="0.25">
      <c r="A2481" t="s">
        <v>264</v>
      </c>
      <c r="B2481" t="s">
        <v>100</v>
      </c>
      <c r="C2481" t="s">
        <v>774</v>
      </c>
      <c r="D2481" s="1">
        <v>45316</v>
      </c>
      <c r="E2481" t="s">
        <v>304</v>
      </c>
      <c r="F2481">
        <v>-14.17</v>
      </c>
      <c r="G2481" t="s">
        <v>70</v>
      </c>
      <c r="H2481" t="s">
        <v>264</v>
      </c>
      <c r="I2481" t="s">
        <v>72</v>
      </c>
    </row>
    <row r="2482" spans="1:9" x14ac:dyDescent="0.25">
      <c r="A2482" t="s">
        <v>264</v>
      </c>
      <c r="B2482" t="s">
        <v>100</v>
      </c>
      <c r="C2482" t="s">
        <v>774</v>
      </c>
      <c r="D2482" s="1">
        <v>45317</v>
      </c>
      <c r="E2482" t="s">
        <v>304</v>
      </c>
      <c r="F2482">
        <v>-0.74</v>
      </c>
      <c r="G2482" t="s">
        <v>70</v>
      </c>
      <c r="H2482" t="s">
        <v>264</v>
      </c>
      <c r="I2482" t="s">
        <v>72</v>
      </c>
    </row>
    <row r="2483" spans="1:9" x14ac:dyDescent="0.25">
      <c r="A2483" t="s">
        <v>264</v>
      </c>
      <c r="B2483" t="s">
        <v>100</v>
      </c>
      <c r="C2483" t="s">
        <v>774</v>
      </c>
      <c r="D2483" s="1">
        <v>45317</v>
      </c>
      <c r="E2483" t="s">
        <v>304</v>
      </c>
      <c r="F2483">
        <v>-4.76</v>
      </c>
      <c r="G2483" t="s">
        <v>70</v>
      </c>
      <c r="H2483" t="s">
        <v>264</v>
      </c>
      <c r="I2483" t="s">
        <v>72</v>
      </c>
    </row>
    <row r="2484" spans="1:9" x14ac:dyDescent="0.25">
      <c r="A2484" t="s">
        <v>264</v>
      </c>
      <c r="B2484" t="s">
        <v>100</v>
      </c>
      <c r="C2484" t="s">
        <v>774</v>
      </c>
      <c r="D2484" s="1">
        <v>45317</v>
      </c>
      <c r="E2484" t="s">
        <v>304</v>
      </c>
      <c r="F2484">
        <v>-74.2</v>
      </c>
      <c r="G2484" t="s">
        <v>70</v>
      </c>
      <c r="H2484" t="s">
        <v>264</v>
      </c>
      <c r="I2484" t="s">
        <v>72</v>
      </c>
    </row>
    <row r="2485" spans="1:9" x14ac:dyDescent="0.25">
      <c r="A2485" t="s">
        <v>264</v>
      </c>
      <c r="B2485" t="s">
        <v>100</v>
      </c>
      <c r="C2485" t="s">
        <v>774</v>
      </c>
      <c r="D2485" s="1">
        <v>45317</v>
      </c>
      <c r="E2485" t="s">
        <v>267</v>
      </c>
      <c r="F2485">
        <v>494.56</v>
      </c>
      <c r="G2485" t="s">
        <v>70</v>
      </c>
      <c r="H2485" t="s">
        <v>264</v>
      </c>
      <c r="I2485" t="s">
        <v>72</v>
      </c>
    </row>
    <row r="2486" spans="1:9" x14ac:dyDescent="0.25">
      <c r="A2486" t="s">
        <v>264</v>
      </c>
      <c r="B2486" t="s">
        <v>100</v>
      </c>
      <c r="C2486" t="s">
        <v>774</v>
      </c>
      <c r="D2486" s="1">
        <v>45317</v>
      </c>
      <c r="E2486" t="s">
        <v>304</v>
      </c>
      <c r="F2486">
        <v>-42.32</v>
      </c>
      <c r="G2486" t="s">
        <v>70</v>
      </c>
      <c r="H2486" t="s">
        <v>264</v>
      </c>
      <c r="I2486" t="s">
        <v>72</v>
      </c>
    </row>
    <row r="2487" spans="1:9" x14ac:dyDescent="0.25">
      <c r="A2487" t="s">
        <v>264</v>
      </c>
      <c r="B2487" t="s">
        <v>100</v>
      </c>
      <c r="C2487" t="s">
        <v>774</v>
      </c>
      <c r="D2487" s="1">
        <v>45317</v>
      </c>
      <c r="E2487" t="s">
        <v>271</v>
      </c>
      <c r="F2487">
        <v>-1885.52</v>
      </c>
      <c r="G2487" t="s">
        <v>70</v>
      </c>
      <c r="H2487" t="s">
        <v>264</v>
      </c>
      <c r="I2487" t="s">
        <v>72</v>
      </c>
    </row>
    <row r="2488" spans="1:9" x14ac:dyDescent="0.25">
      <c r="A2488" t="s">
        <v>264</v>
      </c>
      <c r="B2488" t="s">
        <v>100</v>
      </c>
      <c r="C2488" t="s">
        <v>774</v>
      </c>
      <c r="D2488" s="1">
        <v>45317</v>
      </c>
      <c r="E2488" t="s">
        <v>272</v>
      </c>
      <c r="F2488">
        <v>-251.69</v>
      </c>
      <c r="G2488" t="s">
        <v>70</v>
      </c>
      <c r="H2488" t="s">
        <v>264</v>
      </c>
      <c r="I2488" t="s">
        <v>72</v>
      </c>
    </row>
    <row r="2489" spans="1:9" x14ac:dyDescent="0.25">
      <c r="A2489" t="s">
        <v>264</v>
      </c>
      <c r="B2489" t="s">
        <v>100</v>
      </c>
      <c r="C2489" t="s">
        <v>774</v>
      </c>
      <c r="D2489" s="1">
        <v>45317</v>
      </c>
      <c r="E2489" t="s">
        <v>273</v>
      </c>
      <c r="F2489">
        <v>-245.1</v>
      </c>
      <c r="G2489" t="s">
        <v>70</v>
      </c>
      <c r="H2489" t="s">
        <v>264</v>
      </c>
      <c r="I2489" t="s">
        <v>72</v>
      </c>
    </row>
    <row r="2490" spans="1:9" x14ac:dyDescent="0.25">
      <c r="A2490" t="s">
        <v>264</v>
      </c>
      <c r="B2490" t="s">
        <v>100</v>
      </c>
      <c r="C2490" t="s">
        <v>774</v>
      </c>
      <c r="D2490" s="1">
        <v>45318</v>
      </c>
      <c r="E2490" t="s">
        <v>304</v>
      </c>
      <c r="F2490">
        <v>-0.32</v>
      </c>
      <c r="G2490" t="s">
        <v>70</v>
      </c>
      <c r="H2490" t="s">
        <v>264</v>
      </c>
      <c r="I2490" t="s">
        <v>72</v>
      </c>
    </row>
    <row r="2491" spans="1:9" x14ac:dyDescent="0.25">
      <c r="A2491" t="s">
        <v>264</v>
      </c>
      <c r="B2491" t="s">
        <v>100</v>
      </c>
      <c r="C2491" t="s">
        <v>774</v>
      </c>
      <c r="D2491" s="1">
        <v>45318</v>
      </c>
      <c r="E2491" t="s">
        <v>304</v>
      </c>
      <c r="F2491">
        <v>-7.45</v>
      </c>
      <c r="G2491" t="s">
        <v>70</v>
      </c>
      <c r="H2491" t="s">
        <v>264</v>
      </c>
      <c r="I2491" t="s">
        <v>72</v>
      </c>
    </row>
    <row r="2492" spans="1:9" x14ac:dyDescent="0.25">
      <c r="A2492" t="s">
        <v>264</v>
      </c>
      <c r="B2492" t="s">
        <v>100</v>
      </c>
      <c r="C2492" t="s">
        <v>774</v>
      </c>
      <c r="D2492" s="1">
        <v>45319</v>
      </c>
      <c r="E2492" t="s">
        <v>304</v>
      </c>
      <c r="F2492">
        <v>-68.56</v>
      </c>
      <c r="G2492" t="s">
        <v>70</v>
      </c>
      <c r="H2492" t="s">
        <v>264</v>
      </c>
      <c r="I2492" t="s">
        <v>72</v>
      </c>
    </row>
    <row r="2493" spans="1:9" x14ac:dyDescent="0.25">
      <c r="A2493" t="s">
        <v>264</v>
      </c>
      <c r="B2493" t="s">
        <v>100</v>
      </c>
      <c r="C2493" t="s">
        <v>774</v>
      </c>
      <c r="D2493" s="1">
        <v>45319</v>
      </c>
      <c r="E2493" t="s">
        <v>267</v>
      </c>
      <c r="F2493">
        <v>402.9</v>
      </c>
      <c r="G2493" t="s">
        <v>70</v>
      </c>
      <c r="H2493" t="s">
        <v>264</v>
      </c>
      <c r="I2493" t="s">
        <v>72</v>
      </c>
    </row>
    <row r="2494" spans="1:9" x14ac:dyDescent="0.25">
      <c r="A2494" t="s">
        <v>264</v>
      </c>
      <c r="B2494" t="s">
        <v>100</v>
      </c>
      <c r="C2494" t="s">
        <v>774</v>
      </c>
      <c r="D2494" s="1">
        <v>45319</v>
      </c>
      <c r="E2494" t="s">
        <v>304</v>
      </c>
      <c r="F2494">
        <v>-245.63</v>
      </c>
      <c r="G2494" t="s">
        <v>70</v>
      </c>
      <c r="H2494" t="s">
        <v>264</v>
      </c>
      <c r="I2494" t="s">
        <v>72</v>
      </c>
    </row>
    <row r="2495" spans="1:9" x14ac:dyDescent="0.25">
      <c r="A2495" t="s">
        <v>264</v>
      </c>
      <c r="B2495" t="s">
        <v>100</v>
      </c>
      <c r="C2495" t="s">
        <v>774</v>
      </c>
      <c r="D2495" s="1">
        <v>45320</v>
      </c>
      <c r="E2495" t="s">
        <v>304</v>
      </c>
      <c r="F2495">
        <v>-39.07</v>
      </c>
      <c r="G2495" t="s">
        <v>70</v>
      </c>
      <c r="H2495" t="s">
        <v>264</v>
      </c>
      <c r="I2495" t="s">
        <v>72</v>
      </c>
    </row>
    <row r="2496" spans="1:9" x14ac:dyDescent="0.25">
      <c r="A2496" t="s">
        <v>264</v>
      </c>
      <c r="B2496" t="s">
        <v>100</v>
      </c>
      <c r="C2496" t="s">
        <v>774</v>
      </c>
      <c r="D2496" s="1">
        <v>45320</v>
      </c>
      <c r="E2496" t="s">
        <v>267</v>
      </c>
      <c r="F2496">
        <v>374.61</v>
      </c>
      <c r="G2496" t="s">
        <v>70</v>
      </c>
      <c r="H2496" t="s">
        <v>264</v>
      </c>
      <c r="I2496" t="s">
        <v>72</v>
      </c>
    </row>
    <row r="2497" spans="1:9" x14ac:dyDescent="0.25">
      <c r="A2497" t="s">
        <v>264</v>
      </c>
      <c r="B2497" t="s">
        <v>100</v>
      </c>
      <c r="C2497" t="s">
        <v>774</v>
      </c>
      <c r="D2497" s="1">
        <v>45320</v>
      </c>
      <c r="E2497" t="s">
        <v>304</v>
      </c>
      <c r="F2497">
        <v>-38.28</v>
      </c>
      <c r="G2497" t="s">
        <v>70</v>
      </c>
      <c r="H2497" t="s">
        <v>264</v>
      </c>
      <c r="I2497" t="s">
        <v>72</v>
      </c>
    </row>
    <row r="2498" spans="1:9" x14ac:dyDescent="0.25">
      <c r="A2498" t="s">
        <v>264</v>
      </c>
      <c r="B2498" t="s">
        <v>100</v>
      </c>
      <c r="C2498" t="s">
        <v>774</v>
      </c>
      <c r="D2498" s="1">
        <v>45320</v>
      </c>
      <c r="E2498" t="s">
        <v>304</v>
      </c>
      <c r="F2498">
        <v>-10.87</v>
      </c>
      <c r="G2498" t="s">
        <v>70</v>
      </c>
      <c r="H2498" t="s">
        <v>264</v>
      </c>
      <c r="I2498" t="s">
        <v>72</v>
      </c>
    </row>
    <row r="2499" spans="1:9" x14ac:dyDescent="0.25">
      <c r="A2499" t="s">
        <v>264</v>
      </c>
      <c r="B2499" t="s">
        <v>100</v>
      </c>
      <c r="C2499" t="s">
        <v>774</v>
      </c>
      <c r="D2499" s="1">
        <v>45321</v>
      </c>
      <c r="E2499" t="s">
        <v>304</v>
      </c>
      <c r="F2499">
        <v>-71.739999999999995</v>
      </c>
      <c r="G2499" t="s">
        <v>70</v>
      </c>
      <c r="H2499" t="s">
        <v>264</v>
      </c>
      <c r="I2499" t="s">
        <v>72</v>
      </c>
    </row>
    <row r="2500" spans="1:9" x14ac:dyDescent="0.25">
      <c r="A2500" t="s">
        <v>264</v>
      </c>
      <c r="B2500" t="s">
        <v>100</v>
      </c>
      <c r="C2500" t="s">
        <v>774</v>
      </c>
      <c r="D2500" s="1">
        <v>45321</v>
      </c>
      <c r="E2500" t="s">
        <v>304</v>
      </c>
      <c r="F2500">
        <v>-80.06</v>
      </c>
      <c r="G2500" t="s">
        <v>70</v>
      </c>
      <c r="H2500" t="s">
        <v>264</v>
      </c>
      <c r="I2500" t="s">
        <v>72</v>
      </c>
    </row>
    <row r="2501" spans="1:9" x14ac:dyDescent="0.25">
      <c r="A2501" t="s">
        <v>264</v>
      </c>
      <c r="B2501" t="s">
        <v>100</v>
      </c>
      <c r="C2501" t="s">
        <v>774</v>
      </c>
      <c r="D2501" s="1">
        <v>45322</v>
      </c>
      <c r="E2501" t="s">
        <v>304</v>
      </c>
      <c r="F2501">
        <v>-13.95</v>
      </c>
      <c r="G2501" t="s">
        <v>70</v>
      </c>
      <c r="H2501" t="s">
        <v>264</v>
      </c>
      <c r="I2501" t="s">
        <v>72</v>
      </c>
    </row>
    <row r="2502" spans="1:9" x14ac:dyDescent="0.25">
      <c r="A2502" t="s">
        <v>264</v>
      </c>
      <c r="B2502" t="s">
        <v>100</v>
      </c>
      <c r="C2502" t="s">
        <v>774</v>
      </c>
      <c r="D2502" s="1">
        <v>45322</v>
      </c>
      <c r="E2502" t="s">
        <v>267</v>
      </c>
      <c r="F2502">
        <v>1297.4100000000001</v>
      </c>
      <c r="G2502" t="s">
        <v>70</v>
      </c>
      <c r="H2502" t="s">
        <v>264</v>
      </c>
      <c r="I2502" t="s">
        <v>72</v>
      </c>
    </row>
    <row r="2503" spans="1:9" x14ac:dyDescent="0.25">
      <c r="A2503" t="s">
        <v>264</v>
      </c>
      <c r="B2503" t="s">
        <v>100</v>
      </c>
      <c r="C2503" t="s">
        <v>774</v>
      </c>
      <c r="D2503" s="1">
        <v>45322</v>
      </c>
      <c r="E2503" t="s">
        <v>274</v>
      </c>
      <c r="F2503">
        <v>4446.18</v>
      </c>
      <c r="G2503" t="s">
        <v>74</v>
      </c>
      <c r="H2503" t="s">
        <v>256</v>
      </c>
      <c r="I2503" t="s">
        <v>346</v>
      </c>
    </row>
    <row r="2504" spans="1:9" x14ac:dyDescent="0.25">
      <c r="A2504" t="s">
        <v>264</v>
      </c>
      <c r="B2504" t="s">
        <v>100</v>
      </c>
      <c r="C2504" t="s">
        <v>774</v>
      </c>
      <c r="D2504" s="1">
        <v>45322</v>
      </c>
      <c r="E2504" t="s">
        <v>304</v>
      </c>
      <c r="F2504">
        <v>-25.42</v>
      </c>
      <c r="G2504" t="s">
        <v>70</v>
      </c>
      <c r="H2504" t="s">
        <v>264</v>
      </c>
      <c r="I2504" t="s">
        <v>72</v>
      </c>
    </row>
    <row r="2505" spans="1:9" x14ac:dyDescent="0.25">
      <c r="A2505" t="s">
        <v>264</v>
      </c>
      <c r="B2505" t="s">
        <v>100</v>
      </c>
      <c r="C2505" t="s">
        <v>774</v>
      </c>
      <c r="D2505" s="1">
        <v>45322</v>
      </c>
      <c r="E2505" t="s">
        <v>268</v>
      </c>
      <c r="F2505">
        <v>1034.73</v>
      </c>
      <c r="G2505" t="s">
        <v>70</v>
      </c>
      <c r="H2505" t="s">
        <v>264</v>
      </c>
      <c r="I2505" t="s">
        <v>72</v>
      </c>
    </row>
    <row r="2506" spans="1:9" x14ac:dyDescent="0.25">
      <c r="A2506" t="s">
        <v>264</v>
      </c>
      <c r="B2506" t="s">
        <v>100</v>
      </c>
      <c r="C2506" t="s">
        <v>774</v>
      </c>
      <c r="D2506" s="1">
        <v>45322</v>
      </c>
      <c r="E2506" t="s">
        <v>269</v>
      </c>
      <c r="F2506">
        <v>-1670.02</v>
      </c>
      <c r="G2506" t="s">
        <v>70</v>
      </c>
      <c r="H2506" t="s">
        <v>264</v>
      </c>
      <c r="I2506" t="s">
        <v>72</v>
      </c>
    </row>
    <row r="2507" spans="1:9" x14ac:dyDescent="0.25">
      <c r="A2507" t="s">
        <v>264</v>
      </c>
      <c r="B2507" t="s">
        <v>100</v>
      </c>
      <c r="C2507" t="s">
        <v>774</v>
      </c>
      <c r="D2507" s="1">
        <v>45322</v>
      </c>
      <c r="E2507" t="s">
        <v>275</v>
      </c>
      <c r="F2507">
        <v>92.41</v>
      </c>
      <c r="G2507" t="s">
        <v>70</v>
      </c>
      <c r="H2507" t="s">
        <v>264</v>
      </c>
      <c r="I2507" t="s">
        <v>72</v>
      </c>
    </row>
    <row r="2508" spans="1:9" x14ac:dyDescent="0.25">
      <c r="A2508" t="s">
        <v>264</v>
      </c>
      <c r="B2508" t="s">
        <v>100</v>
      </c>
      <c r="C2508" t="s">
        <v>774</v>
      </c>
      <c r="D2508" s="1">
        <v>45322</v>
      </c>
      <c r="E2508" t="s">
        <v>322</v>
      </c>
      <c r="F2508">
        <v>-810.47</v>
      </c>
      <c r="G2508" t="s">
        <v>70</v>
      </c>
      <c r="H2508" t="s">
        <v>264</v>
      </c>
      <c r="I2508" t="s">
        <v>72</v>
      </c>
    </row>
    <row r="2509" spans="1:9" x14ac:dyDescent="0.25">
      <c r="A2509" t="s">
        <v>264</v>
      </c>
      <c r="B2509" t="s">
        <v>100</v>
      </c>
      <c r="C2509" t="s">
        <v>774</v>
      </c>
      <c r="D2509" s="1">
        <v>45322</v>
      </c>
      <c r="E2509" t="s">
        <v>269</v>
      </c>
      <c r="F2509">
        <v>-880.88</v>
      </c>
      <c r="G2509" t="s">
        <v>70</v>
      </c>
      <c r="H2509" t="s">
        <v>264</v>
      </c>
      <c r="I2509" t="s">
        <v>72</v>
      </c>
    </row>
    <row r="2510" spans="1:9" x14ac:dyDescent="0.25">
      <c r="A2510" t="s">
        <v>264</v>
      </c>
      <c r="B2510" t="s">
        <v>100</v>
      </c>
      <c r="C2510" t="s">
        <v>774</v>
      </c>
      <c r="D2510" s="1">
        <v>45323</v>
      </c>
      <c r="E2510" t="s">
        <v>267</v>
      </c>
      <c r="F2510">
        <v>59.45</v>
      </c>
      <c r="G2510" t="s">
        <v>70</v>
      </c>
      <c r="H2510" t="s">
        <v>264</v>
      </c>
      <c r="I2510" t="s">
        <v>72</v>
      </c>
    </row>
    <row r="2511" spans="1:9" x14ac:dyDescent="0.25">
      <c r="A2511" t="s">
        <v>264</v>
      </c>
      <c r="B2511" t="s">
        <v>100</v>
      </c>
      <c r="C2511" t="s">
        <v>774</v>
      </c>
      <c r="D2511" s="1">
        <v>45323</v>
      </c>
      <c r="E2511" t="s">
        <v>269</v>
      </c>
      <c r="F2511">
        <v>-20.010000000000002</v>
      </c>
      <c r="G2511" t="s">
        <v>70</v>
      </c>
      <c r="H2511" t="s">
        <v>264</v>
      </c>
      <c r="I2511" t="s">
        <v>72</v>
      </c>
    </row>
    <row r="2512" spans="1:9" x14ac:dyDescent="0.25">
      <c r="A2512" t="s">
        <v>264</v>
      </c>
      <c r="B2512" t="s">
        <v>100</v>
      </c>
      <c r="C2512" t="s">
        <v>774</v>
      </c>
      <c r="D2512" s="1">
        <v>45324</v>
      </c>
      <c r="E2512" t="s">
        <v>304</v>
      </c>
      <c r="F2512">
        <v>-104.12</v>
      </c>
      <c r="G2512" t="s">
        <v>70</v>
      </c>
      <c r="H2512" t="s">
        <v>264</v>
      </c>
      <c r="I2512" t="s">
        <v>72</v>
      </c>
    </row>
    <row r="2513" spans="1:9" x14ac:dyDescent="0.25">
      <c r="A2513" t="s">
        <v>264</v>
      </c>
      <c r="B2513" t="s">
        <v>100</v>
      </c>
      <c r="C2513" t="s">
        <v>774</v>
      </c>
      <c r="D2513" s="1">
        <v>45324</v>
      </c>
      <c r="E2513" t="s">
        <v>331</v>
      </c>
      <c r="F2513">
        <v>-10.27</v>
      </c>
      <c r="G2513" t="s">
        <v>347</v>
      </c>
      <c r="H2513" t="s">
        <v>348</v>
      </c>
      <c r="I2513" t="s">
        <v>348</v>
      </c>
    </row>
    <row r="2514" spans="1:9" x14ac:dyDescent="0.25">
      <c r="A2514" t="s">
        <v>264</v>
      </c>
      <c r="B2514" t="s">
        <v>100</v>
      </c>
      <c r="C2514" t="s">
        <v>774</v>
      </c>
      <c r="D2514" s="1">
        <v>45325</v>
      </c>
      <c r="E2514" t="s">
        <v>267</v>
      </c>
      <c r="F2514">
        <v>664.8</v>
      </c>
      <c r="G2514" t="s">
        <v>70</v>
      </c>
      <c r="H2514" t="s">
        <v>264</v>
      </c>
      <c r="I2514" t="s">
        <v>72</v>
      </c>
    </row>
    <row r="2515" spans="1:9" x14ac:dyDescent="0.25">
      <c r="A2515" t="s">
        <v>264</v>
      </c>
      <c r="B2515" t="s">
        <v>100</v>
      </c>
      <c r="C2515" t="s">
        <v>774</v>
      </c>
      <c r="D2515" s="1">
        <v>45325</v>
      </c>
      <c r="E2515" t="s">
        <v>304</v>
      </c>
      <c r="F2515">
        <v>-305.02999999999997</v>
      </c>
      <c r="G2515" t="s">
        <v>70</v>
      </c>
      <c r="H2515" t="s">
        <v>264</v>
      </c>
      <c r="I2515" t="s">
        <v>72</v>
      </c>
    </row>
    <row r="2516" spans="1:9" x14ac:dyDescent="0.25">
      <c r="A2516" t="s">
        <v>264</v>
      </c>
      <c r="B2516" t="s">
        <v>100</v>
      </c>
      <c r="C2516" t="s">
        <v>774</v>
      </c>
      <c r="D2516" s="1">
        <v>45325</v>
      </c>
      <c r="E2516" t="s">
        <v>304</v>
      </c>
      <c r="F2516">
        <v>-45.18</v>
      </c>
      <c r="G2516" t="s">
        <v>70</v>
      </c>
      <c r="H2516" t="s">
        <v>264</v>
      </c>
      <c r="I2516" t="s">
        <v>72</v>
      </c>
    </row>
    <row r="2517" spans="1:9" x14ac:dyDescent="0.25">
      <c r="A2517" t="s">
        <v>264</v>
      </c>
      <c r="B2517" t="s">
        <v>100</v>
      </c>
      <c r="C2517" t="s">
        <v>774</v>
      </c>
      <c r="D2517" s="1">
        <v>45325</v>
      </c>
      <c r="E2517" t="s">
        <v>304</v>
      </c>
      <c r="F2517">
        <v>-37.1</v>
      </c>
      <c r="G2517" t="s">
        <v>70</v>
      </c>
      <c r="H2517" t="s">
        <v>264</v>
      </c>
      <c r="I2517" t="s">
        <v>72</v>
      </c>
    </row>
    <row r="2518" spans="1:9" x14ac:dyDescent="0.25">
      <c r="A2518" t="s">
        <v>264</v>
      </c>
      <c r="B2518" t="s">
        <v>100</v>
      </c>
      <c r="C2518" t="s">
        <v>774</v>
      </c>
      <c r="D2518" s="1">
        <v>45326</v>
      </c>
      <c r="E2518" t="s">
        <v>304</v>
      </c>
      <c r="F2518">
        <v>-49.3</v>
      </c>
      <c r="G2518" t="s">
        <v>70</v>
      </c>
      <c r="H2518" t="s">
        <v>264</v>
      </c>
      <c r="I2518" t="s">
        <v>72</v>
      </c>
    </row>
    <row r="2519" spans="1:9" x14ac:dyDescent="0.25">
      <c r="A2519" t="s">
        <v>264</v>
      </c>
      <c r="B2519" t="s">
        <v>100</v>
      </c>
      <c r="C2519" t="s">
        <v>774</v>
      </c>
      <c r="D2519" s="1">
        <v>45326</v>
      </c>
      <c r="E2519" t="s">
        <v>332</v>
      </c>
      <c r="F2519">
        <v>-4.2300000000000004</v>
      </c>
      <c r="G2519" t="s">
        <v>76</v>
      </c>
      <c r="H2519" t="s">
        <v>87</v>
      </c>
      <c r="I2519" t="s">
        <v>88</v>
      </c>
    </row>
    <row r="2520" spans="1:9" x14ac:dyDescent="0.25">
      <c r="A2520" t="s">
        <v>264</v>
      </c>
      <c r="B2520" t="s">
        <v>100</v>
      </c>
      <c r="C2520" t="s">
        <v>774</v>
      </c>
      <c r="D2520" s="1">
        <v>45326</v>
      </c>
      <c r="E2520" t="s">
        <v>304</v>
      </c>
      <c r="F2520">
        <v>-7.42</v>
      </c>
      <c r="G2520" t="s">
        <v>70</v>
      </c>
      <c r="H2520" t="s">
        <v>264</v>
      </c>
      <c r="I2520" t="s">
        <v>72</v>
      </c>
    </row>
    <row r="2521" spans="1:9" x14ac:dyDescent="0.25">
      <c r="A2521" t="s">
        <v>264</v>
      </c>
      <c r="B2521" t="s">
        <v>100</v>
      </c>
      <c r="C2521" t="s">
        <v>774</v>
      </c>
      <c r="D2521" s="1">
        <v>45326</v>
      </c>
      <c r="E2521" t="s">
        <v>304</v>
      </c>
      <c r="F2521">
        <v>-4.2</v>
      </c>
      <c r="G2521" t="s">
        <v>70</v>
      </c>
      <c r="H2521" t="s">
        <v>264</v>
      </c>
      <c r="I2521" t="s">
        <v>72</v>
      </c>
    </row>
    <row r="2522" spans="1:9" x14ac:dyDescent="0.25">
      <c r="A2522" t="s">
        <v>264</v>
      </c>
      <c r="B2522" t="s">
        <v>100</v>
      </c>
      <c r="C2522" t="s">
        <v>774</v>
      </c>
      <c r="D2522" s="1">
        <v>45327</v>
      </c>
      <c r="E2522" t="s">
        <v>304</v>
      </c>
      <c r="F2522">
        <v>-10.199999999999999</v>
      </c>
      <c r="G2522" t="s">
        <v>70</v>
      </c>
      <c r="H2522" t="s">
        <v>264</v>
      </c>
      <c r="I2522" t="s">
        <v>72</v>
      </c>
    </row>
    <row r="2523" spans="1:9" x14ac:dyDescent="0.25">
      <c r="A2523" t="s">
        <v>264</v>
      </c>
      <c r="B2523" t="s">
        <v>100</v>
      </c>
      <c r="C2523" t="s">
        <v>774</v>
      </c>
      <c r="D2523" s="1">
        <v>45327</v>
      </c>
      <c r="E2523" t="s">
        <v>304</v>
      </c>
      <c r="F2523">
        <v>-5.1100000000000003</v>
      </c>
      <c r="G2523" t="s">
        <v>70</v>
      </c>
      <c r="H2523" t="s">
        <v>264</v>
      </c>
      <c r="I2523" t="s">
        <v>72</v>
      </c>
    </row>
    <row r="2524" spans="1:9" x14ac:dyDescent="0.25">
      <c r="A2524" t="s">
        <v>264</v>
      </c>
      <c r="B2524" t="s">
        <v>100</v>
      </c>
      <c r="C2524" t="s">
        <v>774</v>
      </c>
      <c r="D2524" s="1">
        <v>45328</v>
      </c>
      <c r="E2524" t="s">
        <v>304</v>
      </c>
      <c r="F2524">
        <v>-48.56</v>
      </c>
      <c r="G2524" t="s">
        <v>70</v>
      </c>
      <c r="H2524" t="s">
        <v>264</v>
      </c>
      <c r="I2524" t="s">
        <v>72</v>
      </c>
    </row>
    <row r="2525" spans="1:9" x14ac:dyDescent="0.25">
      <c r="A2525" t="s">
        <v>264</v>
      </c>
      <c r="B2525" t="s">
        <v>100</v>
      </c>
      <c r="C2525" t="s">
        <v>774</v>
      </c>
      <c r="D2525" s="1">
        <v>45329</v>
      </c>
      <c r="E2525" t="s">
        <v>267</v>
      </c>
      <c r="F2525">
        <v>482.86</v>
      </c>
      <c r="G2525" t="s">
        <v>70</v>
      </c>
      <c r="H2525" t="s">
        <v>264</v>
      </c>
      <c r="I2525" t="s">
        <v>72</v>
      </c>
    </row>
    <row r="2526" spans="1:9" x14ac:dyDescent="0.25">
      <c r="A2526" t="s">
        <v>264</v>
      </c>
      <c r="B2526" t="s">
        <v>100</v>
      </c>
      <c r="C2526" t="s">
        <v>774</v>
      </c>
      <c r="D2526" s="1">
        <v>45329</v>
      </c>
      <c r="E2526" t="s">
        <v>304</v>
      </c>
      <c r="F2526">
        <v>-379.07</v>
      </c>
      <c r="G2526" t="s">
        <v>70</v>
      </c>
      <c r="H2526" t="s">
        <v>264</v>
      </c>
      <c r="I2526" t="s">
        <v>72</v>
      </c>
    </row>
    <row r="2527" spans="1:9" x14ac:dyDescent="0.25">
      <c r="A2527" t="s">
        <v>264</v>
      </c>
      <c r="B2527" t="s">
        <v>100</v>
      </c>
      <c r="C2527" t="s">
        <v>774</v>
      </c>
      <c r="D2527" s="1">
        <v>45329</v>
      </c>
      <c r="E2527" t="s">
        <v>267</v>
      </c>
      <c r="F2527">
        <v>4451.75</v>
      </c>
      <c r="G2527" t="s">
        <v>70</v>
      </c>
      <c r="H2527" t="s">
        <v>264</v>
      </c>
      <c r="I2527" t="s">
        <v>72</v>
      </c>
    </row>
    <row r="2528" spans="1:9" x14ac:dyDescent="0.25">
      <c r="A2528" t="s">
        <v>264</v>
      </c>
      <c r="B2528" t="s">
        <v>100</v>
      </c>
      <c r="C2528" t="s">
        <v>774</v>
      </c>
      <c r="D2528" s="1">
        <v>45329</v>
      </c>
      <c r="E2528" t="s">
        <v>275</v>
      </c>
      <c r="F2528">
        <v>1729.79</v>
      </c>
      <c r="G2528" t="s">
        <v>70</v>
      </c>
      <c r="H2528" t="s">
        <v>264</v>
      </c>
      <c r="I2528" t="s">
        <v>72</v>
      </c>
    </row>
    <row r="2529" spans="1:9" x14ac:dyDescent="0.25">
      <c r="A2529" t="s">
        <v>264</v>
      </c>
      <c r="B2529" t="s">
        <v>100</v>
      </c>
      <c r="C2529" t="s">
        <v>774</v>
      </c>
      <c r="D2529" s="1">
        <v>45329</v>
      </c>
      <c r="E2529" t="s">
        <v>304</v>
      </c>
      <c r="F2529">
        <v>-34.880000000000003</v>
      </c>
      <c r="G2529" t="s">
        <v>70</v>
      </c>
      <c r="H2529" t="s">
        <v>264</v>
      </c>
      <c r="I2529" t="s">
        <v>72</v>
      </c>
    </row>
    <row r="2530" spans="1:9" x14ac:dyDescent="0.25">
      <c r="A2530" t="s">
        <v>264</v>
      </c>
      <c r="B2530" t="s">
        <v>100</v>
      </c>
      <c r="C2530" t="s">
        <v>774</v>
      </c>
      <c r="D2530" s="1">
        <v>45329</v>
      </c>
      <c r="E2530" t="s">
        <v>304</v>
      </c>
      <c r="F2530">
        <v>-145.43</v>
      </c>
      <c r="G2530" t="s">
        <v>70</v>
      </c>
      <c r="H2530" t="s">
        <v>264</v>
      </c>
      <c r="I2530" t="s">
        <v>72</v>
      </c>
    </row>
    <row r="2531" spans="1:9" x14ac:dyDescent="0.25">
      <c r="A2531" t="s">
        <v>264</v>
      </c>
      <c r="B2531" t="s">
        <v>100</v>
      </c>
      <c r="C2531" t="s">
        <v>774</v>
      </c>
      <c r="D2531" s="1">
        <v>45329</v>
      </c>
      <c r="E2531" t="s">
        <v>322</v>
      </c>
      <c r="F2531">
        <v>-520.99</v>
      </c>
      <c r="G2531" t="s">
        <v>70</v>
      </c>
      <c r="H2531" t="s">
        <v>264</v>
      </c>
      <c r="I2531" t="s">
        <v>72</v>
      </c>
    </row>
    <row r="2532" spans="1:9" x14ac:dyDescent="0.25">
      <c r="A2532" t="s">
        <v>264</v>
      </c>
      <c r="B2532" t="s">
        <v>100</v>
      </c>
      <c r="C2532" t="s">
        <v>774</v>
      </c>
      <c r="D2532" s="1">
        <v>45330</v>
      </c>
      <c r="E2532" t="s">
        <v>304</v>
      </c>
      <c r="F2532">
        <v>-136.32</v>
      </c>
      <c r="G2532" t="s">
        <v>70</v>
      </c>
      <c r="H2532" t="s">
        <v>264</v>
      </c>
      <c r="I2532" t="s">
        <v>72</v>
      </c>
    </row>
    <row r="2533" spans="1:9" x14ac:dyDescent="0.25">
      <c r="A2533" t="s">
        <v>264</v>
      </c>
      <c r="B2533" t="s">
        <v>100</v>
      </c>
      <c r="C2533" t="s">
        <v>774</v>
      </c>
      <c r="D2533" s="1">
        <v>45330</v>
      </c>
      <c r="E2533" t="s">
        <v>304</v>
      </c>
      <c r="F2533">
        <v>-44.95</v>
      </c>
      <c r="G2533" t="s">
        <v>70</v>
      </c>
      <c r="H2533" t="s">
        <v>264</v>
      </c>
      <c r="I2533" t="s">
        <v>72</v>
      </c>
    </row>
    <row r="2534" spans="1:9" x14ac:dyDescent="0.25">
      <c r="A2534" t="s">
        <v>264</v>
      </c>
      <c r="B2534" t="s">
        <v>100</v>
      </c>
      <c r="C2534" t="s">
        <v>774</v>
      </c>
      <c r="D2534" s="1">
        <v>45331</v>
      </c>
      <c r="E2534" t="s">
        <v>267</v>
      </c>
      <c r="F2534">
        <v>3353.1</v>
      </c>
      <c r="G2534" t="s">
        <v>70</v>
      </c>
      <c r="H2534" t="s">
        <v>264</v>
      </c>
      <c r="I2534" t="s">
        <v>72</v>
      </c>
    </row>
    <row r="2535" spans="1:9" x14ac:dyDescent="0.25">
      <c r="A2535" t="s">
        <v>264</v>
      </c>
      <c r="B2535" t="s">
        <v>100</v>
      </c>
      <c r="C2535" t="s">
        <v>774</v>
      </c>
      <c r="D2535" s="1">
        <v>45331</v>
      </c>
      <c r="E2535" t="s">
        <v>304</v>
      </c>
      <c r="F2535">
        <v>-2030.11</v>
      </c>
      <c r="G2535" t="s">
        <v>70</v>
      </c>
      <c r="H2535" t="s">
        <v>264</v>
      </c>
      <c r="I2535" t="s">
        <v>72</v>
      </c>
    </row>
    <row r="2536" spans="1:9" x14ac:dyDescent="0.25">
      <c r="A2536" t="s">
        <v>264</v>
      </c>
      <c r="B2536" t="s">
        <v>100</v>
      </c>
      <c r="C2536" t="s">
        <v>774</v>
      </c>
      <c r="D2536" s="1">
        <v>45331</v>
      </c>
      <c r="E2536" t="s">
        <v>267</v>
      </c>
      <c r="F2536">
        <v>409.16</v>
      </c>
      <c r="G2536" t="s">
        <v>70</v>
      </c>
      <c r="H2536" t="s">
        <v>264</v>
      </c>
      <c r="I2536" t="s">
        <v>72</v>
      </c>
    </row>
    <row r="2537" spans="1:9" x14ac:dyDescent="0.25">
      <c r="A2537" t="s">
        <v>264</v>
      </c>
      <c r="B2537" t="s">
        <v>100</v>
      </c>
      <c r="C2537" t="s">
        <v>774</v>
      </c>
      <c r="D2537" s="1">
        <v>45331</v>
      </c>
      <c r="E2537" t="s">
        <v>269</v>
      </c>
      <c r="F2537">
        <v>-88.76</v>
      </c>
      <c r="G2537" t="s">
        <v>70</v>
      </c>
      <c r="H2537" t="s">
        <v>264</v>
      </c>
      <c r="I2537" t="s">
        <v>72</v>
      </c>
    </row>
    <row r="2538" spans="1:9" x14ac:dyDescent="0.25">
      <c r="A2538" t="s">
        <v>264</v>
      </c>
      <c r="B2538" t="s">
        <v>100</v>
      </c>
      <c r="C2538" t="s">
        <v>774</v>
      </c>
      <c r="D2538" s="1">
        <v>45331</v>
      </c>
      <c r="E2538" t="s">
        <v>304</v>
      </c>
      <c r="F2538">
        <v>-356.52</v>
      </c>
      <c r="G2538" t="s">
        <v>70</v>
      </c>
      <c r="H2538" t="s">
        <v>264</v>
      </c>
      <c r="I2538" t="s">
        <v>72</v>
      </c>
    </row>
    <row r="2539" spans="1:9" x14ac:dyDescent="0.25">
      <c r="A2539" t="s">
        <v>264</v>
      </c>
      <c r="B2539" t="s">
        <v>100</v>
      </c>
      <c r="C2539" t="s">
        <v>774</v>
      </c>
      <c r="D2539" s="1">
        <v>45331</v>
      </c>
      <c r="E2539" t="s">
        <v>268</v>
      </c>
      <c r="F2539">
        <v>82.52</v>
      </c>
      <c r="G2539" t="s">
        <v>70</v>
      </c>
      <c r="H2539" t="s">
        <v>264</v>
      </c>
      <c r="I2539" t="s">
        <v>72</v>
      </c>
    </row>
    <row r="2540" spans="1:9" x14ac:dyDescent="0.25">
      <c r="A2540" t="s">
        <v>264</v>
      </c>
      <c r="B2540" t="s">
        <v>100</v>
      </c>
      <c r="C2540" t="s">
        <v>774</v>
      </c>
      <c r="D2540" s="1">
        <v>45331</v>
      </c>
      <c r="E2540" t="s">
        <v>271</v>
      </c>
      <c r="F2540">
        <v>-1770.83</v>
      </c>
      <c r="G2540" t="s">
        <v>70</v>
      </c>
      <c r="H2540" t="s">
        <v>264</v>
      </c>
      <c r="I2540" t="s">
        <v>72</v>
      </c>
    </row>
    <row r="2541" spans="1:9" x14ac:dyDescent="0.25">
      <c r="A2541" t="s">
        <v>264</v>
      </c>
      <c r="B2541" t="s">
        <v>100</v>
      </c>
      <c r="C2541" t="s">
        <v>774</v>
      </c>
      <c r="D2541" s="1">
        <v>45331</v>
      </c>
      <c r="E2541" t="s">
        <v>272</v>
      </c>
      <c r="F2541">
        <v>-1279.78</v>
      </c>
      <c r="G2541" t="s">
        <v>70</v>
      </c>
      <c r="H2541" t="s">
        <v>264</v>
      </c>
      <c r="I2541" t="s">
        <v>72</v>
      </c>
    </row>
    <row r="2542" spans="1:9" x14ac:dyDescent="0.25">
      <c r="A2542" t="s">
        <v>264</v>
      </c>
      <c r="B2542" t="s">
        <v>100</v>
      </c>
      <c r="C2542" t="s">
        <v>774</v>
      </c>
      <c r="D2542" s="1">
        <v>45331</v>
      </c>
      <c r="E2542" t="s">
        <v>273</v>
      </c>
      <c r="F2542">
        <v>-240.16</v>
      </c>
      <c r="G2542" t="s">
        <v>70</v>
      </c>
      <c r="H2542" t="s">
        <v>264</v>
      </c>
      <c r="I2542" t="s">
        <v>72</v>
      </c>
    </row>
    <row r="2543" spans="1:9" x14ac:dyDescent="0.25">
      <c r="A2543" t="s">
        <v>264</v>
      </c>
      <c r="B2543" t="s">
        <v>100</v>
      </c>
      <c r="C2543" t="s">
        <v>774</v>
      </c>
      <c r="D2543" s="1">
        <v>45332</v>
      </c>
      <c r="E2543" t="s">
        <v>304</v>
      </c>
      <c r="F2543">
        <v>-27.08</v>
      </c>
      <c r="G2543" t="s">
        <v>70</v>
      </c>
      <c r="H2543" t="s">
        <v>264</v>
      </c>
      <c r="I2543" t="s">
        <v>72</v>
      </c>
    </row>
    <row r="2544" spans="1:9" x14ac:dyDescent="0.25">
      <c r="A2544" t="s">
        <v>264</v>
      </c>
      <c r="B2544" t="s">
        <v>100</v>
      </c>
      <c r="C2544" t="s">
        <v>774</v>
      </c>
      <c r="D2544" s="1">
        <v>45333</v>
      </c>
      <c r="E2544" t="s">
        <v>304</v>
      </c>
      <c r="F2544">
        <v>-7.18</v>
      </c>
      <c r="G2544" t="s">
        <v>70</v>
      </c>
      <c r="H2544" t="s">
        <v>264</v>
      </c>
      <c r="I2544" t="s">
        <v>72</v>
      </c>
    </row>
    <row r="2545" spans="1:9" x14ac:dyDescent="0.25">
      <c r="A2545" t="s">
        <v>264</v>
      </c>
      <c r="B2545" t="s">
        <v>100</v>
      </c>
      <c r="C2545" t="s">
        <v>774</v>
      </c>
      <c r="D2545" s="1">
        <v>45333</v>
      </c>
      <c r="E2545" t="s">
        <v>267</v>
      </c>
      <c r="F2545">
        <v>3476.81</v>
      </c>
      <c r="G2545" t="s">
        <v>70</v>
      </c>
      <c r="H2545" t="s">
        <v>264</v>
      </c>
      <c r="I2545" t="s">
        <v>72</v>
      </c>
    </row>
    <row r="2546" spans="1:9" x14ac:dyDescent="0.25">
      <c r="A2546" t="s">
        <v>264</v>
      </c>
      <c r="B2546" t="s">
        <v>100</v>
      </c>
      <c r="C2546" t="s">
        <v>774</v>
      </c>
      <c r="D2546" s="1">
        <v>45333</v>
      </c>
      <c r="E2546" t="s">
        <v>304</v>
      </c>
      <c r="F2546">
        <v>-4971.32</v>
      </c>
      <c r="G2546" t="s">
        <v>70</v>
      </c>
      <c r="H2546" t="s">
        <v>264</v>
      </c>
      <c r="I2546" t="s">
        <v>72</v>
      </c>
    </row>
    <row r="2547" spans="1:9" x14ac:dyDescent="0.25">
      <c r="A2547" t="s">
        <v>264</v>
      </c>
      <c r="B2547" t="s">
        <v>100</v>
      </c>
      <c r="C2547" t="s">
        <v>774</v>
      </c>
      <c r="D2547" s="1">
        <v>45333</v>
      </c>
      <c r="E2547" t="s">
        <v>267</v>
      </c>
      <c r="F2547">
        <v>174.44</v>
      </c>
      <c r="G2547" t="s">
        <v>70</v>
      </c>
      <c r="H2547" t="s">
        <v>264</v>
      </c>
      <c r="I2547" t="s">
        <v>72</v>
      </c>
    </row>
    <row r="2548" spans="1:9" x14ac:dyDescent="0.25">
      <c r="A2548" t="s">
        <v>264</v>
      </c>
      <c r="B2548" t="s">
        <v>100</v>
      </c>
      <c r="C2548" t="s">
        <v>774</v>
      </c>
      <c r="D2548" s="1">
        <v>45333</v>
      </c>
      <c r="E2548" t="s">
        <v>267</v>
      </c>
      <c r="F2548">
        <v>273.5</v>
      </c>
      <c r="G2548" t="s">
        <v>70</v>
      </c>
      <c r="H2548" t="s">
        <v>264</v>
      </c>
      <c r="I2548" t="s">
        <v>72</v>
      </c>
    </row>
    <row r="2549" spans="1:9" x14ac:dyDescent="0.25">
      <c r="A2549" t="s">
        <v>264</v>
      </c>
      <c r="B2549" t="s">
        <v>100</v>
      </c>
      <c r="C2549" t="s">
        <v>774</v>
      </c>
      <c r="D2549" s="1">
        <v>45333</v>
      </c>
      <c r="E2549" t="s">
        <v>304</v>
      </c>
      <c r="F2549">
        <v>-495.04</v>
      </c>
      <c r="G2549" t="s">
        <v>70</v>
      </c>
      <c r="H2549" t="s">
        <v>264</v>
      </c>
      <c r="I2549" t="s">
        <v>72</v>
      </c>
    </row>
    <row r="2550" spans="1:9" x14ac:dyDescent="0.25">
      <c r="A2550" t="s">
        <v>264</v>
      </c>
      <c r="B2550" t="s">
        <v>100</v>
      </c>
      <c r="C2550" t="s">
        <v>774</v>
      </c>
      <c r="D2550" s="1">
        <v>45336</v>
      </c>
      <c r="E2550" t="s">
        <v>304</v>
      </c>
      <c r="F2550">
        <v>-9.66</v>
      </c>
      <c r="G2550" t="s">
        <v>70</v>
      </c>
      <c r="H2550" t="s">
        <v>264</v>
      </c>
      <c r="I2550" t="s">
        <v>72</v>
      </c>
    </row>
    <row r="2551" spans="1:9" x14ac:dyDescent="0.25">
      <c r="A2551" t="s">
        <v>264</v>
      </c>
      <c r="B2551" t="s">
        <v>100</v>
      </c>
      <c r="C2551" t="s">
        <v>774</v>
      </c>
      <c r="D2551" s="1">
        <v>45336</v>
      </c>
      <c r="E2551" t="s">
        <v>304</v>
      </c>
      <c r="F2551">
        <v>-7.4</v>
      </c>
      <c r="G2551" t="s">
        <v>70</v>
      </c>
      <c r="H2551" t="s">
        <v>264</v>
      </c>
      <c r="I2551" t="s">
        <v>72</v>
      </c>
    </row>
    <row r="2552" spans="1:9" x14ac:dyDescent="0.25">
      <c r="A2552" t="s">
        <v>264</v>
      </c>
      <c r="B2552" t="s">
        <v>100</v>
      </c>
      <c r="C2552" t="s">
        <v>774</v>
      </c>
      <c r="D2552" s="1">
        <v>45336</v>
      </c>
      <c r="E2552" t="s">
        <v>274</v>
      </c>
      <c r="F2552">
        <v>902.35</v>
      </c>
      <c r="G2552" t="s">
        <v>74</v>
      </c>
      <c r="H2552" t="s">
        <v>256</v>
      </c>
      <c r="I2552" t="s">
        <v>346</v>
      </c>
    </row>
    <row r="2553" spans="1:9" x14ac:dyDescent="0.25">
      <c r="A2553" t="s">
        <v>264</v>
      </c>
      <c r="B2553" t="s">
        <v>100</v>
      </c>
      <c r="C2553" t="s">
        <v>774</v>
      </c>
      <c r="D2553" s="1">
        <v>45336</v>
      </c>
      <c r="E2553" t="s">
        <v>268</v>
      </c>
      <c r="F2553">
        <v>1245.33</v>
      </c>
      <c r="G2553" t="s">
        <v>70</v>
      </c>
      <c r="H2553" t="s">
        <v>264</v>
      </c>
      <c r="I2553" t="s">
        <v>72</v>
      </c>
    </row>
    <row r="2554" spans="1:9" x14ac:dyDescent="0.25">
      <c r="A2554" t="s">
        <v>264</v>
      </c>
      <c r="B2554" t="s">
        <v>100</v>
      </c>
      <c r="C2554" t="s">
        <v>774</v>
      </c>
      <c r="D2554" s="1">
        <v>45336</v>
      </c>
      <c r="E2554" t="s">
        <v>322</v>
      </c>
      <c r="F2554">
        <v>-1228.77</v>
      </c>
      <c r="G2554" t="s">
        <v>70</v>
      </c>
      <c r="H2554" t="s">
        <v>264</v>
      </c>
      <c r="I2554" t="s">
        <v>72</v>
      </c>
    </row>
    <row r="2555" spans="1:9" x14ac:dyDescent="0.25">
      <c r="A2555" t="s">
        <v>264</v>
      </c>
      <c r="B2555" t="s">
        <v>100</v>
      </c>
      <c r="C2555" t="s">
        <v>774</v>
      </c>
      <c r="D2555" s="1">
        <v>45337</v>
      </c>
      <c r="E2555" t="s">
        <v>304</v>
      </c>
      <c r="F2555">
        <v>-244.21</v>
      </c>
      <c r="G2555" t="s">
        <v>70</v>
      </c>
      <c r="H2555" t="s">
        <v>264</v>
      </c>
      <c r="I2555" t="s">
        <v>72</v>
      </c>
    </row>
    <row r="2556" spans="1:9" x14ac:dyDescent="0.25">
      <c r="A2556" t="s">
        <v>264</v>
      </c>
      <c r="B2556" t="s">
        <v>100</v>
      </c>
      <c r="C2556" t="s">
        <v>774</v>
      </c>
      <c r="D2556" s="1">
        <v>45337</v>
      </c>
      <c r="E2556" t="s">
        <v>304</v>
      </c>
      <c r="F2556">
        <v>-655.45</v>
      </c>
      <c r="G2556" t="s">
        <v>70</v>
      </c>
      <c r="H2556" t="s">
        <v>264</v>
      </c>
      <c r="I2556" t="s">
        <v>72</v>
      </c>
    </row>
    <row r="2557" spans="1:9" x14ac:dyDescent="0.25">
      <c r="A2557" t="s">
        <v>264</v>
      </c>
      <c r="B2557" t="s">
        <v>100</v>
      </c>
      <c r="C2557" t="s">
        <v>774</v>
      </c>
      <c r="D2557" s="1">
        <v>45337</v>
      </c>
      <c r="E2557" t="s">
        <v>269</v>
      </c>
      <c r="F2557">
        <v>-575.92999999999995</v>
      </c>
      <c r="G2557" t="s">
        <v>70</v>
      </c>
      <c r="H2557" t="s">
        <v>264</v>
      </c>
      <c r="I2557" t="s">
        <v>72</v>
      </c>
    </row>
    <row r="2558" spans="1:9" x14ac:dyDescent="0.25">
      <c r="A2558" t="s">
        <v>264</v>
      </c>
      <c r="B2558" t="s">
        <v>100</v>
      </c>
      <c r="C2558" t="s">
        <v>774</v>
      </c>
      <c r="D2558" s="1">
        <v>45337</v>
      </c>
      <c r="E2558" t="s">
        <v>275</v>
      </c>
      <c r="F2558">
        <v>1167.9100000000001</v>
      </c>
      <c r="G2558" t="s">
        <v>70</v>
      </c>
      <c r="H2558" t="s">
        <v>264</v>
      </c>
      <c r="I2558" t="s">
        <v>72</v>
      </c>
    </row>
    <row r="2559" spans="1:9" x14ac:dyDescent="0.25">
      <c r="A2559" t="s">
        <v>264</v>
      </c>
      <c r="B2559" t="s">
        <v>100</v>
      </c>
      <c r="C2559" t="s">
        <v>774</v>
      </c>
      <c r="D2559" s="1">
        <v>45338</v>
      </c>
      <c r="E2559" t="s">
        <v>269</v>
      </c>
      <c r="F2559">
        <v>-140.22999999999999</v>
      </c>
      <c r="G2559" t="s">
        <v>70</v>
      </c>
      <c r="H2559" t="s">
        <v>264</v>
      </c>
      <c r="I2559" t="s">
        <v>72</v>
      </c>
    </row>
    <row r="2560" spans="1:9" x14ac:dyDescent="0.25">
      <c r="A2560" t="s">
        <v>264</v>
      </c>
      <c r="B2560" t="s">
        <v>100</v>
      </c>
      <c r="C2560" t="s">
        <v>774</v>
      </c>
      <c r="D2560" s="1">
        <v>45338</v>
      </c>
      <c r="E2560" t="s">
        <v>285</v>
      </c>
      <c r="F2560">
        <v>-26.93</v>
      </c>
      <c r="G2560" t="s">
        <v>79</v>
      </c>
      <c r="H2560" t="s">
        <v>96</v>
      </c>
      <c r="I2560" t="s">
        <v>96</v>
      </c>
    </row>
    <row r="2561" spans="1:9" x14ac:dyDescent="0.25">
      <c r="A2561" t="s">
        <v>264</v>
      </c>
      <c r="B2561" t="s">
        <v>100</v>
      </c>
      <c r="C2561" t="s">
        <v>774</v>
      </c>
      <c r="D2561" s="1">
        <v>45338</v>
      </c>
      <c r="E2561" t="s">
        <v>304</v>
      </c>
      <c r="F2561">
        <v>-234.09</v>
      </c>
      <c r="G2561" t="s">
        <v>70</v>
      </c>
      <c r="H2561" t="s">
        <v>264</v>
      </c>
      <c r="I2561" t="s">
        <v>72</v>
      </c>
    </row>
    <row r="2562" spans="1:9" x14ac:dyDescent="0.25">
      <c r="A2562" t="s">
        <v>264</v>
      </c>
      <c r="B2562" t="s">
        <v>100</v>
      </c>
      <c r="C2562" t="s">
        <v>774</v>
      </c>
      <c r="D2562" s="1">
        <v>45338</v>
      </c>
      <c r="E2562" t="s">
        <v>333</v>
      </c>
      <c r="F2562">
        <v>-13.2</v>
      </c>
      <c r="G2562" t="s">
        <v>347</v>
      </c>
      <c r="H2562" t="s">
        <v>348</v>
      </c>
      <c r="I2562" t="s">
        <v>348</v>
      </c>
    </row>
    <row r="2563" spans="1:9" x14ac:dyDescent="0.25">
      <c r="A2563" t="s">
        <v>264</v>
      </c>
      <c r="B2563" t="s">
        <v>100</v>
      </c>
      <c r="C2563" t="s">
        <v>774</v>
      </c>
      <c r="D2563" s="1">
        <v>45340</v>
      </c>
      <c r="E2563" t="s">
        <v>304</v>
      </c>
      <c r="F2563">
        <v>-18.16</v>
      </c>
      <c r="G2563" t="s">
        <v>70</v>
      </c>
      <c r="H2563" t="s">
        <v>264</v>
      </c>
      <c r="I2563" t="s">
        <v>72</v>
      </c>
    </row>
    <row r="2564" spans="1:9" x14ac:dyDescent="0.25">
      <c r="A2564" t="s">
        <v>264</v>
      </c>
      <c r="B2564" t="s">
        <v>100</v>
      </c>
      <c r="C2564" t="s">
        <v>774</v>
      </c>
      <c r="D2564" s="1">
        <v>45340</v>
      </c>
      <c r="E2564" t="s">
        <v>304</v>
      </c>
      <c r="F2564">
        <v>-54.26</v>
      </c>
      <c r="G2564" t="s">
        <v>70</v>
      </c>
      <c r="H2564" t="s">
        <v>264</v>
      </c>
      <c r="I2564" t="s">
        <v>72</v>
      </c>
    </row>
    <row r="2565" spans="1:9" x14ac:dyDescent="0.25">
      <c r="A2565" t="s">
        <v>264</v>
      </c>
      <c r="B2565" t="s">
        <v>100</v>
      </c>
      <c r="C2565" t="s">
        <v>774</v>
      </c>
      <c r="D2565" s="1">
        <v>45340</v>
      </c>
      <c r="E2565" t="s">
        <v>304</v>
      </c>
      <c r="F2565">
        <v>-39.200000000000003</v>
      </c>
      <c r="G2565" t="s">
        <v>70</v>
      </c>
      <c r="H2565" t="s">
        <v>264</v>
      </c>
      <c r="I2565" t="s">
        <v>72</v>
      </c>
    </row>
    <row r="2566" spans="1:9" x14ac:dyDescent="0.25">
      <c r="A2566" t="s">
        <v>264</v>
      </c>
      <c r="B2566" t="s">
        <v>100</v>
      </c>
      <c r="C2566" t="s">
        <v>774</v>
      </c>
      <c r="D2566" s="1">
        <v>45342</v>
      </c>
      <c r="E2566" t="s">
        <v>267</v>
      </c>
      <c r="F2566">
        <v>124.9</v>
      </c>
      <c r="G2566" t="s">
        <v>70</v>
      </c>
      <c r="H2566" t="s">
        <v>264</v>
      </c>
      <c r="I2566" t="s">
        <v>72</v>
      </c>
    </row>
    <row r="2567" spans="1:9" x14ac:dyDescent="0.25">
      <c r="A2567" t="s">
        <v>264</v>
      </c>
      <c r="B2567" t="s">
        <v>100</v>
      </c>
      <c r="C2567" t="s">
        <v>774</v>
      </c>
      <c r="D2567" s="1">
        <v>45342</v>
      </c>
      <c r="E2567" t="s">
        <v>304</v>
      </c>
      <c r="F2567">
        <v>-389.48</v>
      </c>
      <c r="G2567" t="s">
        <v>70</v>
      </c>
      <c r="H2567" t="s">
        <v>264</v>
      </c>
      <c r="I2567" t="s">
        <v>72</v>
      </c>
    </row>
    <row r="2568" spans="1:9" x14ac:dyDescent="0.25">
      <c r="A2568" t="s">
        <v>264</v>
      </c>
      <c r="B2568" t="s">
        <v>100</v>
      </c>
      <c r="C2568" t="s">
        <v>774</v>
      </c>
      <c r="D2568" s="1">
        <v>45343</v>
      </c>
      <c r="E2568" t="s">
        <v>304</v>
      </c>
      <c r="F2568">
        <v>-32.450000000000003</v>
      </c>
      <c r="G2568" t="s">
        <v>70</v>
      </c>
      <c r="H2568" t="s">
        <v>264</v>
      </c>
      <c r="I2568" t="s">
        <v>72</v>
      </c>
    </row>
    <row r="2569" spans="1:9" x14ac:dyDescent="0.25">
      <c r="A2569" t="s">
        <v>264</v>
      </c>
      <c r="B2569" t="s">
        <v>100</v>
      </c>
      <c r="C2569" t="s">
        <v>774</v>
      </c>
      <c r="D2569" s="1">
        <v>45343</v>
      </c>
      <c r="E2569" t="s">
        <v>267</v>
      </c>
      <c r="F2569">
        <v>680.42</v>
      </c>
      <c r="G2569" t="s">
        <v>70</v>
      </c>
      <c r="H2569" t="s">
        <v>264</v>
      </c>
      <c r="I2569" t="s">
        <v>72</v>
      </c>
    </row>
    <row r="2570" spans="1:9" x14ac:dyDescent="0.25">
      <c r="A2570" t="s">
        <v>264</v>
      </c>
      <c r="B2570" t="s">
        <v>100</v>
      </c>
      <c r="C2570" t="s">
        <v>774</v>
      </c>
      <c r="D2570" s="1">
        <v>45343</v>
      </c>
      <c r="E2570" t="s">
        <v>275</v>
      </c>
      <c r="F2570">
        <v>916.83</v>
      </c>
      <c r="G2570" t="s">
        <v>70</v>
      </c>
      <c r="H2570" t="s">
        <v>264</v>
      </c>
      <c r="I2570" t="s">
        <v>72</v>
      </c>
    </row>
    <row r="2571" spans="1:9" x14ac:dyDescent="0.25">
      <c r="A2571" t="s">
        <v>264</v>
      </c>
      <c r="B2571" t="s">
        <v>100</v>
      </c>
      <c r="C2571" t="s">
        <v>774</v>
      </c>
      <c r="D2571" s="1">
        <v>45343</v>
      </c>
      <c r="E2571" t="s">
        <v>322</v>
      </c>
      <c r="F2571">
        <v>-825.88</v>
      </c>
      <c r="G2571" t="s">
        <v>70</v>
      </c>
      <c r="H2571" t="s">
        <v>264</v>
      </c>
      <c r="I2571" t="s">
        <v>72</v>
      </c>
    </row>
    <row r="2572" spans="1:9" x14ac:dyDescent="0.25">
      <c r="A2572" t="s">
        <v>264</v>
      </c>
      <c r="B2572" t="s">
        <v>100</v>
      </c>
      <c r="C2572" t="s">
        <v>774</v>
      </c>
      <c r="D2572" s="1">
        <v>45344</v>
      </c>
      <c r="E2572" t="s">
        <v>304</v>
      </c>
      <c r="F2572">
        <v>-5.93</v>
      </c>
      <c r="G2572" t="s">
        <v>70</v>
      </c>
      <c r="H2572" t="s">
        <v>264</v>
      </c>
      <c r="I2572" t="s">
        <v>72</v>
      </c>
    </row>
    <row r="2573" spans="1:9" x14ac:dyDescent="0.25">
      <c r="A2573" t="s">
        <v>264</v>
      </c>
      <c r="B2573" t="s">
        <v>100</v>
      </c>
      <c r="C2573" t="s">
        <v>774</v>
      </c>
      <c r="D2573" s="1">
        <v>45344</v>
      </c>
      <c r="E2573" t="s">
        <v>267</v>
      </c>
      <c r="F2573">
        <v>1341.15</v>
      </c>
      <c r="G2573" t="s">
        <v>70</v>
      </c>
      <c r="H2573" t="s">
        <v>264</v>
      </c>
      <c r="I2573" t="s">
        <v>72</v>
      </c>
    </row>
    <row r="2574" spans="1:9" x14ac:dyDescent="0.25">
      <c r="A2574" t="s">
        <v>264</v>
      </c>
      <c r="B2574" t="s">
        <v>100</v>
      </c>
      <c r="C2574" t="s">
        <v>774</v>
      </c>
      <c r="D2574" s="1">
        <v>45344</v>
      </c>
      <c r="E2574" t="s">
        <v>304</v>
      </c>
      <c r="F2574">
        <v>-18.84</v>
      </c>
      <c r="G2574" t="s">
        <v>70</v>
      </c>
      <c r="H2574" t="s">
        <v>264</v>
      </c>
      <c r="I2574" t="s">
        <v>72</v>
      </c>
    </row>
    <row r="2575" spans="1:9" x14ac:dyDescent="0.25">
      <c r="A2575" t="s">
        <v>264</v>
      </c>
      <c r="B2575" t="s">
        <v>100</v>
      </c>
      <c r="C2575" t="s">
        <v>774</v>
      </c>
      <c r="D2575" s="1">
        <v>45345</v>
      </c>
      <c r="E2575" t="s">
        <v>271</v>
      </c>
      <c r="F2575">
        <v>-872.5</v>
      </c>
      <c r="G2575" t="s">
        <v>70</v>
      </c>
      <c r="H2575" t="s">
        <v>264</v>
      </c>
      <c r="I2575" t="s">
        <v>72</v>
      </c>
    </row>
    <row r="2576" spans="1:9" x14ac:dyDescent="0.25">
      <c r="A2576" t="s">
        <v>264</v>
      </c>
      <c r="B2576" t="s">
        <v>100</v>
      </c>
      <c r="C2576" t="s">
        <v>774</v>
      </c>
      <c r="D2576" s="1">
        <v>45345</v>
      </c>
      <c r="E2576" t="s">
        <v>272</v>
      </c>
      <c r="F2576">
        <v>-295.45</v>
      </c>
      <c r="G2576" t="s">
        <v>70</v>
      </c>
      <c r="H2576" t="s">
        <v>264</v>
      </c>
      <c r="I2576" t="s">
        <v>72</v>
      </c>
    </row>
    <row r="2577" spans="1:9" x14ac:dyDescent="0.25">
      <c r="A2577" t="s">
        <v>264</v>
      </c>
      <c r="B2577" t="s">
        <v>100</v>
      </c>
      <c r="C2577" t="s">
        <v>774</v>
      </c>
      <c r="D2577" s="1">
        <v>45345</v>
      </c>
      <c r="E2577" t="s">
        <v>273</v>
      </c>
      <c r="F2577">
        <v>-472.64</v>
      </c>
      <c r="G2577" t="s">
        <v>70</v>
      </c>
      <c r="H2577" t="s">
        <v>264</v>
      </c>
      <c r="I2577" t="s">
        <v>72</v>
      </c>
    </row>
    <row r="2578" spans="1:9" x14ac:dyDescent="0.25">
      <c r="A2578" t="s">
        <v>264</v>
      </c>
      <c r="B2578" t="s">
        <v>100</v>
      </c>
      <c r="C2578" t="s">
        <v>774</v>
      </c>
      <c r="D2578" s="1">
        <v>45346</v>
      </c>
      <c r="E2578" t="s">
        <v>267</v>
      </c>
      <c r="F2578">
        <v>195.29</v>
      </c>
      <c r="G2578" t="s">
        <v>70</v>
      </c>
      <c r="H2578" t="s">
        <v>264</v>
      </c>
      <c r="I2578" t="s">
        <v>72</v>
      </c>
    </row>
    <row r="2579" spans="1:9" x14ac:dyDescent="0.25">
      <c r="A2579" t="s">
        <v>264</v>
      </c>
      <c r="B2579" t="s">
        <v>100</v>
      </c>
      <c r="C2579" t="s">
        <v>774</v>
      </c>
      <c r="D2579" s="1">
        <v>45346</v>
      </c>
      <c r="E2579" t="s">
        <v>304</v>
      </c>
      <c r="F2579">
        <v>-20.49</v>
      </c>
      <c r="G2579" t="s">
        <v>70</v>
      </c>
      <c r="H2579" t="s">
        <v>264</v>
      </c>
      <c r="I2579" t="s">
        <v>72</v>
      </c>
    </row>
    <row r="2580" spans="1:9" x14ac:dyDescent="0.25">
      <c r="A2580" t="s">
        <v>264</v>
      </c>
      <c r="B2580" t="s">
        <v>100</v>
      </c>
      <c r="C2580" t="s">
        <v>774</v>
      </c>
      <c r="D2580" s="1">
        <v>45347</v>
      </c>
      <c r="E2580" t="s">
        <v>304</v>
      </c>
      <c r="F2580">
        <v>-46.34</v>
      </c>
      <c r="G2580" t="s">
        <v>70</v>
      </c>
      <c r="H2580" t="s">
        <v>264</v>
      </c>
      <c r="I2580" t="s">
        <v>72</v>
      </c>
    </row>
    <row r="2581" spans="1:9" x14ac:dyDescent="0.25">
      <c r="A2581" t="s">
        <v>264</v>
      </c>
      <c r="B2581" t="s">
        <v>100</v>
      </c>
      <c r="C2581" t="s">
        <v>774</v>
      </c>
      <c r="D2581" s="1">
        <v>45348</v>
      </c>
      <c r="E2581" t="s">
        <v>334</v>
      </c>
      <c r="F2581">
        <v>-0.53</v>
      </c>
      <c r="G2581" t="s">
        <v>76</v>
      </c>
      <c r="H2581" t="s">
        <v>87</v>
      </c>
      <c r="I2581" t="s">
        <v>88</v>
      </c>
    </row>
    <row r="2582" spans="1:9" x14ac:dyDescent="0.25">
      <c r="A2582" t="s">
        <v>264</v>
      </c>
      <c r="B2582" t="s">
        <v>100</v>
      </c>
      <c r="C2582" t="s">
        <v>774</v>
      </c>
      <c r="D2582" s="1">
        <v>45349</v>
      </c>
      <c r="E2582" t="s">
        <v>268</v>
      </c>
      <c r="F2582">
        <v>233.24</v>
      </c>
      <c r="G2582" t="s">
        <v>70</v>
      </c>
      <c r="H2582" t="s">
        <v>264</v>
      </c>
      <c r="I2582" t="s">
        <v>72</v>
      </c>
    </row>
    <row r="2583" spans="1:9" x14ac:dyDescent="0.25">
      <c r="A2583" t="s">
        <v>264</v>
      </c>
      <c r="B2583" t="s">
        <v>100</v>
      </c>
      <c r="C2583" t="s">
        <v>774</v>
      </c>
      <c r="D2583" s="1">
        <v>45349</v>
      </c>
      <c r="E2583" t="s">
        <v>304</v>
      </c>
      <c r="F2583">
        <v>-140.37</v>
      </c>
      <c r="G2583" t="s">
        <v>70</v>
      </c>
      <c r="H2583" t="s">
        <v>264</v>
      </c>
      <c r="I2583" t="s">
        <v>72</v>
      </c>
    </row>
    <row r="2584" spans="1:9" x14ac:dyDescent="0.25">
      <c r="A2584" t="s">
        <v>264</v>
      </c>
      <c r="B2584" t="s">
        <v>100</v>
      </c>
      <c r="C2584" t="s">
        <v>774</v>
      </c>
      <c r="D2584" s="1">
        <v>45349</v>
      </c>
      <c r="E2584" t="s">
        <v>304</v>
      </c>
      <c r="F2584">
        <v>-0.01</v>
      </c>
      <c r="G2584" t="s">
        <v>70</v>
      </c>
      <c r="H2584" t="s">
        <v>264</v>
      </c>
      <c r="I2584" t="s">
        <v>72</v>
      </c>
    </row>
    <row r="2585" spans="1:9" x14ac:dyDescent="0.25">
      <c r="A2585" t="s">
        <v>264</v>
      </c>
      <c r="B2585" t="s">
        <v>100</v>
      </c>
      <c r="C2585" t="s">
        <v>774</v>
      </c>
      <c r="D2585" s="1">
        <v>45350</v>
      </c>
      <c r="E2585" t="s">
        <v>274</v>
      </c>
      <c r="F2585">
        <v>1965.05</v>
      </c>
      <c r="G2585" t="s">
        <v>74</v>
      </c>
      <c r="H2585" t="s">
        <v>256</v>
      </c>
      <c r="I2585" t="s">
        <v>346</v>
      </c>
    </row>
    <row r="2586" spans="1:9" x14ac:dyDescent="0.25">
      <c r="A2586" t="s">
        <v>264</v>
      </c>
      <c r="B2586" t="s">
        <v>100</v>
      </c>
      <c r="C2586" t="s">
        <v>774</v>
      </c>
      <c r="D2586" s="1">
        <v>45350</v>
      </c>
      <c r="E2586" t="s">
        <v>304</v>
      </c>
      <c r="F2586">
        <v>-3546.83</v>
      </c>
      <c r="G2586" t="s">
        <v>70</v>
      </c>
      <c r="H2586" t="s">
        <v>264</v>
      </c>
      <c r="I2586" t="s">
        <v>72</v>
      </c>
    </row>
    <row r="2587" spans="1:9" x14ac:dyDescent="0.25">
      <c r="A2587" t="s">
        <v>264</v>
      </c>
      <c r="B2587" t="s">
        <v>100</v>
      </c>
      <c r="C2587" t="s">
        <v>774</v>
      </c>
      <c r="D2587" s="1">
        <v>45350</v>
      </c>
      <c r="E2587" t="s">
        <v>275</v>
      </c>
      <c r="F2587">
        <v>671.16</v>
      </c>
      <c r="G2587" t="s">
        <v>70</v>
      </c>
      <c r="H2587" t="s">
        <v>264</v>
      </c>
      <c r="I2587" t="s">
        <v>72</v>
      </c>
    </row>
    <row r="2588" spans="1:9" x14ac:dyDescent="0.25">
      <c r="A2588" t="s">
        <v>264</v>
      </c>
      <c r="B2588" t="s">
        <v>100</v>
      </c>
      <c r="C2588" t="s">
        <v>774</v>
      </c>
      <c r="D2588" s="1">
        <v>45350</v>
      </c>
      <c r="E2588" t="s">
        <v>268</v>
      </c>
      <c r="F2588">
        <v>43.9</v>
      </c>
      <c r="G2588" t="s">
        <v>70</v>
      </c>
      <c r="H2588" t="s">
        <v>264</v>
      </c>
      <c r="I2588" t="s">
        <v>72</v>
      </c>
    </row>
    <row r="2589" spans="1:9" x14ac:dyDescent="0.25">
      <c r="A2589" t="s">
        <v>264</v>
      </c>
      <c r="B2589" t="s">
        <v>100</v>
      </c>
      <c r="C2589" t="s">
        <v>774</v>
      </c>
      <c r="D2589" s="1">
        <v>45350</v>
      </c>
      <c r="E2589" t="s">
        <v>322</v>
      </c>
      <c r="F2589">
        <v>-640.9</v>
      </c>
      <c r="G2589" t="s">
        <v>70</v>
      </c>
      <c r="H2589" t="s">
        <v>264</v>
      </c>
      <c r="I2589" t="s">
        <v>72</v>
      </c>
    </row>
    <row r="2590" spans="1:9" x14ac:dyDescent="0.25">
      <c r="A2590" t="s">
        <v>264</v>
      </c>
      <c r="B2590" t="s">
        <v>100</v>
      </c>
      <c r="C2590" t="s">
        <v>774</v>
      </c>
      <c r="D2590" s="1">
        <v>45351</v>
      </c>
      <c r="E2590" t="s">
        <v>304</v>
      </c>
      <c r="F2590">
        <v>-12.85</v>
      </c>
      <c r="G2590" t="s">
        <v>70</v>
      </c>
      <c r="H2590" t="s">
        <v>264</v>
      </c>
      <c r="I2590" t="s">
        <v>72</v>
      </c>
    </row>
    <row r="2591" spans="1:9" x14ac:dyDescent="0.25">
      <c r="A2591" t="s">
        <v>264</v>
      </c>
      <c r="B2591" t="s">
        <v>100</v>
      </c>
      <c r="C2591" t="s">
        <v>774</v>
      </c>
      <c r="D2591" s="1">
        <v>45351</v>
      </c>
      <c r="E2591" t="s">
        <v>269</v>
      </c>
      <c r="F2591">
        <v>-1266.81</v>
      </c>
      <c r="G2591" t="s">
        <v>70</v>
      </c>
      <c r="H2591" t="s">
        <v>264</v>
      </c>
      <c r="I2591" t="s">
        <v>72</v>
      </c>
    </row>
    <row r="2592" spans="1:9" x14ac:dyDescent="0.25">
      <c r="A2592" t="s">
        <v>264</v>
      </c>
      <c r="B2592" t="s">
        <v>100</v>
      </c>
      <c r="C2592" t="s">
        <v>774</v>
      </c>
      <c r="D2592" s="1">
        <v>45351</v>
      </c>
      <c r="E2592" t="s">
        <v>298</v>
      </c>
      <c r="F2592">
        <v>0</v>
      </c>
      <c r="G2592" t="s">
        <v>84</v>
      </c>
      <c r="H2592" t="s">
        <v>85</v>
      </c>
      <c r="I2592" t="s">
        <v>86</v>
      </c>
    </row>
    <row r="2593" spans="1:9" x14ac:dyDescent="0.25">
      <c r="A2593" t="s">
        <v>264</v>
      </c>
      <c r="B2593" t="s">
        <v>100</v>
      </c>
      <c r="C2593" t="s">
        <v>774</v>
      </c>
      <c r="D2593" s="1">
        <v>45352</v>
      </c>
      <c r="E2593" t="s">
        <v>267</v>
      </c>
      <c r="F2593">
        <v>35.96</v>
      </c>
      <c r="G2593" t="s">
        <v>70</v>
      </c>
      <c r="H2593" t="s">
        <v>264</v>
      </c>
      <c r="I2593" t="s">
        <v>72</v>
      </c>
    </row>
    <row r="2594" spans="1:9" x14ac:dyDescent="0.25">
      <c r="A2594" t="s">
        <v>264</v>
      </c>
      <c r="B2594" t="s">
        <v>100</v>
      </c>
      <c r="C2594" t="s">
        <v>774</v>
      </c>
      <c r="D2594" s="1">
        <v>45352</v>
      </c>
      <c r="E2594" t="s">
        <v>335</v>
      </c>
      <c r="F2594">
        <v>-8.0299999999999994</v>
      </c>
      <c r="G2594" t="s">
        <v>347</v>
      </c>
      <c r="H2594" t="s">
        <v>348</v>
      </c>
      <c r="I2594" t="s">
        <v>348</v>
      </c>
    </row>
    <row r="2595" spans="1:9" x14ac:dyDescent="0.25">
      <c r="A2595" t="s">
        <v>264</v>
      </c>
      <c r="B2595" t="s">
        <v>100</v>
      </c>
      <c r="C2595" t="s">
        <v>774</v>
      </c>
      <c r="D2595" s="1">
        <v>45353</v>
      </c>
      <c r="E2595" t="s">
        <v>336</v>
      </c>
      <c r="F2595">
        <v>-2.27</v>
      </c>
      <c r="G2595" t="s">
        <v>76</v>
      </c>
      <c r="H2595" t="s">
        <v>87</v>
      </c>
      <c r="I2595" t="s">
        <v>88</v>
      </c>
    </row>
    <row r="2596" spans="1:9" x14ac:dyDescent="0.25">
      <c r="A2596" t="s">
        <v>264</v>
      </c>
      <c r="B2596" t="s">
        <v>100</v>
      </c>
      <c r="C2596" t="s">
        <v>774</v>
      </c>
      <c r="D2596" s="1">
        <v>45353</v>
      </c>
      <c r="E2596" t="s">
        <v>337</v>
      </c>
      <c r="F2596">
        <v>-11.24</v>
      </c>
      <c r="G2596" t="s">
        <v>76</v>
      </c>
      <c r="H2596" t="s">
        <v>87</v>
      </c>
      <c r="I2596" t="s">
        <v>88</v>
      </c>
    </row>
    <row r="2597" spans="1:9" x14ac:dyDescent="0.25">
      <c r="A2597" t="s">
        <v>264</v>
      </c>
      <c r="B2597" t="s">
        <v>100</v>
      </c>
      <c r="C2597" t="s">
        <v>774</v>
      </c>
      <c r="D2597" s="1">
        <v>45353</v>
      </c>
      <c r="E2597" t="s">
        <v>304</v>
      </c>
      <c r="F2597">
        <v>-31.64</v>
      </c>
      <c r="G2597" t="s">
        <v>70</v>
      </c>
      <c r="H2597" t="s">
        <v>264</v>
      </c>
      <c r="I2597" t="s">
        <v>72</v>
      </c>
    </row>
    <row r="2598" spans="1:9" x14ac:dyDescent="0.25">
      <c r="A2598" t="s">
        <v>264</v>
      </c>
      <c r="B2598" t="s">
        <v>100</v>
      </c>
      <c r="C2598" t="s">
        <v>774</v>
      </c>
      <c r="D2598" s="1">
        <v>45353</v>
      </c>
      <c r="E2598" t="s">
        <v>304</v>
      </c>
      <c r="F2598">
        <v>-24.32</v>
      </c>
      <c r="G2598" t="s">
        <v>70</v>
      </c>
      <c r="H2598" t="s">
        <v>264</v>
      </c>
      <c r="I2598" t="s">
        <v>72</v>
      </c>
    </row>
    <row r="2599" spans="1:9" x14ac:dyDescent="0.25">
      <c r="A2599" t="s">
        <v>264</v>
      </c>
      <c r="B2599" t="s">
        <v>100</v>
      </c>
      <c r="C2599" t="s">
        <v>774</v>
      </c>
      <c r="D2599" s="1">
        <v>45354</v>
      </c>
      <c r="E2599" t="s">
        <v>304</v>
      </c>
      <c r="F2599">
        <v>-33.799999999999997</v>
      </c>
      <c r="G2599" t="s">
        <v>70</v>
      </c>
      <c r="H2599" t="s">
        <v>264</v>
      </c>
      <c r="I2599" t="s">
        <v>72</v>
      </c>
    </row>
    <row r="2600" spans="1:9" x14ac:dyDescent="0.25">
      <c r="A2600" t="s">
        <v>264</v>
      </c>
      <c r="B2600" t="s">
        <v>100</v>
      </c>
      <c r="C2600" t="s">
        <v>774</v>
      </c>
      <c r="D2600" s="1">
        <v>45355</v>
      </c>
      <c r="E2600" t="s">
        <v>304</v>
      </c>
      <c r="F2600">
        <v>-8.42</v>
      </c>
      <c r="G2600" t="s">
        <v>70</v>
      </c>
      <c r="H2600" t="s">
        <v>264</v>
      </c>
      <c r="I2600" t="s">
        <v>72</v>
      </c>
    </row>
    <row r="2601" spans="1:9" x14ac:dyDescent="0.25">
      <c r="A2601" t="s">
        <v>264</v>
      </c>
      <c r="B2601" t="s">
        <v>100</v>
      </c>
      <c r="C2601" t="s">
        <v>774</v>
      </c>
      <c r="D2601" s="1">
        <v>45356</v>
      </c>
      <c r="E2601" t="s">
        <v>304</v>
      </c>
      <c r="F2601">
        <v>-24.55</v>
      </c>
      <c r="G2601" t="s">
        <v>70</v>
      </c>
      <c r="H2601" t="s">
        <v>264</v>
      </c>
      <c r="I2601" t="s">
        <v>72</v>
      </c>
    </row>
    <row r="2602" spans="1:9" x14ac:dyDescent="0.25">
      <c r="A2602" t="s">
        <v>264</v>
      </c>
      <c r="B2602" t="s">
        <v>100</v>
      </c>
      <c r="C2602" t="s">
        <v>774</v>
      </c>
      <c r="D2602" s="1">
        <v>45357</v>
      </c>
      <c r="E2602" t="s">
        <v>304</v>
      </c>
      <c r="F2602">
        <v>-61.43</v>
      </c>
      <c r="G2602" t="s">
        <v>70</v>
      </c>
      <c r="H2602" t="s">
        <v>264</v>
      </c>
      <c r="I2602" t="s">
        <v>72</v>
      </c>
    </row>
    <row r="2603" spans="1:9" x14ac:dyDescent="0.25">
      <c r="A2603" t="s">
        <v>264</v>
      </c>
      <c r="B2603" t="s">
        <v>100</v>
      </c>
      <c r="C2603" t="s">
        <v>774</v>
      </c>
      <c r="D2603" s="1">
        <v>45357</v>
      </c>
      <c r="E2603" t="s">
        <v>267</v>
      </c>
      <c r="F2603">
        <v>3422.08</v>
      </c>
      <c r="G2603" t="s">
        <v>70</v>
      </c>
      <c r="H2603" t="s">
        <v>264</v>
      </c>
      <c r="I2603" t="s">
        <v>72</v>
      </c>
    </row>
    <row r="2604" spans="1:9" x14ac:dyDescent="0.25">
      <c r="A2604" t="s">
        <v>264</v>
      </c>
      <c r="B2604" t="s">
        <v>100</v>
      </c>
      <c r="C2604" t="s">
        <v>774</v>
      </c>
      <c r="D2604" s="1">
        <v>45357</v>
      </c>
      <c r="E2604" t="s">
        <v>322</v>
      </c>
      <c r="F2604">
        <v>-456.89</v>
      </c>
      <c r="G2604" t="s">
        <v>70</v>
      </c>
      <c r="H2604" t="s">
        <v>264</v>
      </c>
      <c r="I2604" t="s">
        <v>72</v>
      </c>
    </row>
    <row r="2605" spans="1:9" x14ac:dyDescent="0.25">
      <c r="A2605" t="s">
        <v>264</v>
      </c>
      <c r="B2605" t="s">
        <v>100</v>
      </c>
      <c r="C2605" t="s">
        <v>774</v>
      </c>
      <c r="D2605" s="1">
        <v>45357</v>
      </c>
      <c r="E2605" t="s">
        <v>275</v>
      </c>
      <c r="F2605">
        <v>549.15</v>
      </c>
      <c r="G2605" t="s">
        <v>70</v>
      </c>
      <c r="H2605" t="s">
        <v>264</v>
      </c>
      <c r="I2605" t="s">
        <v>72</v>
      </c>
    </row>
    <row r="2606" spans="1:9" x14ac:dyDescent="0.25">
      <c r="A2606" t="s">
        <v>264</v>
      </c>
      <c r="B2606" t="s">
        <v>100</v>
      </c>
      <c r="C2606" t="s">
        <v>774</v>
      </c>
      <c r="D2606" s="1">
        <v>45357</v>
      </c>
      <c r="E2606" t="s">
        <v>267</v>
      </c>
      <c r="F2606">
        <v>108.87</v>
      </c>
      <c r="G2606" t="s">
        <v>70</v>
      </c>
      <c r="H2606" t="s">
        <v>264</v>
      </c>
      <c r="I2606" t="s">
        <v>72</v>
      </c>
    </row>
    <row r="2607" spans="1:9" x14ac:dyDescent="0.25">
      <c r="A2607" t="s">
        <v>264</v>
      </c>
      <c r="B2607" t="s">
        <v>100</v>
      </c>
      <c r="C2607" t="s">
        <v>774</v>
      </c>
      <c r="D2607" s="1">
        <v>45357</v>
      </c>
      <c r="E2607" t="s">
        <v>304</v>
      </c>
      <c r="F2607">
        <v>-228.07</v>
      </c>
      <c r="G2607" t="s">
        <v>70</v>
      </c>
      <c r="H2607" t="s">
        <v>264</v>
      </c>
      <c r="I2607" t="s">
        <v>72</v>
      </c>
    </row>
    <row r="2608" spans="1:9" x14ac:dyDescent="0.25">
      <c r="A2608" t="s">
        <v>264</v>
      </c>
      <c r="B2608" t="s">
        <v>100</v>
      </c>
      <c r="C2608" t="s">
        <v>774</v>
      </c>
      <c r="D2608" s="1">
        <v>45358</v>
      </c>
      <c r="E2608" t="s">
        <v>338</v>
      </c>
      <c r="F2608">
        <v>40.61</v>
      </c>
      <c r="G2608" t="s">
        <v>76</v>
      </c>
      <c r="H2608" t="s">
        <v>87</v>
      </c>
      <c r="I2608" t="s">
        <v>88</v>
      </c>
    </row>
    <row r="2609" spans="1:9" x14ac:dyDescent="0.25">
      <c r="A2609" t="s">
        <v>264</v>
      </c>
      <c r="B2609" t="s">
        <v>100</v>
      </c>
      <c r="C2609" t="s">
        <v>774</v>
      </c>
      <c r="D2609" s="1">
        <v>45358</v>
      </c>
      <c r="E2609" t="s">
        <v>304</v>
      </c>
      <c r="F2609">
        <v>-139.25</v>
      </c>
      <c r="G2609" t="s">
        <v>70</v>
      </c>
      <c r="H2609" t="s">
        <v>264</v>
      </c>
      <c r="I2609" t="s">
        <v>72</v>
      </c>
    </row>
    <row r="2610" spans="1:9" x14ac:dyDescent="0.25">
      <c r="A2610" t="s">
        <v>264</v>
      </c>
      <c r="B2610" t="s">
        <v>100</v>
      </c>
      <c r="C2610" t="s">
        <v>774</v>
      </c>
      <c r="D2610" s="1">
        <v>45359</v>
      </c>
      <c r="E2610" t="s">
        <v>271</v>
      </c>
      <c r="F2610">
        <v>-781.25</v>
      </c>
      <c r="G2610" t="s">
        <v>70</v>
      </c>
      <c r="H2610" t="s">
        <v>264</v>
      </c>
      <c r="I2610" t="s">
        <v>72</v>
      </c>
    </row>
    <row r="2611" spans="1:9" x14ac:dyDescent="0.25">
      <c r="A2611" t="s">
        <v>264</v>
      </c>
      <c r="B2611" t="s">
        <v>100</v>
      </c>
      <c r="C2611" t="s">
        <v>774</v>
      </c>
      <c r="D2611" s="1">
        <v>45359</v>
      </c>
      <c r="E2611" t="s">
        <v>272</v>
      </c>
      <c r="F2611">
        <v>-314.77999999999997</v>
      </c>
      <c r="G2611" t="s">
        <v>70</v>
      </c>
      <c r="H2611" t="s">
        <v>264</v>
      </c>
      <c r="I2611" t="s">
        <v>72</v>
      </c>
    </row>
    <row r="2612" spans="1:9" x14ac:dyDescent="0.25">
      <c r="A2612" t="s">
        <v>264</v>
      </c>
      <c r="B2612" t="s">
        <v>100</v>
      </c>
      <c r="C2612" t="s">
        <v>774</v>
      </c>
      <c r="D2612" s="1">
        <v>45359</v>
      </c>
      <c r="E2612" t="s">
        <v>273</v>
      </c>
      <c r="F2612">
        <v>-352.79</v>
      </c>
      <c r="G2612" t="s">
        <v>70</v>
      </c>
      <c r="H2612" t="s">
        <v>264</v>
      </c>
      <c r="I2612" t="s">
        <v>72</v>
      </c>
    </row>
    <row r="2613" spans="1:9" x14ac:dyDescent="0.25">
      <c r="A2613" t="s">
        <v>264</v>
      </c>
      <c r="B2613" t="s">
        <v>100</v>
      </c>
      <c r="C2613" t="s">
        <v>774</v>
      </c>
      <c r="D2613" s="1">
        <v>45360</v>
      </c>
      <c r="E2613" t="s">
        <v>304</v>
      </c>
      <c r="F2613">
        <v>-14.41</v>
      </c>
      <c r="G2613" t="s">
        <v>70</v>
      </c>
      <c r="H2613" t="s">
        <v>264</v>
      </c>
      <c r="I2613" t="s">
        <v>72</v>
      </c>
    </row>
    <row r="2614" spans="1:9" x14ac:dyDescent="0.25">
      <c r="A2614" t="s">
        <v>264</v>
      </c>
      <c r="B2614" t="s">
        <v>100</v>
      </c>
      <c r="C2614" t="s">
        <v>774</v>
      </c>
      <c r="D2614" s="1">
        <v>45360</v>
      </c>
      <c r="E2614" t="s">
        <v>339</v>
      </c>
      <c r="F2614">
        <v>-7.68</v>
      </c>
      <c r="G2614" t="s">
        <v>76</v>
      </c>
      <c r="H2614" t="s">
        <v>87</v>
      </c>
      <c r="I2614" t="s">
        <v>88</v>
      </c>
    </row>
    <row r="2615" spans="1:9" x14ac:dyDescent="0.25">
      <c r="A2615" t="s">
        <v>264</v>
      </c>
      <c r="B2615" t="s">
        <v>100</v>
      </c>
      <c r="C2615" t="s">
        <v>774</v>
      </c>
      <c r="D2615" s="1">
        <v>45361</v>
      </c>
      <c r="E2615" t="s">
        <v>267</v>
      </c>
      <c r="F2615">
        <v>362.44</v>
      </c>
      <c r="G2615" t="s">
        <v>70</v>
      </c>
      <c r="H2615" t="s">
        <v>264</v>
      </c>
      <c r="I2615" t="s">
        <v>72</v>
      </c>
    </row>
    <row r="2616" spans="1:9" x14ac:dyDescent="0.25">
      <c r="A2616" t="s">
        <v>264</v>
      </c>
      <c r="B2616" t="s">
        <v>100</v>
      </c>
      <c r="C2616" t="s">
        <v>774</v>
      </c>
      <c r="D2616" s="1">
        <v>45361</v>
      </c>
      <c r="E2616" t="s">
        <v>304</v>
      </c>
      <c r="F2616">
        <v>-76.739999999999995</v>
      </c>
      <c r="G2616" t="s">
        <v>70</v>
      </c>
      <c r="H2616" t="s">
        <v>264</v>
      </c>
      <c r="I2616" t="s">
        <v>72</v>
      </c>
    </row>
    <row r="2617" spans="1:9" x14ac:dyDescent="0.25">
      <c r="A2617" t="s">
        <v>264</v>
      </c>
      <c r="B2617" t="s">
        <v>100</v>
      </c>
      <c r="C2617" t="s">
        <v>774</v>
      </c>
      <c r="D2617" s="1">
        <v>45364</v>
      </c>
      <c r="E2617" t="s">
        <v>304</v>
      </c>
      <c r="F2617">
        <v>-107.83</v>
      </c>
      <c r="G2617" t="s">
        <v>70</v>
      </c>
      <c r="H2617" t="s">
        <v>264</v>
      </c>
      <c r="I2617" t="s">
        <v>72</v>
      </c>
    </row>
    <row r="2618" spans="1:9" x14ac:dyDescent="0.25">
      <c r="A2618" t="s">
        <v>264</v>
      </c>
      <c r="B2618" t="s">
        <v>100</v>
      </c>
      <c r="C2618" t="s">
        <v>774</v>
      </c>
      <c r="D2618" s="1">
        <v>45364</v>
      </c>
      <c r="E2618" t="s">
        <v>274</v>
      </c>
      <c r="F2618">
        <v>760.03</v>
      </c>
      <c r="G2618" t="s">
        <v>74</v>
      </c>
      <c r="H2618" t="s">
        <v>256</v>
      </c>
      <c r="I2618" t="s">
        <v>346</v>
      </c>
    </row>
    <row r="2619" spans="1:9" x14ac:dyDescent="0.25">
      <c r="A2619" t="s">
        <v>264</v>
      </c>
      <c r="B2619" t="s">
        <v>100</v>
      </c>
      <c r="C2619" t="s">
        <v>774</v>
      </c>
      <c r="D2619" s="1">
        <v>45364</v>
      </c>
      <c r="E2619" t="s">
        <v>269</v>
      </c>
      <c r="F2619">
        <v>-175.4</v>
      </c>
      <c r="G2619" t="s">
        <v>70</v>
      </c>
      <c r="H2619" t="s">
        <v>264</v>
      </c>
      <c r="I2619" t="s">
        <v>72</v>
      </c>
    </row>
    <row r="2620" spans="1:9" x14ac:dyDescent="0.25">
      <c r="A2620" t="s">
        <v>264</v>
      </c>
      <c r="B2620" t="s">
        <v>100</v>
      </c>
      <c r="C2620" t="s">
        <v>774</v>
      </c>
      <c r="D2620" s="1">
        <v>45364</v>
      </c>
      <c r="E2620" t="s">
        <v>322</v>
      </c>
      <c r="F2620">
        <v>-929.13</v>
      </c>
      <c r="G2620" t="s">
        <v>70</v>
      </c>
      <c r="H2620" t="s">
        <v>264</v>
      </c>
      <c r="I2620" t="s">
        <v>72</v>
      </c>
    </row>
    <row r="2621" spans="1:9" x14ac:dyDescent="0.25">
      <c r="A2621" t="s">
        <v>264</v>
      </c>
      <c r="B2621" t="s">
        <v>100</v>
      </c>
      <c r="C2621" t="s">
        <v>774</v>
      </c>
      <c r="D2621" s="1">
        <v>45364</v>
      </c>
      <c r="E2621" t="s">
        <v>275</v>
      </c>
      <c r="F2621">
        <v>1117.23</v>
      </c>
      <c r="G2621" t="s">
        <v>70</v>
      </c>
      <c r="H2621" t="s">
        <v>264</v>
      </c>
      <c r="I2621" t="s">
        <v>72</v>
      </c>
    </row>
    <row r="2622" spans="1:9" x14ac:dyDescent="0.25">
      <c r="A2622" t="s">
        <v>264</v>
      </c>
      <c r="B2622" t="s">
        <v>100</v>
      </c>
      <c r="C2622" t="s">
        <v>774</v>
      </c>
      <c r="D2622" s="1">
        <v>45364</v>
      </c>
      <c r="E2622" t="s">
        <v>268</v>
      </c>
      <c r="F2622">
        <v>795.2</v>
      </c>
      <c r="G2622" t="s">
        <v>70</v>
      </c>
      <c r="H2622" t="s">
        <v>264</v>
      </c>
      <c r="I2622" t="s">
        <v>72</v>
      </c>
    </row>
    <row r="2623" spans="1:9" x14ac:dyDescent="0.25">
      <c r="A2623" t="s">
        <v>264</v>
      </c>
      <c r="B2623" t="s">
        <v>100</v>
      </c>
      <c r="C2623" t="s">
        <v>774</v>
      </c>
      <c r="D2623" s="1">
        <v>45365</v>
      </c>
      <c r="E2623" t="s">
        <v>269</v>
      </c>
      <c r="F2623">
        <v>-666.45</v>
      </c>
      <c r="G2623" t="s">
        <v>70</v>
      </c>
      <c r="H2623" t="s">
        <v>264</v>
      </c>
      <c r="I2623" t="s">
        <v>72</v>
      </c>
    </row>
    <row r="2624" spans="1:9" x14ac:dyDescent="0.25">
      <c r="A2624" t="s">
        <v>264</v>
      </c>
      <c r="B2624" t="s">
        <v>100</v>
      </c>
      <c r="C2624" t="s">
        <v>774</v>
      </c>
      <c r="D2624" s="1">
        <v>45365</v>
      </c>
      <c r="E2624" t="s">
        <v>267</v>
      </c>
      <c r="F2624">
        <v>697.49</v>
      </c>
      <c r="G2624" t="s">
        <v>70</v>
      </c>
      <c r="H2624" t="s">
        <v>264</v>
      </c>
      <c r="I2624" t="s">
        <v>72</v>
      </c>
    </row>
    <row r="2625" spans="1:9" x14ac:dyDescent="0.25">
      <c r="A2625" t="s">
        <v>264</v>
      </c>
      <c r="B2625" t="s">
        <v>100</v>
      </c>
      <c r="C2625" t="s">
        <v>774</v>
      </c>
      <c r="D2625" s="1">
        <v>45365</v>
      </c>
      <c r="E2625" t="s">
        <v>304</v>
      </c>
      <c r="F2625">
        <v>-61.62</v>
      </c>
      <c r="G2625" t="s">
        <v>70</v>
      </c>
      <c r="H2625" t="s">
        <v>264</v>
      </c>
      <c r="I2625" t="s">
        <v>72</v>
      </c>
    </row>
    <row r="2626" spans="1:9" x14ac:dyDescent="0.25">
      <c r="A2626" t="s">
        <v>264</v>
      </c>
      <c r="B2626" t="s">
        <v>100</v>
      </c>
      <c r="C2626" t="s">
        <v>774</v>
      </c>
      <c r="D2626" s="1">
        <v>45365</v>
      </c>
      <c r="E2626" t="s">
        <v>304</v>
      </c>
      <c r="F2626">
        <v>-138.74</v>
      </c>
      <c r="G2626" t="s">
        <v>70</v>
      </c>
      <c r="H2626" t="s">
        <v>264</v>
      </c>
      <c r="I2626" t="s">
        <v>72</v>
      </c>
    </row>
    <row r="2627" spans="1:9" x14ac:dyDescent="0.25">
      <c r="A2627" t="s">
        <v>264</v>
      </c>
      <c r="B2627" t="s">
        <v>100</v>
      </c>
      <c r="C2627" t="s">
        <v>774</v>
      </c>
      <c r="D2627" s="1">
        <v>45366</v>
      </c>
      <c r="E2627" t="s">
        <v>304</v>
      </c>
      <c r="F2627">
        <v>-206</v>
      </c>
      <c r="G2627" t="s">
        <v>70</v>
      </c>
      <c r="H2627" t="s">
        <v>264</v>
      </c>
      <c r="I2627" t="s">
        <v>72</v>
      </c>
    </row>
    <row r="2628" spans="1:9" x14ac:dyDescent="0.25">
      <c r="A2628" t="s">
        <v>264</v>
      </c>
      <c r="B2628" t="s">
        <v>100</v>
      </c>
      <c r="C2628" t="s">
        <v>774</v>
      </c>
      <c r="D2628" s="1">
        <v>45366</v>
      </c>
      <c r="E2628" t="s">
        <v>340</v>
      </c>
      <c r="F2628">
        <v>-14.21</v>
      </c>
      <c r="G2628" t="s">
        <v>347</v>
      </c>
      <c r="H2628" t="s">
        <v>348</v>
      </c>
      <c r="I2628" t="s">
        <v>348</v>
      </c>
    </row>
    <row r="2629" spans="1:9" x14ac:dyDescent="0.25">
      <c r="A2629" t="s">
        <v>264</v>
      </c>
      <c r="B2629" t="s">
        <v>100</v>
      </c>
      <c r="C2629" t="s">
        <v>774</v>
      </c>
      <c r="D2629" s="1">
        <v>45367</v>
      </c>
      <c r="E2629" t="s">
        <v>304</v>
      </c>
      <c r="F2629">
        <v>-138.94</v>
      </c>
      <c r="G2629" t="s">
        <v>70</v>
      </c>
      <c r="H2629" t="s">
        <v>264</v>
      </c>
      <c r="I2629" t="s">
        <v>72</v>
      </c>
    </row>
    <row r="2630" spans="1:9" x14ac:dyDescent="0.25">
      <c r="A2630" t="s">
        <v>264</v>
      </c>
      <c r="B2630" t="s">
        <v>100</v>
      </c>
      <c r="C2630" t="s">
        <v>774</v>
      </c>
      <c r="D2630" s="1">
        <v>45367</v>
      </c>
      <c r="E2630" t="s">
        <v>267</v>
      </c>
      <c r="F2630">
        <v>538.02</v>
      </c>
      <c r="G2630" t="s">
        <v>70</v>
      </c>
      <c r="H2630" t="s">
        <v>264</v>
      </c>
      <c r="I2630" t="s">
        <v>72</v>
      </c>
    </row>
    <row r="2631" spans="1:9" x14ac:dyDescent="0.25">
      <c r="A2631" t="s">
        <v>264</v>
      </c>
      <c r="B2631" t="s">
        <v>100</v>
      </c>
      <c r="C2631" t="s">
        <v>774</v>
      </c>
      <c r="D2631" s="1">
        <v>45370</v>
      </c>
      <c r="E2631" t="s">
        <v>304</v>
      </c>
      <c r="F2631">
        <v>-0.7</v>
      </c>
      <c r="G2631" t="s">
        <v>70</v>
      </c>
      <c r="H2631" t="s">
        <v>264</v>
      </c>
      <c r="I2631" t="s">
        <v>72</v>
      </c>
    </row>
    <row r="2632" spans="1:9" x14ac:dyDescent="0.25">
      <c r="A2632" t="s">
        <v>264</v>
      </c>
      <c r="B2632" t="s">
        <v>100</v>
      </c>
      <c r="C2632" t="s">
        <v>774</v>
      </c>
      <c r="D2632" s="1">
        <v>45371</v>
      </c>
      <c r="E2632" t="s">
        <v>267</v>
      </c>
      <c r="F2632">
        <v>4977.87</v>
      </c>
      <c r="G2632" t="s">
        <v>70</v>
      </c>
      <c r="H2632" t="s">
        <v>264</v>
      </c>
      <c r="I2632" t="s">
        <v>72</v>
      </c>
    </row>
    <row r="2633" spans="1:9" x14ac:dyDescent="0.25">
      <c r="A2633" t="s">
        <v>264</v>
      </c>
      <c r="B2633" t="s">
        <v>100</v>
      </c>
      <c r="C2633" t="s">
        <v>774</v>
      </c>
      <c r="D2633" s="1">
        <v>45371</v>
      </c>
      <c r="E2633" t="s">
        <v>304</v>
      </c>
      <c r="F2633">
        <v>-71.14</v>
      </c>
      <c r="G2633" t="s">
        <v>70</v>
      </c>
      <c r="H2633" t="s">
        <v>264</v>
      </c>
      <c r="I2633" t="s">
        <v>72</v>
      </c>
    </row>
    <row r="2634" spans="1:9" x14ac:dyDescent="0.25">
      <c r="A2634" t="s">
        <v>264</v>
      </c>
      <c r="B2634" t="s">
        <v>100</v>
      </c>
      <c r="C2634" t="s">
        <v>774</v>
      </c>
      <c r="D2634" s="1">
        <v>45371</v>
      </c>
      <c r="E2634" t="s">
        <v>304</v>
      </c>
      <c r="F2634">
        <v>-91.85</v>
      </c>
      <c r="G2634" t="s">
        <v>70</v>
      </c>
      <c r="H2634" t="s">
        <v>264</v>
      </c>
      <c r="I2634" t="s">
        <v>72</v>
      </c>
    </row>
    <row r="2635" spans="1:9" x14ac:dyDescent="0.25">
      <c r="A2635" t="s">
        <v>264</v>
      </c>
      <c r="B2635" t="s">
        <v>100</v>
      </c>
      <c r="C2635" t="s">
        <v>774</v>
      </c>
      <c r="D2635" s="1">
        <v>45371</v>
      </c>
      <c r="E2635" t="s">
        <v>322</v>
      </c>
      <c r="F2635">
        <v>-905.57</v>
      </c>
      <c r="G2635" t="s">
        <v>70</v>
      </c>
      <c r="H2635" t="s">
        <v>264</v>
      </c>
      <c r="I2635" t="s">
        <v>72</v>
      </c>
    </row>
    <row r="2636" spans="1:9" x14ac:dyDescent="0.25">
      <c r="A2636" t="s">
        <v>264</v>
      </c>
      <c r="B2636" t="s">
        <v>100</v>
      </c>
      <c r="C2636" t="s">
        <v>774</v>
      </c>
      <c r="D2636" s="1">
        <v>45373</v>
      </c>
      <c r="E2636" t="s">
        <v>275</v>
      </c>
      <c r="F2636">
        <v>260.14999999999998</v>
      </c>
      <c r="G2636" t="s">
        <v>70</v>
      </c>
      <c r="H2636" t="s">
        <v>264</v>
      </c>
      <c r="I2636" t="s">
        <v>72</v>
      </c>
    </row>
    <row r="2637" spans="1:9" x14ac:dyDescent="0.25">
      <c r="A2637" t="s">
        <v>264</v>
      </c>
      <c r="B2637" t="s">
        <v>100</v>
      </c>
      <c r="C2637" t="s">
        <v>774</v>
      </c>
      <c r="D2637" s="1">
        <v>45373</v>
      </c>
      <c r="E2637" t="s">
        <v>271</v>
      </c>
      <c r="F2637">
        <v>-1664.62</v>
      </c>
      <c r="G2637" t="s">
        <v>70</v>
      </c>
      <c r="H2637" t="s">
        <v>264</v>
      </c>
      <c r="I2637" t="s">
        <v>72</v>
      </c>
    </row>
    <row r="2638" spans="1:9" x14ac:dyDescent="0.25">
      <c r="A2638" t="s">
        <v>264</v>
      </c>
      <c r="B2638" t="s">
        <v>100</v>
      </c>
      <c r="C2638" t="s">
        <v>774</v>
      </c>
      <c r="D2638" s="1">
        <v>45373</v>
      </c>
      <c r="E2638" t="s">
        <v>272</v>
      </c>
      <c r="F2638">
        <v>-1797.45</v>
      </c>
      <c r="G2638" t="s">
        <v>70</v>
      </c>
      <c r="H2638" t="s">
        <v>264</v>
      </c>
      <c r="I2638" t="s">
        <v>72</v>
      </c>
    </row>
    <row r="2639" spans="1:9" x14ac:dyDescent="0.25">
      <c r="A2639" t="s">
        <v>264</v>
      </c>
      <c r="B2639" t="s">
        <v>100</v>
      </c>
      <c r="C2639" t="s">
        <v>774</v>
      </c>
      <c r="D2639" s="1">
        <v>45373</v>
      </c>
      <c r="E2639" t="s">
        <v>273</v>
      </c>
      <c r="F2639">
        <v>-421.61</v>
      </c>
      <c r="G2639" t="s">
        <v>70</v>
      </c>
      <c r="H2639" t="s">
        <v>264</v>
      </c>
      <c r="I2639" t="s">
        <v>72</v>
      </c>
    </row>
    <row r="2640" spans="1:9" x14ac:dyDescent="0.25">
      <c r="A2640" t="s">
        <v>264</v>
      </c>
      <c r="B2640" t="s">
        <v>100</v>
      </c>
      <c r="C2640" t="s">
        <v>774</v>
      </c>
      <c r="D2640" s="1">
        <v>45373</v>
      </c>
      <c r="E2640" t="s">
        <v>341</v>
      </c>
      <c r="F2640">
        <v>-197.89</v>
      </c>
      <c r="G2640" t="s">
        <v>76</v>
      </c>
      <c r="H2640" t="s">
        <v>82</v>
      </c>
      <c r="I2640" t="s">
        <v>83</v>
      </c>
    </row>
    <row r="2641" spans="1:9" x14ac:dyDescent="0.25">
      <c r="A2641" t="s">
        <v>264</v>
      </c>
      <c r="B2641" t="s">
        <v>100</v>
      </c>
      <c r="C2641" t="s">
        <v>774</v>
      </c>
      <c r="D2641" s="1">
        <v>45374</v>
      </c>
      <c r="E2641" t="s">
        <v>269</v>
      </c>
      <c r="F2641">
        <v>-1315.38</v>
      </c>
      <c r="G2641" t="s">
        <v>70</v>
      </c>
      <c r="H2641" t="s">
        <v>264</v>
      </c>
      <c r="I2641" t="s">
        <v>72</v>
      </c>
    </row>
    <row r="2642" spans="1:9" x14ac:dyDescent="0.25">
      <c r="A2642" t="s">
        <v>264</v>
      </c>
      <c r="B2642" t="s">
        <v>100</v>
      </c>
      <c r="C2642" t="s">
        <v>774</v>
      </c>
      <c r="D2642" s="1">
        <v>45376</v>
      </c>
      <c r="E2642" t="s">
        <v>342</v>
      </c>
      <c r="F2642">
        <v>-0.27</v>
      </c>
      <c r="G2642" t="s">
        <v>84</v>
      </c>
      <c r="H2642" t="s">
        <v>85</v>
      </c>
      <c r="I2642" t="s">
        <v>86</v>
      </c>
    </row>
    <row r="2643" spans="1:9" x14ac:dyDescent="0.25">
      <c r="A2643" t="s">
        <v>264</v>
      </c>
      <c r="B2643" t="s">
        <v>100</v>
      </c>
      <c r="C2643" t="s">
        <v>774</v>
      </c>
      <c r="D2643" s="1">
        <v>45376</v>
      </c>
      <c r="E2643" t="s">
        <v>304</v>
      </c>
      <c r="F2643">
        <v>-4.54</v>
      </c>
      <c r="G2643" t="s">
        <v>70</v>
      </c>
      <c r="H2643" t="s">
        <v>264</v>
      </c>
      <c r="I2643" t="s">
        <v>72</v>
      </c>
    </row>
    <row r="2644" spans="1:9" x14ac:dyDescent="0.25">
      <c r="A2644" t="s">
        <v>264</v>
      </c>
      <c r="B2644" t="s">
        <v>100</v>
      </c>
      <c r="C2644" t="s">
        <v>774</v>
      </c>
      <c r="D2644" s="1">
        <v>45378</v>
      </c>
      <c r="E2644" t="s">
        <v>274</v>
      </c>
      <c r="F2644">
        <v>1260.57</v>
      </c>
      <c r="G2644" t="s">
        <v>74</v>
      </c>
      <c r="H2644" t="s">
        <v>256</v>
      </c>
      <c r="I2644" t="s">
        <v>346</v>
      </c>
    </row>
    <row r="2645" spans="1:9" x14ac:dyDescent="0.25">
      <c r="A2645" t="s">
        <v>264</v>
      </c>
      <c r="B2645" t="s">
        <v>100</v>
      </c>
      <c r="C2645" t="s">
        <v>774</v>
      </c>
      <c r="D2645" s="1">
        <v>45378</v>
      </c>
      <c r="E2645" t="s">
        <v>275</v>
      </c>
      <c r="F2645">
        <v>596.16</v>
      </c>
      <c r="G2645" t="s">
        <v>70</v>
      </c>
      <c r="H2645" t="s">
        <v>264</v>
      </c>
      <c r="I2645" t="s">
        <v>72</v>
      </c>
    </row>
    <row r="2646" spans="1:9" x14ac:dyDescent="0.25">
      <c r="A2646" t="s">
        <v>264</v>
      </c>
      <c r="B2646" t="s">
        <v>100</v>
      </c>
      <c r="C2646" t="s">
        <v>774</v>
      </c>
      <c r="D2646" s="1">
        <v>45378</v>
      </c>
      <c r="E2646" t="s">
        <v>322</v>
      </c>
      <c r="F2646">
        <v>-866.49</v>
      </c>
      <c r="G2646" t="s">
        <v>70</v>
      </c>
      <c r="H2646" t="s">
        <v>264</v>
      </c>
      <c r="I2646" t="s">
        <v>72</v>
      </c>
    </row>
    <row r="2647" spans="1:9" x14ac:dyDescent="0.25">
      <c r="A2647" t="s">
        <v>264</v>
      </c>
      <c r="B2647" t="s">
        <v>100</v>
      </c>
      <c r="C2647" t="s">
        <v>774</v>
      </c>
      <c r="D2647" s="1">
        <v>45379</v>
      </c>
      <c r="E2647" t="s">
        <v>304</v>
      </c>
      <c r="F2647">
        <v>-66.39</v>
      </c>
      <c r="G2647" t="s">
        <v>70</v>
      </c>
      <c r="H2647" t="s">
        <v>264</v>
      </c>
      <c r="I2647" t="s">
        <v>72</v>
      </c>
    </row>
    <row r="2648" spans="1:9" x14ac:dyDescent="0.25">
      <c r="A2648" t="s">
        <v>264</v>
      </c>
      <c r="B2648" t="s">
        <v>100</v>
      </c>
      <c r="C2648" t="s">
        <v>774</v>
      </c>
      <c r="D2648" s="1">
        <v>45380</v>
      </c>
      <c r="E2648" t="s">
        <v>269</v>
      </c>
      <c r="F2648">
        <v>-3636.38</v>
      </c>
      <c r="G2648" t="s">
        <v>70</v>
      </c>
      <c r="H2648" t="s">
        <v>264</v>
      </c>
      <c r="I2648" t="s">
        <v>72</v>
      </c>
    </row>
    <row r="2649" spans="1:9" x14ac:dyDescent="0.25">
      <c r="A2649" t="s">
        <v>264</v>
      </c>
      <c r="B2649" t="s">
        <v>100</v>
      </c>
      <c r="C2649" t="s">
        <v>774</v>
      </c>
      <c r="D2649" s="1">
        <v>45380</v>
      </c>
      <c r="E2649" t="s">
        <v>343</v>
      </c>
      <c r="F2649">
        <v>-14.29</v>
      </c>
      <c r="G2649" t="s">
        <v>347</v>
      </c>
      <c r="H2649" t="s">
        <v>348</v>
      </c>
      <c r="I2649" t="s">
        <v>348</v>
      </c>
    </row>
    <row r="2650" spans="1:9" x14ac:dyDescent="0.25">
      <c r="A2650" t="s">
        <v>264</v>
      </c>
      <c r="B2650" t="s">
        <v>100</v>
      </c>
      <c r="C2650" t="s">
        <v>774</v>
      </c>
      <c r="D2650" s="1">
        <v>45381</v>
      </c>
      <c r="E2650" t="s">
        <v>344</v>
      </c>
      <c r="F2650">
        <v>19.27</v>
      </c>
      <c r="G2650" t="s">
        <v>76</v>
      </c>
      <c r="H2650" t="s">
        <v>87</v>
      </c>
      <c r="I2650" t="s">
        <v>88</v>
      </c>
    </row>
    <row r="2651" spans="1:9" x14ac:dyDescent="0.25">
      <c r="A2651" t="s">
        <v>264</v>
      </c>
      <c r="B2651" t="s">
        <v>100</v>
      </c>
      <c r="C2651" t="s">
        <v>774</v>
      </c>
      <c r="D2651" s="1">
        <v>45381</v>
      </c>
      <c r="E2651" t="s">
        <v>345</v>
      </c>
      <c r="F2651">
        <v>-11.54</v>
      </c>
      <c r="G2651" t="s">
        <v>76</v>
      </c>
      <c r="H2651" t="s">
        <v>87</v>
      </c>
      <c r="I2651" t="s">
        <v>88</v>
      </c>
    </row>
    <row r="2652" spans="1:9" x14ac:dyDescent="0.25">
      <c r="A2652" t="s">
        <v>264</v>
      </c>
      <c r="B2652" t="s">
        <v>100</v>
      </c>
      <c r="C2652" t="s">
        <v>774</v>
      </c>
      <c r="D2652" s="1">
        <v>45381</v>
      </c>
      <c r="E2652" t="s">
        <v>304</v>
      </c>
      <c r="F2652">
        <v>-346.58</v>
      </c>
      <c r="G2652" t="s">
        <v>70</v>
      </c>
      <c r="H2652" t="s">
        <v>264</v>
      </c>
      <c r="I2652" t="s">
        <v>72</v>
      </c>
    </row>
    <row r="2653" spans="1:9" x14ac:dyDescent="0.25">
      <c r="A2653" t="s">
        <v>264</v>
      </c>
      <c r="B2653" t="s">
        <v>100</v>
      </c>
      <c r="C2653" t="s">
        <v>774</v>
      </c>
      <c r="D2653" s="1">
        <v>45381</v>
      </c>
      <c r="E2653" t="s">
        <v>304</v>
      </c>
      <c r="F2653">
        <v>-146.55000000000001</v>
      </c>
      <c r="G2653" t="s">
        <v>70</v>
      </c>
      <c r="H2653" t="s">
        <v>264</v>
      </c>
      <c r="I2653" t="s">
        <v>72</v>
      </c>
    </row>
    <row r="2654" spans="1:9" x14ac:dyDescent="0.25">
      <c r="A2654" t="s">
        <v>264</v>
      </c>
      <c r="B2654" t="s">
        <v>100</v>
      </c>
      <c r="C2654" t="s">
        <v>775</v>
      </c>
      <c r="D2654" s="1">
        <v>45021</v>
      </c>
      <c r="E2654" t="s">
        <v>354</v>
      </c>
      <c r="F2654">
        <v>-2628.7</v>
      </c>
      <c r="G2654" t="s">
        <v>70</v>
      </c>
      <c r="H2654" t="s">
        <v>264</v>
      </c>
      <c r="I2654" t="s">
        <v>72</v>
      </c>
    </row>
    <row r="2655" spans="1:9" x14ac:dyDescent="0.25">
      <c r="A2655" t="s">
        <v>264</v>
      </c>
      <c r="B2655" t="s">
        <v>100</v>
      </c>
      <c r="C2655" t="s">
        <v>775</v>
      </c>
      <c r="D2655" s="1">
        <v>45022</v>
      </c>
      <c r="E2655" t="s">
        <v>355</v>
      </c>
      <c r="F2655">
        <v>116.78</v>
      </c>
      <c r="G2655" t="s">
        <v>70</v>
      </c>
      <c r="H2655" t="s">
        <v>264</v>
      </c>
      <c r="I2655" t="s">
        <v>72</v>
      </c>
    </row>
    <row r="2656" spans="1:9" x14ac:dyDescent="0.25">
      <c r="A2656" t="s">
        <v>264</v>
      </c>
      <c r="B2656" t="s">
        <v>100</v>
      </c>
      <c r="C2656" t="s">
        <v>775</v>
      </c>
      <c r="D2656" s="1">
        <v>45027</v>
      </c>
      <c r="E2656" t="s">
        <v>356</v>
      </c>
      <c r="F2656">
        <v>802.93</v>
      </c>
      <c r="G2656" t="s">
        <v>350</v>
      </c>
      <c r="H2656" t="s">
        <v>74</v>
      </c>
      <c r="I2656" t="s">
        <v>75</v>
      </c>
    </row>
    <row r="2657" spans="1:9" x14ac:dyDescent="0.25">
      <c r="A2657" t="s">
        <v>264</v>
      </c>
      <c r="B2657" t="s">
        <v>100</v>
      </c>
      <c r="C2657" t="s">
        <v>775</v>
      </c>
      <c r="D2657" s="1">
        <v>45028</v>
      </c>
      <c r="E2657" t="s">
        <v>355</v>
      </c>
      <c r="F2657">
        <v>2901.49</v>
      </c>
      <c r="G2657" t="s">
        <v>70</v>
      </c>
      <c r="H2657" t="s">
        <v>264</v>
      </c>
      <c r="I2657" t="s">
        <v>72</v>
      </c>
    </row>
    <row r="2658" spans="1:9" x14ac:dyDescent="0.25">
      <c r="A2658" t="s">
        <v>264</v>
      </c>
      <c r="B2658" t="s">
        <v>100</v>
      </c>
      <c r="C2658" t="s">
        <v>775</v>
      </c>
      <c r="D2658" s="1">
        <v>45036</v>
      </c>
      <c r="E2658" t="s">
        <v>354</v>
      </c>
      <c r="F2658">
        <v>-220.28</v>
      </c>
      <c r="G2658" t="s">
        <v>70</v>
      </c>
      <c r="H2658" t="s">
        <v>264</v>
      </c>
      <c r="I2658" t="s">
        <v>72</v>
      </c>
    </row>
    <row r="2659" spans="1:9" x14ac:dyDescent="0.25">
      <c r="A2659" t="s">
        <v>264</v>
      </c>
      <c r="B2659" t="s">
        <v>100</v>
      </c>
      <c r="C2659" t="s">
        <v>775</v>
      </c>
      <c r="D2659" s="1">
        <v>45036</v>
      </c>
      <c r="E2659" t="s">
        <v>354</v>
      </c>
      <c r="F2659">
        <v>-892.37</v>
      </c>
      <c r="G2659" t="s">
        <v>70</v>
      </c>
      <c r="H2659" t="s">
        <v>264</v>
      </c>
      <c r="I2659" t="s">
        <v>72</v>
      </c>
    </row>
    <row r="2660" spans="1:9" x14ac:dyDescent="0.25">
      <c r="A2660" t="s">
        <v>264</v>
      </c>
      <c r="B2660" t="s">
        <v>100</v>
      </c>
      <c r="C2660" t="s">
        <v>775</v>
      </c>
      <c r="D2660" s="1">
        <v>45037</v>
      </c>
      <c r="E2660" t="s">
        <v>357</v>
      </c>
      <c r="F2660">
        <v>37.85</v>
      </c>
      <c r="G2660" t="s">
        <v>350</v>
      </c>
      <c r="H2660" t="s">
        <v>74</v>
      </c>
      <c r="I2660" t="s">
        <v>75</v>
      </c>
    </row>
    <row r="2661" spans="1:9" x14ac:dyDescent="0.25">
      <c r="A2661" t="s">
        <v>264</v>
      </c>
      <c r="B2661" t="s">
        <v>100</v>
      </c>
      <c r="C2661" t="s">
        <v>775</v>
      </c>
      <c r="D2661" s="1">
        <v>45044</v>
      </c>
      <c r="E2661" t="s">
        <v>358</v>
      </c>
      <c r="F2661">
        <v>587.86</v>
      </c>
      <c r="G2661" t="s">
        <v>350</v>
      </c>
      <c r="H2661" t="s">
        <v>74</v>
      </c>
      <c r="I2661" t="s">
        <v>75</v>
      </c>
    </row>
    <row r="2662" spans="1:9" x14ac:dyDescent="0.25">
      <c r="A2662" t="s">
        <v>264</v>
      </c>
      <c r="B2662" t="s">
        <v>100</v>
      </c>
      <c r="C2662" t="s">
        <v>775</v>
      </c>
      <c r="D2662" s="1">
        <v>45044</v>
      </c>
      <c r="E2662" t="s">
        <v>355</v>
      </c>
      <c r="F2662">
        <v>104.03</v>
      </c>
      <c r="G2662" t="s">
        <v>70</v>
      </c>
      <c r="H2662" t="s">
        <v>264</v>
      </c>
      <c r="I2662" t="s">
        <v>72</v>
      </c>
    </row>
    <row r="2663" spans="1:9" x14ac:dyDescent="0.25">
      <c r="A2663" t="s">
        <v>264</v>
      </c>
      <c r="B2663" t="s">
        <v>100</v>
      </c>
      <c r="C2663" t="s">
        <v>775</v>
      </c>
      <c r="D2663" s="1">
        <v>45045</v>
      </c>
      <c r="E2663" t="s">
        <v>354</v>
      </c>
      <c r="F2663">
        <v>-203.37</v>
      </c>
      <c r="G2663" t="s">
        <v>70</v>
      </c>
      <c r="H2663" t="s">
        <v>264</v>
      </c>
      <c r="I2663" t="s">
        <v>72</v>
      </c>
    </row>
    <row r="2664" spans="1:9" x14ac:dyDescent="0.25">
      <c r="A2664" t="s">
        <v>264</v>
      </c>
      <c r="B2664" t="s">
        <v>100</v>
      </c>
      <c r="C2664" t="s">
        <v>775</v>
      </c>
      <c r="D2664" s="1">
        <v>45046</v>
      </c>
      <c r="E2664" t="s">
        <v>359</v>
      </c>
      <c r="F2664">
        <v>46.7</v>
      </c>
      <c r="G2664" t="s">
        <v>100</v>
      </c>
      <c r="H2664" t="s">
        <v>264</v>
      </c>
      <c r="I2664" t="s">
        <v>100</v>
      </c>
    </row>
    <row r="2665" spans="1:9" x14ac:dyDescent="0.25">
      <c r="A2665" t="s">
        <v>264</v>
      </c>
      <c r="B2665" t="s">
        <v>100</v>
      </c>
      <c r="C2665" t="s">
        <v>775</v>
      </c>
      <c r="D2665" s="1">
        <v>45046</v>
      </c>
      <c r="E2665" t="s">
        <v>360</v>
      </c>
      <c r="F2665">
        <v>-2.75</v>
      </c>
      <c r="G2665" t="s">
        <v>84</v>
      </c>
      <c r="H2665" t="s">
        <v>85</v>
      </c>
      <c r="I2665" t="s">
        <v>97</v>
      </c>
    </row>
    <row r="2666" spans="1:9" x14ac:dyDescent="0.25">
      <c r="A2666" t="s">
        <v>264</v>
      </c>
      <c r="B2666" t="s">
        <v>100</v>
      </c>
      <c r="C2666" t="s">
        <v>775</v>
      </c>
      <c r="D2666" s="1">
        <v>45049</v>
      </c>
      <c r="E2666" t="s">
        <v>354</v>
      </c>
      <c r="F2666">
        <v>-2566.3000000000002</v>
      </c>
      <c r="G2666" t="s">
        <v>70</v>
      </c>
      <c r="H2666" t="s">
        <v>264</v>
      </c>
      <c r="I2666" t="s">
        <v>72</v>
      </c>
    </row>
    <row r="2667" spans="1:9" x14ac:dyDescent="0.25">
      <c r="A2667" t="s">
        <v>264</v>
      </c>
      <c r="B2667" t="s">
        <v>100</v>
      </c>
      <c r="C2667" t="s">
        <v>775</v>
      </c>
      <c r="D2667" s="1">
        <v>45054</v>
      </c>
      <c r="E2667" t="s">
        <v>354</v>
      </c>
      <c r="F2667">
        <v>-2997.93</v>
      </c>
      <c r="G2667" t="s">
        <v>70</v>
      </c>
      <c r="H2667" t="s">
        <v>264</v>
      </c>
      <c r="I2667" t="s">
        <v>72</v>
      </c>
    </row>
    <row r="2668" spans="1:9" x14ac:dyDescent="0.25">
      <c r="A2668" t="s">
        <v>264</v>
      </c>
      <c r="B2668" t="s">
        <v>100</v>
      </c>
      <c r="C2668" t="s">
        <v>775</v>
      </c>
      <c r="D2668" s="1">
        <v>45054</v>
      </c>
      <c r="E2668" t="s">
        <v>361</v>
      </c>
      <c r="F2668">
        <v>585.92999999999995</v>
      </c>
      <c r="G2668" t="s">
        <v>350</v>
      </c>
      <c r="H2668" t="s">
        <v>74</v>
      </c>
      <c r="I2668" t="s">
        <v>75</v>
      </c>
    </row>
    <row r="2669" spans="1:9" x14ac:dyDescent="0.25">
      <c r="A2669" t="s">
        <v>264</v>
      </c>
      <c r="B2669" t="s">
        <v>100</v>
      </c>
      <c r="C2669" t="s">
        <v>775</v>
      </c>
      <c r="D2669" s="1">
        <v>45056</v>
      </c>
      <c r="E2669" t="s">
        <v>354</v>
      </c>
      <c r="F2669">
        <v>-2075.89</v>
      </c>
      <c r="G2669" t="s">
        <v>70</v>
      </c>
      <c r="H2669" t="s">
        <v>264</v>
      </c>
      <c r="I2669" t="s">
        <v>72</v>
      </c>
    </row>
    <row r="2670" spans="1:9" x14ac:dyDescent="0.25">
      <c r="A2670" t="s">
        <v>264</v>
      </c>
      <c r="B2670" t="s">
        <v>100</v>
      </c>
      <c r="C2670" t="s">
        <v>775</v>
      </c>
      <c r="D2670" s="1">
        <v>45056</v>
      </c>
      <c r="E2670" t="s">
        <v>354</v>
      </c>
      <c r="F2670">
        <v>-9.9</v>
      </c>
      <c r="G2670" t="s">
        <v>70</v>
      </c>
      <c r="H2670" t="s">
        <v>264</v>
      </c>
      <c r="I2670" t="s">
        <v>72</v>
      </c>
    </row>
    <row r="2671" spans="1:9" x14ac:dyDescent="0.25">
      <c r="A2671" t="s">
        <v>264</v>
      </c>
      <c r="B2671" t="s">
        <v>100</v>
      </c>
      <c r="C2671" t="s">
        <v>775</v>
      </c>
      <c r="D2671" s="1">
        <v>45056</v>
      </c>
      <c r="E2671" t="s">
        <v>354</v>
      </c>
      <c r="F2671">
        <v>-404.78</v>
      </c>
      <c r="G2671" t="s">
        <v>70</v>
      </c>
      <c r="H2671" t="s">
        <v>264</v>
      </c>
      <c r="I2671" t="s">
        <v>72</v>
      </c>
    </row>
    <row r="2672" spans="1:9" x14ac:dyDescent="0.25">
      <c r="A2672" t="s">
        <v>264</v>
      </c>
      <c r="B2672" t="s">
        <v>100</v>
      </c>
      <c r="C2672" t="s">
        <v>775</v>
      </c>
      <c r="D2672" s="1">
        <v>45059</v>
      </c>
      <c r="E2672" t="s">
        <v>354</v>
      </c>
      <c r="F2672">
        <v>-65.239999999999995</v>
      </c>
      <c r="G2672" t="s">
        <v>70</v>
      </c>
      <c r="H2672" t="s">
        <v>264</v>
      </c>
      <c r="I2672" t="s">
        <v>72</v>
      </c>
    </row>
    <row r="2673" spans="1:9" x14ac:dyDescent="0.25">
      <c r="A2673" t="s">
        <v>264</v>
      </c>
      <c r="B2673" t="s">
        <v>100</v>
      </c>
      <c r="C2673" t="s">
        <v>775</v>
      </c>
      <c r="D2673" s="1">
        <v>45061</v>
      </c>
      <c r="E2673" t="s">
        <v>354</v>
      </c>
      <c r="F2673">
        <v>-622.5</v>
      </c>
      <c r="G2673" t="s">
        <v>70</v>
      </c>
      <c r="H2673" t="s">
        <v>264</v>
      </c>
      <c r="I2673" t="s">
        <v>72</v>
      </c>
    </row>
    <row r="2674" spans="1:9" x14ac:dyDescent="0.25">
      <c r="A2674" t="s">
        <v>264</v>
      </c>
      <c r="B2674" t="s">
        <v>100</v>
      </c>
      <c r="C2674" t="s">
        <v>775</v>
      </c>
      <c r="D2674" s="1">
        <v>45064</v>
      </c>
      <c r="E2674" t="s">
        <v>354</v>
      </c>
      <c r="F2674">
        <v>-2884.28</v>
      </c>
      <c r="G2674" t="s">
        <v>70</v>
      </c>
      <c r="H2674" t="s">
        <v>264</v>
      </c>
      <c r="I2674" t="s">
        <v>72</v>
      </c>
    </row>
    <row r="2675" spans="1:9" x14ac:dyDescent="0.25">
      <c r="A2675" t="s">
        <v>264</v>
      </c>
      <c r="B2675" t="s">
        <v>100</v>
      </c>
      <c r="C2675" t="s">
        <v>775</v>
      </c>
      <c r="D2675" s="1">
        <v>45065</v>
      </c>
      <c r="E2675" t="s">
        <v>362</v>
      </c>
      <c r="F2675">
        <v>1691.97</v>
      </c>
      <c r="G2675" t="s">
        <v>350</v>
      </c>
      <c r="H2675" t="s">
        <v>74</v>
      </c>
      <c r="I2675" t="s">
        <v>75</v>
      </c>
    </row>
    <row r="2676" spans="1:9" x14ac:dyDescent="0.25">
      <c r="A2676" t="s">
        <v>264</v>
      </c>
      <c r="B2676" t="s">
        <v>100</v>
      </c>
      <c r="C2676" t="s">
        <v>775</v>
      </c>
      <c r="D2676" s="1">
        <v>45065</v>
      </c>
      <c r="E2676" t="s">
        <v>354</v>
      </c>
      <c r="F2676">
        <v>-44.06</v>
      </c>
      <c r="G2676" t="s">
        <v>70</v>
      </c>
      <c r="H2676" t="s">
        <v>264</v>
      </c>
      <c r="I2676" t="s">
        <v>72</v>
      </c>
    </row>
    <row r="2677" spans="1:9" x14ac:dyDescent="0.25">
      <c r="A2677" t="s">
        <v>264</v>
      </c>
      <c r="B2677" t="s">
        <v>100</v>
      </c>
      <c r="C2677" t="s">
        <v>775</v>
      </c>
      <c r="D2677" s="1">
        <v>45065</v>
      </c>
      <c r="E2677" t="s">
        <v>354</v>
      </c>
      <c r="F2677">
        <v>-75.38</v>
      </c>
      <c r="G2677" t="s">
        <v>70</v>
      </c>
      <c r="H2677" t="s">
        <v>264</v>
      </c>
      <c r="I2677" t="s">
        <v>72</v>
      </c>
    </row>
    <row r="2678" spans="1:9" x14ac:dyDescent="0.25">
      <c r="A2678" t="s">
        <v>264</v>
      </c>
      <c r="B2678" t="s">
        <v>100</v>
      </c>
      <c r="C2678" t="s">
        <v>775</v>
      </c>
      <c r="D2678" s="1">
        <v>45065</v>
      </c>
      <c r="E2678" t="s">
        <v>354</v>
      </c>
      <c r="F2678">
        <v>-33.21</v>
      </c>
      <c r="G2678" t="s">
        <v>70</v>
      </c>
      <c r="H2678" t="s">
        <v>264</v>
      </c>
      <c r="I2678" t="s">
        <v>72</v>
      </c>
    </row>
    <row r="2679" spans="1:9" x14ac:dyDescent="0.25">
      <c r="A2679" t="s">
        <v>264</v>
      </c>
      <c r="B2679" t="s">
        <v>100</v>
      </c>
      <c r="C2679" t="s">
        <v>775</v>
      </c>
      <c r="D2679" s="1">
        <v>45066</v>
      </c>
      <c r="E2679" t="s">
        <v>354</v>
      </c>
      <c r="F2679">
        <v>-26.08</v>
      </c>
      <c r="G2679" t="s">
        <v>70</v>
      </c>
      <c r="H2679" t="s">
        <v>264</v>
      </c>
      <c r="I2679" t="s">
        <v>72</v>
      </c>
    </row>
    <row r="2680" spans="1:9" x14ac:dyDescent="0.25">
      <c r="A2680" t="s">
        <v>264</v>
      </c>
      <c r="B2680" t="s">
        <v>100</v>
      </c>
      <c r="C2680" t="s">
        <v>775</v>
      </c>
      <c r="D2680" s="1">
        <v>45071</v>
      </c>
      <c r="E2680" t="s">
        <v>355</v>
      </c>
      <c r="F2680">
        <v>1589.14</v>
      </c>
      <c r="G2680" t="s">
        <v>70</v>
      </c>
      <c r="H2680" t="s">
        <v>264</v>
      </c>
      <c r="I2680" t="s">
        <v>72</v>
      </c>
    </row>
    <row r="2681" spans="1:9" x14ac:dyDescent="0.25">
      <c r="A2681" t="s">
        <v>264</v>
      </c>
      <c r="B2681" t="s">
        <v>100</v>
      </c>
      <c r="C2681" t="s">
        <v>775</v>
      </c>
      <c r="D2681" s="1">
        <v>45072</v>
      </c>
      <c r="E2681" t="s">
        <v>354</v>
      </c>
      <c r="F2681">
        <v>-51.41</v>
      </c>
      <c r="G2681" t="s">
        <v>70</v>
      </c>
      <c r="H2681" t="s">
        <v>264</v>
      </c>
      <c r="I2681" t="s">
        <v>72</v>
      </c>
    </row>
    <row r="2682" spans="1:9" x14ac:dyDescent="0.25">
      <c r="A2682" t="s">
        <v>264</v>
      </c>
      <c r="B2682" t="s">
        <v>100</v>
      </c>
      <c r="C2682" t="s">
        <v>775</v>
      </c>
      <c r="D2682" s="1">
        <v>45073</v>
      </c>
      <c r="E2682" t="s">
        <v>354</v>
      </c>
      <c r="F2682">
        <v>-71.37</v>
      </c>
      <c r="G2682" t="s">
        <v>70</v>
      </c>
      <c r="H2682" t="s">
        <v>264</v>
      </c>
      <c r="I2682" t="s">
        <v>72</v>
      </c>
    </row>
    <row r="2683" spans="1:9" x14ac:dyDescent="0.25">
      <c r="A2683" t="s">
        <v>264</v>
      </c>
      <c r="B2683" t="s">
        <v>100</v>
      </c>
      <c r="C2683" t="s">
        <v>775</v>
      </c>
      <c r="D2683" s="1">
        <v>45077</v>
      </c>
      <c r="E2683" t="s">
        <v>354</v>
      </c>
      <c r="F2683">
        <v>-2119.38</v>
      </c>
      <c r="G2683" t="s">
        <v>70</v>
      </c>
      <c r="H2683" t="s">
        <v>264</v>
      </c>
      <c r="I2683" t="s">
        <v>72</v>
      </c>
    </row>
    <row r="2684" spans="1:9" x14ac:dyDescent="0.25">
      <c r="A2684" t="s">
        <v>264</v>
      </c>
      <c r="B2684" t="s">
        <v>100</v>
      </c>
      <c r="C2684" t="s">
        <v>775</v>
      </c>
      <c r="D2684" s="1">
        <v>45077</v>
      </c>
      <c r="E2684" t="s">
        <v>359</v>
      </c>
      <c r="F2684">
        <v>34.68</v>
      </c>
      <c r="G2684" t="s">
        <v>100</v>
      </c>
      <c r="H2684" t="s">
        <v>264</v>
      </c>
      <c r="I2684" t="s">
        <v>100</v>
      </c>
    </row>
    <row r="2685" spans="1:9" x14ac:dyDescent="0.25">
      <c r="A2685" t="s">
        <v>264</v>
      </c>
      <c r="B2685" t="s">
        <v>100</v>
      </c>
      <c r="C2685" t="s">
        <v>775</v>
      </c>
      <c r="D2685" s="1">
        <v>45077</v>
      </c>
      <c r="E2685" t="s">
        <v>360</v>
      </c>
      <c r="F2685">
        <v>-6.59</v>
      </c>
      <c r="G2685" t="s">
        <v>84</v>
      </c>
      <c r="H2685" t="s">
        <v>85</v>
      </c>
      <c r="I2685" t="s">
        <v>97</v>
      </c>
    </row>
    <row r="2686" spans="1:9" x14ac:dyDescent="0.25">
      <c r="A2686" t="s">
        <v>264</v>
      </c>
      <c r="B2686" t="s">
        <v>100</v>
      </c>
      <c r="C2686" t="s">
        <v>775</v>
      </c>
      <c r="D2686" s="1">
        <v>45079</v>
      </c>
      <c r="E2686" t="s">
        <v>363</v>
      </c>
      <c r="F2686">
        <v>17.63</v>
      </c>
      <c r="G2686" t="s">
        <v>350</v>
      </c>
      <c r="H2686" t="s">
        <v>74</v>
      </c>
      <c r="I2686" t="s">
        <v>75</v>
      </c>
    </row>
    <row r="2687" spans="1:9" x14ac:dyDescent="0.25">
      <c r="A2687" t="s">
        <v>264</v>
      </c>
      <c r="B2687" t="s">
        <v>100</v>
      </c>
      <c r="C2687" t="s">
        <v>775</v>
      </c>
      <c r="D2687" s="1">
        <v>45079</v>
      </c>
      <c r="E2687" t="s">
        <v>354</v>
      </c>
      <c r="F2687">
        <v>-3505.75</v>
      </c>
      <c r="G2687" t="s">
        <v>70</v>
      </c>
      <c r="H2687" t="s">
        <v>264</v>
      </c>
      <c r="I2687" t="s">
        <v>72</v>
      </c>
    </row>
    <row r="2688" spans="1:9" x14ac:dyDescent="0.25">
      <c r="A2688" t="s">
        <v>264</v>
      </c>
      <c r="B2688" t="s">
        <v>100</v>
      </c>
      <c r="C2688" t="s">
        <v>775</v>
      </c>
      <c r="D2688" s="1">
        <v>45080</v>
      </c>
      <c r="E2688" t="s">
        <v>354</v>
      </c>
      <c r="F2688">
        <v>-204.88</v>
      </c>
      <c r="G2688" t="s">
        <v>70</v>
      </c>
      <c r="H2688" t="s">
        <v>264</v>
      </c>
      <c r="I2688" t="s">
        <v>72</v>
      </c>
    </row>
    <row r="2689" spans="1:9" x14ac:dyDescent="0.25">
      <c r="A2689" t="s">
        <v>264</v>
      </c>
      <c r="B2689" t="s">
        <v>100</v>
      </c>
      <c r="C2689" t="s">
        <v>775</v>
      </c>
      <c r="D2689" s="1">
        <v>45094</v>
      </c>
      <c r="E2689" t="s">
        <v>364</v>
      </c>
      <c r="F2689">
        <v>66.88</v>
      </c>
      <c r="G2689" t="s">
        <v>350</v>
      </c>
      <c r="H2689" t="s">
        <v>74</v>
      </c>
      <c r="I2689" t="s">
        <v>75</v>
      </c>
    </row>
    <row r="2690" spans="1:9" x14ac:dyDescent="0.25">
      <c r="A2690" t="s">
        <v>264</v>
      </c>
      <c r="B2690" t="s">
        <v>100</v>
      </c>
      <c r="C2690" t="s">
        <v>775</v>
      </c>
      <c r="D2690" s="1">
        <v>45098</v>
      </c>
      <c r="E2690" t="s">
        <v>355</v>
      </c>
      <c r="F2690">
        <v>5205.0200000000004</v>
      </c>
      <c r="G2690" t="s">
        <v>70</v>
      </c>
      <c r="H2690" t="s">
        <v>264</v>
      </c>
      <c r="I2690" t="s">
        <v>72</v>
      </c>
    </row>
    <row r="2691" spans="1:9" x14ac:dyDescent="0.25">
      <c r="A2691" t="s">
        <v>264</v>
      </c>
      <c r="B2691" t="s">
        <v>100</v>
      </c>
      <c r="C2691" t="s">
        <v>775</v>
      </c>
      <c r="D2691" s="1">
        <v>45105</v>
      </c>
      <c r="E2691" t="s">
        <v>355</v>
      </c>
      <c r="F2691">
        <v>1006.83</v>
      </c>
      <c r="G2691" t="s">
        <v>70</v>
      </c>
      <c r="H2691" t="s">
        <v>264</v>
      </c>
      <c r="I2691" t="s">
        <v>72</v>
      </c>
    </row>
    <row r="2692" spans="1:9" x14ac:dyDescent="0.25">
      <c r="A2692" t="s">
        <v>264</v>
      </c>
      <c r="B2692" t="s">
        <v>100</v>
      </c>
      <c r="C2692" t="s">
        <v>775</v>
      </c>
      <c r="D2692" s="1">
        <v>45107</v>
      </c>
      <c r="E2692" t="s">
        <v>365</v>
      </c>
      <c r="F2692">
        <v>1223.6400000000001</v>
      </c>
      <c r="G2692" t="s">
        <v>350</v>
      </c>
      <c r="H2692" t="s">
        <v>74</v>
      </c>
      <c r="I2692" t="s">
        <v>75</v>
      </c>
    </row>
    <row r="2693" spans="1:9" x14ac:dyDescent="0.25">
      <c r="A2693" t="s">
        <v>264</v>
      </c>
      <c r="B2693" t="s">
        <v>100</v>
      </c>
      <c r="C2693" t="s">
        <v>775</v>
      </c>
      <c r="D2693" s="1">
        <v>45107</v>
      </c>
      <c r="E2693" t="s">
        <v>354</v>
      </c>
      <c r="F2693">
        <v>-100.48</v>
      </c>
      <c r="G2693" t="s">
        <v>70</v>
      </c>
      <c r="H2693" t="s">
        <v>264</v>
      </c>
      <c r="I2693" t="s">
        <v>72</v>
      </c>
    </row>
    <row r="2694" spans="1:9" x14ac:dyDescent="0.25">
      <c r="A2694" t="s">
        <v>264</v>
      </c>
      <c r="B2694" t="s">
        <v>100</v>
      </c>
      <c r="C2694" t="s">
        <v>775</v>
      </c>
      <c r="D2694" s="1">
        <v>45107</v>
      </c>
      <c r="E2694" t="s">
        <v>359</v>
      </c>
      <c r="F2694">
        <v>21.14</v>
      </c>
      <c r="G2694" t="s">
        <v>100</v>
      </c>
      <c r="H2694" t="s">
        <v>264</v>
      </c>
      <c r="I2694" t="s">
        <v>100</v>
      </c>
    </row>
    <row r="2695" spans="1:9" x14ac:dyDescent="0.25">
      <c r="A2695" t="s">
        <v>264</v>
      </c>
      <c r="B2695" t="s">
        <v>100</v>
      </c>
      <c r="C2695" t="s">
        <v>775</v>
      </c>
      <c r="D2695" s="1">
        <v>45107</v>
      </c>
      <c r="E2695" t="s">
        <v>360</v>
      </c>
      <c r="F2695">
        <v>-1.93</v>
      </c>
      <c r="G2695" t="s">
        <v>84</v>
      </c>
      <c r="H2695" t="s">
        <v>85</v>
      </c>
      <c r="I2695" t="s">
        <v>97</v>
      </c>
    </row>
    <row r="2696" spans="1:9" x14ac:dyDescent="0.25">
      <c r="A2696" t="s">
        <v>264</v>
      </c>
      <c r="B2696" t="s">
        <v>100</v>
      </c>
      <c r="C2696" t="s">
        <v>775</v>
      </c>
      <c r="D2696" s="1">
        <v>45108</v>
      </c>
      <c r="E2696" t="s">
        <v>355</v>
      </c>
      <c r="F2696">
        <v>165.39</v>
      </c>
      <c r="G2696" t="s">
        <v>70</v>
      </c>
      <c r="H2696" t="s">
        <v>264</v>
      </c>
      <c r="I2696" t="s">
        <v>72</v>
      </c>
    </row>
    <row r="2697" spans="1:9" x14ac:dyDescent="0.25">
      <c r="A2697" t="s">
        <v>264</v>
      </c>
      <c r="B2697" t="s">
        <v>100</v>
      </c>
      <c r="C2697" t="s">
        <v>775</v>
      </c>
      <c r="D2697" s="1">
        <v>45108</v>
      </c>
      <c r="E2697" t="s">
        <v>354</v>
      </c>
      <c r="F2697">
        <v>-611.28</v>
      </c>
      <c r="G2697" t="s">
        <v>70</v>
      </c>
      <c r="H2697" t="s">
        <v>264</v>
      </c>
      <c r="I2697" t="s">
        <v>72</v>
      </c>
    </row>
    <row r="2698" spans="1:9" x14ac:dyDescent="0.25">
      <c r="A2698" t="s">
        <v>264</v>
      </c>
      <c r="B2698" t="s">
        <v>100</v>
      </c>
      <c r="C2698" t="s">
        <v>775</v>
      </c>
      <c r="D2698" s="1">
        <v>45112</v>
      </c>
      <c r="E2698" t="s">
        <v>355</v>
      </c>
      <c r="F2698">
        <v>632.25</v>
      </c>
      <c r="G2698" t="s">
        <v>70</v>
      </c>
      <c r="H2698" t="s">
        <v>264</v>
      </c>
      <c r="I2698" t="s">
        <v>72</v>
      </c>
    </row>
    <row r="2699" spans="1:9" x14ac:dyDescent="0.25">
      <c r="A2699" t="s">
        <v>264</v>
      </c>
      <c r="B2699" t="s">
        <v>100</v>
      </c>
      <c r="C2699" t="s">
        <v>775</v>
      </c>
      <c r="D2699" s="1">
        <v>45112</v>
      </c>
      <c r="E2699" t="s">
        <v>355</v>
      </c>
      <c r="F2699">
        <v>2126.94</v>
      </c>
      <c r="G2699" t="s">
        <v>70</v>
      </c>
      <c r="H2699" t="s">
        <v>264</v>
      </c>
      <c r="I2699" t="s">
        <v>72</v>
      </c>
    </row>
    <row r="2700" spans="1:9" x14ac:dyDescent="0.25">
      <c r="A2700" t="s">
        <v>264</v>
      </c>
      <c r="B2700" t="s">
        <v>100</v>
      </c>
      <c r="C2700" t="s">
        <v>775</v>
      </c>
      <c r="D2700" s="1">
        <v>45114</v>
      </c>
      <c r="E2700" t="s">
        <v>366</v>
      </c>
      <c r="F2700">
        <v>15.44</v>
      </c>
      <c r="G2700" t="s">
        <v>350</v>
      </c>
      <c r="H2700" t="s">
        <v>74</v>
      </c>
      <c r="I2700" t="s">
        <v>75</v>
      </c>
    </row>
    <row r="2701" spans="1:9" x14ac:dyDescent="0.25">
      <c r="A2701" t="s">
        <v>264</v>
      </c>
      <c r="B2701" t="s">
        <v>100</v>
      </c>
      <c r="C2701" t="s">
        <v>775</v>
      </c>
      <c r="D2701" s="1">
        <v>45119</v>
      </c>
      <c r="E2701" t="s">
        <v>354</v>
      </c>
      <c r="F2701">
        <v>-55.49</v>
      </c>
      <c r="G2701" t="s">
        <v>70</v>
      </c>
      <c r="H2701" t="s">
        <v>264</v>
      </c>
      <c r="I2701" t="s">
        <v>72</v>
      </c>
    </row>
    <row r="2702" spans="1:9" x14ac:dyDescent="0.25">
      <c r="A2702" t="s">
        <v>264</v>
      </c>
      <c r="B2702" t="s">
        <v>100</v>
      </c>
      <c r="C2702" t="s">
        <v>775</v>
      </c>
      <c r="D2702" s="1">
        <v>45119</v>
      </c>
      <c r="E2702" t="s">
        <v>354</v>
      </c>
      <c r="F2702">
        <v>-394.09</v>
      </c>
      <c r="G2702" t="s">
        <v>70</v>
      </c>
      <c r="H2702" t="s">
        <v>264</v>
      </c>
      <c r="I2702" t="s">
        <v>72</v>
      </c>
    </row>
    <row r="2703" spans="1:9" x14ac:dyDescent="0.25">
      <c r="A2703" t="s">
        <v>264</v>
      </c>
      <c r="B2703" t="s">
        <v>100</v>
      </c>
      <c r="C2703" t="s">
        <v>775</v>
      </c>
      <c r="D2703" s="1">
        <v>45121</v>
      </c>
      <c r="E2703" t="s">
        <v>367</v>
      </c>
      <c r="F2703">
        <v>80.38</v>
      </c>
      <c r="G2703" t="s">
        <v>350</v>
      </c>
      <c r="H2703" t="s">
        <v>74</v>
      </c>
      <c r="I2703" t="s">
        <v>75</v>
      </c>
    </row>
    <row r="2704" spans="1:9" x14ac:dyDescent="0.25">
      <c r="A2704" t="s">
        <v>264</v>
      </c>
      <c r="B2704" t="s">
        <v>100</v>
      </c>
      <c r="C2704" t="s">
        <v>775</v>
      </c>
      <c r="D2704" s="1">
        <v>45122</v>
      </c>
      <c r="E2704" t="s">
        <v>354</v>
      </c>
      <c r="F2704">
        <v>-805.67</v>
      </c>
      <c r="G2704" t="s">
        <v>70</v>
      </c>
      <c r="H2704" t="s">
        <v>264</v>
      </c>
      <c r="I2704" t="s">
        <v>72</v>
      </c>
    </row>
    <row r="2705" spans="1:9" x14ac:dyDescent="0.25">
      <c r="A2705" t="s">
        <v>264</v>
      </c>
      <c r="B2705" t="s">
        <v>100</v>
      </c>
      <c r="C2705" t="s">
        <v>775</v>
      </c>
      <c r="D2705" s="1">
        <v>45126</v>
      </c>
      <c r="E2705" t="s">
        <v>355</v>
      </c>
      <c r="F2705">
        <v>5167.49</v>
      </c>
      <c r="G2705" t="s">
        <v>70</v>
      </c>
      <c r="H2705" t="s">
        <v>264</v>
      </c>
      <c r="I2705" t="s">
        <v>72</v>
      </c>
    </row>
    <row r="2706" spans="1:9" x14ac:dyDescent="0.25">
      <c r="A2706" t="s">
        <v>264</v>
      </c>
      <c r="B2706" t="s">
        <v>100</v>
      </c>
      <c r="C2706" t="s">
        <v>775</v>
      </c>
      <c r="D2706" s="1">
        <v>45126</v>
      </c>
      <c r="E2706" t="s">
        <v>355</v>
      </c>
      <c r="F2706">
        <v>526.95000000000005</v>
      </c>
      <c r="G2706" t="s">
        <v>70</v>
      </c>
      <c r="H2706" t="s">
        <v>264</v>
      </c>
      <c r="I2706" t="s">
        <v>72</v>
      </c>
    </row>
    <row r="2707" spans="1:9" x14ac:dyDescent="0.25">
      <c r="A2707" t="s">
        <v>264</v>
      </c>
      <c r="B2707" t="s">
        <v>100</v>
      </c>
      <c r="C2707" t="s">
        <v>775</v>
      </c>
      <c r="D2707" s="1">
        <v>45127</v>
      </c>
      <c r="E2707" t="s">
        <v>354</v>
      </c>
      <c r="F2707">
        <v>-568.08000000000004</v>
      </c>
      <c r="G2707" t="s">
        <v>70</v>
      </c>
      <c r="H2707" t="s">
        <v>264</v>
      </c>
      <c r="I2707" t="s">
        <v>72</v>
      </c>
    </row>
    <row r="2708" spans="1:9" x14ac:dyDescent="0.25">
      <c r="A2708" t="s">
        <v>264</v>
      </c>
      <c r="B2708" t="s">
        <v>100</v>
      </c>
      <c r="C2708" t="s">
        <v>775</v>
      </c>
      <c r="D2708" s="1">
        <v>45133</v>
      </c>
      <c r="E2708" t="s">
        <v>354</v>
      </c>
      <c r="F2708">
        <v>-3216.55</v>
      </c>
      <c r="G2708" t="s">
        <v>70</v>
      </c>
      <c r="H2708" t="s">
        <v>264</v>
      </c>
      <c r="I2708" t="s">
        <v>72</v>
      </c>
    </row>
    <row r="2709" spans="1:9" x14ac:dyDescent="0.25">
      <c r="A2709" t="s">
        <v>264</v>
      </c>
      <c r="B2709" t="s">
        <v>100</v>
      </c>
      <c r="C2709" t="s">
        <v>775</v>
      </c>
      <c r="D2709" s="1">
        <v>45135</v>
      </c>
      <c r="E2709" t="s">
        <v>368</v>
      </c>
      <c r="F2709">
        <v>1057.43</v>
      </c>
      <c r="G2709" t="s">
        <v>350</v>
      </c>
      <c r="H2709" t="s">
        <v>74</v>
      </c>
      <c r="I2709" t="s">
        <v>75</v>
      </c>
    </row>
    <row r="2710" spans="1:9" x14ac:dyDescent="0.25">
      <c r="A2710" t="s">
        <v>264</v>
      </c>
      <c r="B2710" t="s">
        <v>100</v>
      </c>
      <c r="C2710" t="s">
        <v>775</v>
      </c>
      <c r="D2710" s="1">
        <v>45138</v>
      </c>
      <c r="E2710" t="s">
        <v>359</v>
      </c>
      <c r="F2710">
        <v>2.5499999999999998</v>
      </c>
      <c r="G2710" t="s">
        <v>100</v>
      </c>
      <c r="H2710" t="s">
        <v>264</v>
      </c>
      <c r="I2710" t="s">
        <v>100</v>
      </c>
    </row>
    <row r="2711" spans="1:9" x14ac:dyDescent="0.25">
      <c r="A2711" t="s">
        <v>264</v>
      </c>
      <c r="B2711" t="s">
        <v>100</v>
      </c>
      <c r="C2711" t="s">
        <v>775</v>
      </c>
      <c r="D2711" s="1">
        <v>45138</v>
      </c>
      <c r="E2711" t="s">
        <v>360</v>
      </c>
      <c r="F2711">
        <v>-5.18</v>
      </c>
      <c r="G2711" t="s">
        <v>84</v>
      </c>
      <c r="H2711" t="s">
        <v>85</v>
      </c>
      <c r="I2711" t="s">
        <v>97</v>
      </c>
    </row>
    <row r="2712" spans="1:9" x14ac:dyDescent="0.25">
      <c r="A2712" t="s">
        <v>264</v>
      </c>
      <c r="B2712" t="s">
        <v>100</v>
      </c>
      <c r="C2712" t="s">
        <v>775</v>
      </c>
      <c r="D2712" s="1">
        <v>45140</v>
      </c>
      <c r="E2712" t="s">
        <v>355</v>
      </c>
      <c r="F2712">
        <v>3558.23</v>
      </c>
      <c r="G2712" t="s">
        <v>70</v>
      </c>
      <c r="H2712" t="s">
        <v>264</v>
      </c>
      <c r="I2712" t="s">
        <v>72</v>
      </c>
    </row>
    <row r="2713" spans="1:9" x14ac:dyDescent="0.25">
      <c r="A2713" t="s">
        <v>264</v>
      </c>
      <c r="B2713" t="s">
        <v>100</v>
      </c>
      <c r="C2713" t="s">
        <v>775</v>
      </c>
      <c r="D2713" s="1">
        <v>45140</v>
      </c>
      <c r="E2713" t="s">
        <v>355</v>
      </c>
      <c r="F2713">
        <v>396.97</v>
      </c>
      <c r="G2713" t="s">
        <v>70</v>
      </c>
      <c r="H2713" t="s">
        <v>264</v>
      </c>
      <c r="I2713" t="s">
        <v>72</v>
      </c>
    </row>
    <row r="2714" spans="1:9" x14ac:dyDescent="0.25">
      <c r="A2714" t="s">
        <v>264</v>
      </c>
      <c r="B2714" t="s">
        <v>100</v>
      </c>
      <c r="C2714" t="s">
        <v>775</v>
      </c>
      <c r="D2714" s="1">
        <v>45140</v>
      </c>
      <c r="E2714" t="s">
        <v>355</v>
      </c>
      <c r="F2714">
        <v>80.64</v>
      </c>
      <c r="G2714" t="s">
        <v>70</v>
      </c>
      <c r="H2714" t="s">
        <v>264</v>
      </c>
      <c r="I2714" t="s">
        <v>72</v>
      </c>
    </row>
    <row r="2715" spans="1:9" x14ac:dyDescent="0.25">
      <c r="A2715" t="s">
        <v>264</v>
      </c>
      <c r="B2715" t="s">
        <v>100</v>
      </c>
      <c r="C2715" t="s">
        <v>775</v>
      </c>
      <c r="D2715" s="1">
        <v>45142</v>
      </c>
      <c r="E2715" t="s">
        <v>355</v>
      </c>
      <c r="F2715">
        <v>2173.65</v>
      </c>
      <c r="G2715" t="s">
        <v>70</v>
      </c>
      <c r="H2715" t="s">
        <v>264</v>
      </c>
      <c r="I2715" t="s">
        <v>72</v>
      </c>
    </row>
    <row r="2716" spans="1:9" x14ac:dyDescent="0.25">
      <c r="A2716" t="s">
        <v>264</v>
      </c>
      <c r="B2716" t="s">
        <v>100</v>
      </c>
      <c r="C2716" t="s">
        <v>775</v>
      </c>
      <c r="D2716" s="1">
        <v>45148</v>
      </c>
      <c r="E2716" t="s">
        <v>354</v>
      </c>
      <c r="F2716">
        <v>-1671.7</v>
      </c>
      <c r="G2716" t="s">
        <v>70</v>
      </c>
      <c r="H2716" t="s">
        <v>264</v>
      </c>
      <c r="I2716" t="s">
        <v>72</v>
      </c>
    </row>
    <row r="2717" spans="1:9" x14ac:dyDescent="0.25">
      <c r="A2717" t="s">
        <v>264</v>
      </c>
      <c r="B2717" t="s">
        <v>100</v>
      </c>
      <c r="C2717" t="s">
        <v>775</v>
      </c>
      <c r="D2717" s="1">
        <v>45149</v>
      </c>
      <c r="E2717" t="s">
        <v>369</v>
      </c>
      <c r="F2717">
        <v>616.08000000000004</v>
      </c>
      <c r="G2717" t="s">
        <v>350</v>
      </c>
      <c r="H2717" t="s">
        <v>74</v>
      </c>
      <c r="I2717" t="s">
        <v>75</v>
      </c>
    </row>
    <row r="2718" spans="1:9" x14ac:dyDescent="0.25">
      <c r="A2718" t="s">
        <v>264</v>
      </c>
      <c r="B2718" t="s">
        <v>100</v>
      </c>
      <c r="C2718" t="s">
        <v>775</v>
      </c>
      <c r="D2718" s="1">
        <v>45150</v>
      </c>
      <c r="E2718" t="s">
        <v>355</v>
      </c>
      <c r="F2718">
        <v>5.61</v>
      </c>
      <c r="G2718" t="s">
        <v>70</v>
      </c>
      <c r="H2718" t="s">
        <v>264</v>
      </c>
      <c r="I2718" t="s">
        <v>72</v>
      </c>
    </row>
    <row r="2719" spans="1:9" x14ac:dyDescent="0.25">
      <c r="A2719" t="s">
        <v>264</v>
      </c>
      <c r="B2719" t="s">
        <v>100</v>
      </c>
      <c r="C2719" t="s">
        <v>775</v>
      </c>
      <c r="D2719" s="1">
        <v>45154</v>
      </c>
      <c r="E2719" t="s">
        <v>355</v>
      </c>
      <c r="F2719">
        <v>4197.38</v>
      </c>
      <c r="G2719" t="s">
        <v>70</v>
      </c>
      <c r="H2719" t="s">
        <v>264</v>
      </c>
      <c r="I2719" t="s">
        <v>72</v>
      </c>
    </row>
    <row r="2720" spans="1:9" x14ac:dyDescent="0.25">
      <c r="A2720" t="s">
        <v>264</v>
      </c>
      <c r="B2720" t="s">
        <v>100</v>
      </c>
      <c r="C2720" t="s">
        <v>775</v>
      </c>
      <c r="D2720" s="1">
        <v>45155</v>
      </c>
      <c r="E2720" t="s">
        <v>354</v>
      </c>
      <c r="F2720">
        <v>-1151.94</v>
      </c>
      <c r="G2720" t="s">
        <v>70</v>
      </c>
      <c r="H2720" t="s">
        <v>264</v>
      </c>
      <c r="I2720" t="s">
        <v>72</v>
      </c>
    </row>
    <row r="2721" spans="1:9" x14ac:dyDescent="0.25">
      <c r="A2721" t="s">
        <v>264</v>
      </c>
      <c r="B2721" t="s">
        <v>100</v>
      </c>
      <c r="C2721" t="s">
        <v>775</v>
      </c>
      <c r="D2721" s="1">
        <v>45162</v>
      </c>
      <c r="E2721" t="s">
        <v>354</v>
      </c>
      <c r="F2721">
        <v>-2212.04</v>
      </c>
      <c r="G2721" t="s">
        <v>70</v>
      </c>
      <c r="H2721" t="s">
        <v>264</v>
      </c>
      <c r="I2721" t="s">
        <v>72</v>
      </c>
    </row>
    <row r="2722" spans="1:9" x14ac:dyDescent="0.25">
      <c r="A2722" t="s">
        <v>264</v>
      </c>
      <c r="B2722" t="s">
        <v>100</v>
      </c>
      <c r="C2722" t="s">
        <v>775</v>
      </c>
      <c r="D2722" s="1">
        <v>45162</v>
      </c>
      <c r="E2722" t="s">
        <v>354</v>
      </c>
      <c r="F2722">
        <v>-2298.9899999999998</v>
      </c>
      <c r="G2722" t="s">
        <v>70</v>
      </c>
      <c r="H2722" t="s">
        <v>264</v>
      </c>
      <c r="I2722" t="s">
        <v>72</v>
      </c>
    </row>
    <row r="2723" spans="1:9" x14ac:dyDescent="0.25">
      <c r="A2723" t="s">
        <v>264</v>
      </c>
      <c r="B2723" t="s">
        <v>100</v>
      </c>
      <c r="C2723" t="s">
        <v>775</v>
      </c>
      <c r="D2723" s="1">
        <v>45162</v>
      </c>
      <c r="E2723" t="s">
        <v>370</v>
      </c>
      <c r="F2723">
        <v>-1874.58</v>
      </c>
      <c r="G2723" t="s">
        <v>70</v>
      </c>
      <c r="H2723" t="s">
        <v>264</v>
      </c>
      <c r="I2723" t="s">
        <v>72</v>
      </c>
    </row>
    <row r="2724" spans="1:9" x14ac:dyDescent="0.25">
      <c r="A2724" t="s">
        <v>264</v>
      </c>
      <c r="B2724" t="s">
        <v>100</v>
      </c>
      <c r="C2724" t="s">
        <v>775</v>
      </c>
      <c r="D2724" s="1">
        <v>45162</v>
      </c>
      <c r="E2724" t="s">
        <v>371</v>
      </c>
      <c r="F2724">
        <v>-3578.97</v>
      </c>
      <c r="G2724" t="s">
        <v>70</v>
      </c>
      <c r="H2724" t="s">
        <v>264</v>
      </c>
      <c r="I2724" t="s">
        <v>72</v>
      </c>
    </row>
    <row r="2725" spans="1:9" x14ac:dyDescent="0.25">
      <c r="A2725" t="s">
        <v>264</v>
      </c>
      <c r="B2725" t="s">
        <v>100</v>
      </c>
      <c r="C2725" t="s">
        <v>775</v>
      </c>
      <c r="D2725" s="1">
        <v>45163</v>
      </c>
      <c r="E2725" t="s">
        <v>372</v>
      </c>
      <c r="F2725">
        <v>1104.44</v>
      </c>
      <c r="G2725" t="s">
        <v>350</v>
      </c>
      <c r="H2725" t="s">
        <v>74</v>
      </c>
      <c r="I2725" t="s">
        <v>75</v>
      </c>
    </row>
    <row r="2726" spans="1:9" x14ac:dyDescent="0.25">
      <c r="A2726" t="s">
        <v>264</v>
      </c>
      <c r="B2726" t="s">
        <v>100</v>
      </c>
      <c r="C2726" t="s">
        <v>775</v>
      </c>
      <c r="D2726" s="1">
        <v>45163</v>
      </c>
      <c r="E2726" t="s">
        <v>355</v>
      </c>
      <c r="F2726">
        <v>186.94</v>
      </c>
      <c r="G2726" t="s">
        <v>70</v>
      </c>
      <c r="H2726" t="s">
        <v>264</v>
      </c>
      <c r="I2726" t="s">
        <v>72</v>
      </c>
    </row>
    <row r="2727" spans="1:9" x14ac:dyDescent="0.25">
      <c r="A2727" t="s">
        <v>264</v>
      </c>
      <c r="B2727" t="s">
        <v>100</v>
      </c>
      <c r="C2727" t="s">
        <v>775</v>
      </c>
      <c r="D2727" s="1">
        <v>45163</v>
      </c>
      <c r="E2727" t="s">
        <v>355</v>
      </c>
      <c r="F2727">
        <v>725.06</v>
      </c>
      <c r="G2727" t="s">
        <v>70</v>
      </c>
      <c r="H2727" t="s">
        <v>264</v>
      </c>
      <c r="I2727" t="s">
        <v>72</v>
      </c>
    </row>
    <row r="2728" spans="1:9" x14ac:dyDescent="0.25">
      <c r="A2728" t="s">
        <v>264</v>
      </c>
      <c r="B2728" t="s">
        <v>100</v>
      </c>
      <c r="C2728" t="s">
        <v>775</v>
      </c>
      <c r="D2728" s="1">
        <v>45168</v>
      </c>
      <c r="E2728" t="s">
        <v>355</v>
      </c>
      <c r="F2728">
        <v>5477.09</v>
      </c>
      <c r="G2728" t="s">
        <v>70</v>
      </c>
      <c r="H2728" t="s">
        <v>264</v>
      </c>
      <c r="I2728" t="s">
        <v>72</v>
      </c>
    </row>
    <row r="2729" spans="1:9" x14ac:dyDescent="0.25">
      <c r="A2729" t="s">
        <v>264</v>
      </c>
      <c r="B2729" t="s">
        <v>100</v>
      </c>
      <c r="C2729" t="s">
        <v>775</v>
      </c>
      <c r="D2729" s="1">
        <v>45169</v>
      </c>
      <c r="E2729" t="s">
        <v>359</v>
      </c>
      <c r="F2729">
        <v>36.700000000000003</v>
      </c>
      <c r="G2729" t="s">
        <v>100</v>
      </c>
      <c r="H2729" t="s">
        <v>264</v>
      </c>
      <c r="I2729" t="s">
        <v>100</v>
      </c>
    </row>
    <row r="2730" spans="1:9" x14ac:dyDescent="0.25">
      <c r="A2730" t="s">
        <v>264</v>
      </c>
      <c r="B2730" t="s">
        <v>100</v>
      </c>
      <c r="C2730" t="s">
        <v>775</v>
      </c>
      <c r="D2730" s="1">
        <v>45169</v>
      </c>
      <c r="E2730" t="s">
        <v>360</v>
      </c>
      <c r="F2730">
        <v>-0.55000000000000004</v>
      </c>
      <c r="G2730" t="s">
        <v>84</v>
      </c>
      <c r="H2730" t="s">
        <v>85</v>
      </c>
      <c r="I2730" t="s">
        <v>97</v>
      </c>
    </row>
    <row r="2731" spans="1:9" x14ac:dyDescent="0.25">
      <c r="A2731" t="s">
        <v>264</v>
      </c>
      <c r="B2731" t="s">
        <v>100</v>
      </c>
      <c r="C2731" t="s">
        <v>775</v>
      </c>
      <c r="D2731" s="1">
        <v>45172</v>
      </c>
      <c r="E2731" t="s">
        <v>354</v>
      </c>
      <c r="F2731">
        <v>-52.61</v>
      </c>
      <c r="G2731" t="s">
        <v>70</v>
      </c>
      <c r="H2731" t="s">
        <v>264</v>
      </c>
      <c r="I2731" t="s">
        <v>72</v>
      </c>
    </row>
    <row r="2732" spans="1:9" x14ac:dyDescent="0.25">
      <c r="A2732" t="s">
        <v>264</v>
      </c>
      <c r="B2732" t="s">
        <v>100</v>
      </c>
      <c r="C2732" t="s">
        <v>775</v>
      </c>
      <c r="D2732" s="1">
        <v>45176</v>
      </c>
      <c r="E2732" t="s">
        <v>354</v>
      </c>
      <c r="F2732">
        <v>-534.53</v>
      </c>
      <c r="G2732" t="s">
        <v>70</v>
      </c>
      <c r="H2732" t="s">
        <v>264</v>
      </c>
      <c r="I2732" t="s">
        <v>72</v>
      </c>
    </row>
    <row r="2733" spans="1:9" x14ac:dyDescent="0.25">
      <c r="A2733" t="s">
        <v>264</v>
      </c>
      <c r="B2733" t="s">
        <v>100</v>
      </c>
      <c r="C2733" t="s">
        <v>775</v>
      </c>
      <c r="D2733" s="1">
        <v>45176</v>
      </c>
      <c r="E2733" t="s">
        <v>354</v>
      </c>
      <c r="F2733">
        <v>-1588.46</v>
      </c>
      <c r="G2733" t="s">
        <v>70</v>
      </c>
      <c r="H2733" t="s">
        <v>264</v>
      </c>
      <c r="I2733" t="s">
        <v>72</v>
      </c>
    </row>
    <row r="2734" spans="1:9" x14ac:dyDescent="0.25">
      <c r="A2734" t="s">
        <v>264</v>
      </c>
      <c r="B2734" t="s">
        <v>100</v>
      </c>
      <c r="C2734" t="s">
        <v>775</v>
      </c>
      <c r="D2734" s="1">
        <v>45176</v>
      </c>
      <c r="E2734" t="s">
        <v>354</v>
      </c>
      <c r="F2734">
        <v>-434.56</v>
      </c>
      <c r="G2734" t="s">
        <v>70</v>
      </c>
      <c r="H2734" t="s">
        <v>264</v>
      </c>
      <c r="I2734" t="s">
        <v>72</v>
      </c>
    </row>
    <row r="2735" spans="1:9" x14ac:dyDescent="0.25">
      <c r="A2735" t="s">
        <v>264</v>
      </c>
      <c r="B2735" t="s">
        <v>100</v>
      </c>
      <c r="C2735" t="s">
        <v>775</v>
      </c>
      <c r="D2735" s="1">
        <v>45177</v>
      </c>
      <c r="E2735" t="s">
        <v>373</v>
      </c>
      <c r="F2735">
        <v>183.6</v>
      </c>
      <c r="G2735" t="s">
        <v>350</v>
      </c>
      <c r="H2735" t="s">
        <v>74</v>
      </c>
      <c r="I2735" t="s">
        <v>75</v>
      </c>
    </row>
    <row r="2736" spans="1:9" x14ac:dyDescent="0.25">
      <c r="A2736" t="s">
        <v>264</v>
      </c>
      <c r="B2736" t="s">
        <v>100</v>
      </c>
      <c r="C2736" t="s">
        <v>775</v>
      </c>
      <c r="D2736" s="1">
        <v>45177</v>
      </c>
      <c r="E2736" t="s">
        <v>354</v>
      </c>
      <c r="F2736">
        <v>-223.62</v>
      </c>
      <c r="G2736" t="s">
        <v>70</v>
      </c>
      <c r="H2736" t="s">
        <v>264</v>
      </c>
      <c r="I2736" t="s">
        <v>72</v>
      </c>
    </row>
    <row r="2737" spans="1:9" x14ac:dyDescent="0.25">
      <c r="A2737" t="s">
        <v>264</v>
      </c>
      <c r="B2737" t="s">
        <v>100</v>
      </c>
      <c r="C2737" t="s">
        <v>775</v>
      </c>
      <c r="D2737" s="1">
        <v>45178</v>
      </c>
      <c r="E2737" t="s">
        <v>355</v>
      </c>
      <c r="F2737">
        <v>444.65</v>
      </c>
      <c r="G2737" t="s">
        <v>70</v>
      </c>
      <c r="H2737" t="s">
        <v>264</v>
      </c>
      <c r="I2737" t="s">
        <v>72</v>
      </c>
    </row>
    <row r="2738" spans="1:9" x14ac:dyDescent="0.25">
      <c r="A2738" t="s">
        <v>264</v>
      </c>
      <c r="B2738" t="s">
        <v>100</v>
      </c>
      <c r="C2738" t="s">
        <v>775</v>
      </c>
      <c r="D2738" s="1">
        <v>45178</v>
      </c>
      <c r="E2738" t="s">
        <v>354</v>
      </c>
      <c r="F2738">
        <v>-242.2</v>
      </c>
      <c r="G2738" t="s">
        <v>70</v>
      </c>
      <c r="H2738" t="s">
        <v>264</v>
      </c>
      <c r="I2738" t="s">
        <v>72</v>
      </c>
    </row>
    <row r="2739" spans="1:9" x14ac:dyDescent="0.25">
      <c r="A2739" t="s">
        <v>264</v>
      </c>
      <c r="B2739" t="s">
        <v>100</v>
      </c>
      <c r="C2739" t="s">
        <v>775</v>
      </c>
      <c r="D2739" s="1">
        <v>45179</v>
      </c>
      <c r="E2739" t="s">
        <v>354</v>
      </c>
      <c r="F2739">
        <v>-345.67</v>
      </c>
      <c r="G2739" t="s">
        <v>70</v>
      </c>
      <c r="H2739" t="s">
        <v>264</v>
      </c>
      <c r="I2739" t="s">
        <v>72</v>
      </c>
    </row>
    <row r="2740" spans="1:9" x14ac:dyDescent="0.25">
      <c r="A2740" t="s">
        <v>264</v>
      </c>
      <c r="B2740" t="s">
        <v>100</v>
      </c>
      <c r="C2740" t="s">
        <v>775</v>
      </c>
      <c r="D2740" s="1">
        <v>45182</v>
      </c>
      <c r="E2740" t="s">
        <v>355</v>
      </c>
      <c r="F2740">
        <v>2851.04</v>
      </c>
      <c r="G2740" t="s">
        <v>70</v>
      </c>
      <c r="H2740" t="s">
        <v>264</v>
      </c>
      <c r="I2740" t="s">
        <v>72</v>
      </c>
    </row>
    <row r="2741" spans="1:9" x14ac:dyDescent="0.25">
      <c r="A2741" t="s">
        <v>264</v>
      </c>
      <c r="B2741" t="s">
        <v>100</v>
      </c>
      <c r="C2741" t="s">
        <v>775</v>
      </c>
      <c r="D2741" s="1">
        <v>45183</v>
      </c>
      <c r="E2741" t="s">
        <v>374</v>
      </c>
      <c r="F2741">
        <v>63.53</v>
      </c>
      <c r="G2741" t="s">
        <v>350</v>
      </c>
      <c r="H2741" t="s">
        <v>74</v>
      </c>
      <c r="I2741" t="s">
        <v>75</v>
      </c>
    </row>
    <row r="2742" spans="1:9" x14ac:dyDescent="0.25">
      <c r="A2742" t="s">
        <v>264</v>
      </c>
      <c r="B2742" t="s">
        <v>100</v>
      </c>
      <c r="C2742" t="s">
        <v>775</v>
      </c>
      <c r="D2742" s="1">
        <v>45184</v>
      </c>
      <c r="E2742" t="s">
        <v>354</v>
      </c>
      <c r="F2742">
        <v>-140.91999999999999</v>
      </c>
      <c r="G2742" t="s">
        <v>70</v>
      </c>
      <c r="H2742" t="s">
        <v>264</v>
      </c>
      <c r="I2742" t="s">
        <v>72</v>
      </c>
    </row>
    <row r="2743" spans="1:9" x14ac:dyDescent="0.25">
      <c r="A2743" t="s">
        <v>264</v>
      </c>
      <c r="B2743" t="s">
        <v>100</v>
      </c>
      <c r="C2743" t="s">
        <v>775</v>
      </c>
      <c r="D2743" s="1">
        <v>45185</v>
      </c>
      <c r="E2743" t="s">
        <v>354</v>
      </c>
      <c r="F2743">
        <v>-787.5</v>
      </c>
      <c r="G2743" t="s">
        <v>70</v>
      </c>
      <c r="H2743" t="s">
        <v>264</v>
      </c>
      <c r="I2743" t="s">
        <v>72</v>
      </c>
    </row>
    <row r="2744" spans="1:9" x14ac:dyDescent="0.25">
      <c r="A2744" t="s">
        <v>264</v>
      </c>
      <c r="B2744" t="s">
        <v>100</v>
      </c>
      <c r="C2744" t="s">
        <v>775</v>
      </c>
      <c r="D2744" s="1">
        <v>45190</v>
      </c>
      <c r="E2744" t="s">
        <v>354</v>
      </c>
      <c r="F2744">
        <v>-1284.73</v>
      </c>
      <c r="G2744" t="s">
        <v>70</v>
      </c>
      <c r="H2744" t="s">
        <v>264</v>
      </c>
      <c r="I2744" t="s">
        <v>72</v>
      </c>
    </row>
    <row r="2745" spans="1:9" x14ac:dyDescent="0.25">
      <c r="A2745" t="s">
        <v>264</v>
      </c>
      <c r="B2745" t="s">
        <v>100</v>
      </c>
      <c r="C2745" t="s">
        <v>775</v>
      </c>
      <c r="D2745" s="1">
        <v>45191</v>
      </c>
      <c r="E2745" t="s">
        <v>375</v>
      </c>
      <c r="F2745">
        <v>1826.29</v>
      </c>
      <c r="G2745" t="s">
        <v>350</v>
      </c>
      <c r="H2745" t="s">
        <v>74</v>
      </c>
      <c r="I2745" t="s">
        <v>75</v>
      </c>
    </row>
    <row r="2746" spans="1:9" x14ac:dyDescent="0.25">
      <c r="A2746" t="s">
        <v>264</v>
      </c>
      <c r="B2746" t="s">
        <v>100</v>
      </c>
      <c r="C2746" t="s">
        <v>775</v>
      </c>
      <c r="D2746" s="1">
        <v>45196</v>
      </c>
      <c r="E2746" t="s">
        <v>355</v>
      </c>
      <c r="F2746">
        <v>2311.98</v>
      </c>
      <c r="G2746" t="s">
        <v>70</v>
      </c>
      <c r="H2746" t="s">
        <v>264</v>
      </c>
      <c r="I2746" t="s">
        <v>72</v>
      </c>
    </row>
    <row r="2747" spans="1:9" x14ac:dyDescent="0.25">
      <c r="A2747" t="s">
        <v>264</v>
      </c>
      <c r="B2747" t="s">
        <v>100</v>
      </c>
      <c r="C2747" t="s">
        <v>775</v>
      </c>
      <c r="D2747" s="1">
        <v>45199</v>
      </c>
      <c r="E2747" t="s">
        <v>359</v>
      </c>
      <c r="F2747">
        <v>27.44</v>
      </c>
      <c r="G2747" t="s">
        <v>100</v>
      </c>
      <c r="H2747" t="s">
        <v>264</v>
      </c>
      <c r="I2747" t="s">
        <v>100</v>
      </c>
    </row>
    <row r="2748" spans="1:9" x14ac:dyDescent="0.25">
      <c r="A2748" t="s">
        <v>264</v>
      </c>
      <c r="B2748" t="s">
        <v>100</v>
      </c>
      <c r="C2748" t="s">
        <v>775</v>
      </c>
      <c r="D2748" s="1">
        <v>45199</v>
      </c>
      <c r="E2748" t="s">
        <v>360</v>
      </c>
      <c r="F2748">
        <v>-12.28</v>
      </c>
      <c r="G2748" t="s">
        <v>84</v>
      </c>
      <c r="H2748" t="s">
        <v>85</v>
      </c>
      <c r="I2748" t="s">
        <v>97</v>
      </c>
    </row>
    <row r="2749" spans="1:9" x14ac:dyDescent="0.25">
      <c r="A2749" t="s">
        <v>264</v>
      </c>
      <c r="B2749" t="s">
        <v>100</v>
      </c>
      <c r="C2749" t="s">
        <v>775</v>
      </c>
      <c r="D2749" s="1">
        <v>45203</v>
      </c>
      <c r="E2749" t="s">
        <v>354</v>
      </c>
      <c r="F2749">
        <v>-71.67</v>
      </c>
      <c r="G2749" t="s">
        <v>70</v>
      </c>
      <c r="H2749" t="s">
        <v>264</v>
      </c>
      <c r="I2749" t="s">
        <v>72</v>
      </c>
    </row>
    <row r="2750" spans="1:9" x14ac:dyDescent="0.25">
      <c r="A2750" t="s">
        <v>264</v>
      </c>
      <c r="B2750" t="s">
        <v>100</v>
      </c>
      <c r="C2750" t="s">
        <v>775</v>
      </c>
      <c r="D2750" s="1">
        <v>45203</v>
      </c>
      <c r="E2750" t="s">
        <v>354</v>
      </c>
      <c r="F2750">
        <v>-485.36</v>
      </c>
      <c r="G2750" t="s">
        <v>70</v>
      </c>
      <c r="H2750" t="s">
        <v>264</v>
      </c>
      <c r="I2750" t="s">
        <v>72</v>
      </c>
    </row>
    <row r="2751" spans="1:9" x14ac:dyDescent="0.25">
      <c r="A2751" t="s">
        <v>264</v>
      </c>
      <c r="B2751" t="s">
        <v>100</v>
      </c>
      <c r="C2751" t="s">
        <v>775</v>
      </c>
      <c r="D2751" s="1">
        <v>45205</v>
      </c>
      <c r="E2751" t="s">
        <v>376</v>
      </c>
      <c r="F2751">
        <v>1025.42</v>
      </c>
      <c r="G2751" t="s">
        <v>350</v>
      </c>
      <c r="H2751" t="s">
        <v>74</v>
      </c>
      <c r="I2751" t="s">
        <v>75</v>
      </c>
    </row>
    <row r="2752" spans="1:9" x14ac:dyDescent="0.25">
      <c r="A2752" t="s">
        <v>264</v>
      </c>
      <c r="B2752" t="s">
        <v>100</v>
      </c>
      <c r="C2752" t="s">
        <v>775</v>
      </c>
      <c r="D2752" s="1">
        <v>45205</v>
      </c>
      <c r="E2752" t="s">
        <v>354</v>
      </c>
      <c r="F2752">
        <v>-675.75</v>
      </c>
      <c r="G2752" t="s">
        <v>70</v>
      </c>
      <c r="H2752" t="s">
        <v>264</v>
      </c>
      <c r="I2752" t="s">
        <v>72</v>
      </c>
    </row>
    <row r="2753" spans="1:9" x14ac:dyDescent="0.25">
      <c r="A2753" t="s">
        <v>264</v>
      </c>
      <c r="B2753" t="s">
        <v>100</v>
      </c>
      <c r="C2753" t="s">
        <v>775</v>
      </c>
      <c r="D2753" s="1">
        <v>45210</v>
      </c>
      <c r="E2753" t="s">
        <v>355</v>
      </c>
      <c r="F2753">
        <v>1181.47</v>
      </c>
      <c r="G2753" t="s">
        <v>70</v>
      </c>
      <c r="H2753" t="s">
        <v>264</v>
      </c>
      <c r="I2753" t="s">
        <v>72</v>
      </c>
    </row>
    <row r="2754" spans="1:9" x14ac:dyDescent="0.25">
      <c r="A2754" t="s">
        <v>264</v>
      </c>
      <c r="B2754" t="s">
        <v>100</v>
      </c>
      <c r="C2754" t="s">
        <v>775</v>
      </c>
      <c r="D2754" s="1">
        <v>45218</v>
      </c>
      <c r="E2754" t="s">
        <v>354</v>
      </c>
      <c r="F2754">
        <v>-1286.3</v>
      </c>
      <c r="G2754" t="s">
        <v>70</v>
      </c>
      <c r="H2754" t="s">
        <v>264</v>
      </c>
      <c r="I2754" t="s">
        <v>72</v>
      </c>
    </row>
    <row r="2755" spans="1:9" x14ac:dyDescent="0.25">
      <c r="A2755" t="s">
        <v>264</v>
      </c>
      <c r="B2755" t="s">
        <v>100</v>
      </c>
      <c r="C2755" t="s">
        <v>775</v>
      </c>
      <c r="D2755" s="1">
        <v>45219</v>
      </c>
      <c r="E2755" t="s">
        <v>377</v>
      </c>
      <c r="F2755">
        <v>143.52000000000001</v>
      </c>
      <c r="G2755" t="s">
        <v>350</v>
      </c>
      <c r="H2755" t="s">
        <v>74</v>
      </c>
      <c r="I2755" t="s">
        <v>75</v>
      </c>
    </row>
    <row r="2756" spans="1:9" x14ac:dyDescent="0.25">
      <c r="A2756" t="s">
        <v>264</v>
      </c>
      <c r="B2756" t="s">
        <v>100</v>
      </c>
      <c r="C2756" t="s">
        <v>775</v>
      </c>
      <c r="D2756" s="1">
        <v>45219</v>
      </c>
      <c r="E2756" t="s">
        <v>354</v>
      </c>
      <c r="F2756">
        <v>-200.6</v>
      </c>
      <c r="G2756" t="s">
        <v>70</v>
      </c>
      <c r="H2756" t="s">
        <v>264</v>
      </c>
      <c r="I2756" t="s">
        <v>72</v>
      </c>
    </row>
    <row r="2757" spans="1:9" x14ac:dyDescent="0.25">
      <c r="A2757" t="s">
        <v>264</v>
      </c>
      <c r="B2757" t="s">
        <v>100</v>
      </c>
      <c r="C2757" t="s">
        <v>775</v>
      </c>
      <c r="D2757" s="1">
        <v>45221</v>
      </c>
      <c r="E2757" t="s">
        <v>354</v>
      </c>
      <c r="F2757">
        <v>-179.92</v>
      </c>
      <c r="G2757" t="s">
        <v>70</v>
      </c>
      <c r="H2757" t="s">
        <v>264</v>
      </c>
      <c r="I2757" t="s">
        <v>72</v>
      </c>
    </row>
    <row r="2758" spans="1:9" x14ac:dyDescent="0.25">
      <c r="A2758" t="s">
        <v>264</v>
      </c>
      <c r="B2758" t="s">
        <v>100</v>
      </c>
      <c r="C2758" t="s">
        <v>775</v>
      </c>
      <c r="D2758" s="1">
        <v>45222</v>
      </c>
      <c r="E2758" t="s">
        <v>354</v>
      </c>
      <c r="F2758">
        <v>-552.82000000000005</v>
      </c>
      <c r="G2758" t="s">
        <v>70</v>
      </c>
      <c r="H2758" t="s">
        <v>264</v>
      </c>
      <c r="I2758" t="s">
        <v>72</v>
      </c>
    </row>
    <row r="2759" spans="1:9" x14ac:dyDescent="0.25">
      <c r="A2759" t="s">
        <v>264</v>
      </c>
      <c r="B2759" t="s">
        <v>100</v>
      </c>
      <c r="C2759" t="s">
        <v>775</v>
      </c>
      <c r="D2759" s="1">
        <v>45224</v>
      </c>
      <c r="E2759" t="s">
        <v>355</v>
      </c>
      <c r="F2759">
        <v>817.02</v>
      </c>
      <c r="G2759" t="s">
        <v>70</v>
      </c>
      <c r="H2759" t="s">
        <v>264</v>
      </c>
      <c r="I2759" t="s">
        <v>72</v>
      </c>
    </row>
    <row r="2760" spans="1:9" x14ac:dyDescent="0.25">
      <c r="A2760" t="s">
        <v>264</v>
      </c>
      <c r="B2760" t="s">
        <v>100</v>
      </c>
      <c r="C2760" t="s">
        <v>775</v>
      </c>
      <c r="D2760" s="1">
        <v>45224</v>
      </c>
      <c r="E2760" t="s">
        <v>355</v>
      </c>
      <c r="F2760">
        <v>81.3</v>
      </c>
      <c r="G2760" t="s">
        <v>70</v>
      </c>
      <c r="H2760" t="s">
        <v>264</v>
      </c>
      <c r="I2760" t="s">
        <v>72</v>
      </c>
    </row>
    <row r="2761" spans="1:9" x14ac:dyDescent="0.25">
      <c r="A2761" t="s">
        <v>264</v>
      </c>
      <c r="B2761" t="s">
        <v>100</v>
      </c>
      <c r="C2761" t="s">
        <v>775</v>
      </c>
      <c r="D2761" s="1">
        <v>45230</v>
      </c>
      <c r="E2761" t="s">
        <v>359</v>
      </c>
      <c r="F2761">
        <v>94.45</v>
      </c>
      <c r="G2761" t="s">
        <v>100</v>
      </c>
      <c r="H2761" t="s">
        <v>264</v>
      </c>
      <c r="I2761" t="s">
        <v>100</v>
      </c>
    </row>
    <row r="2762" spans="1:9" x14ac:dyDescent="0.25">
      <c r="A2762" t="s">
        <v>264</v>
      </c>
      <c r="B2762" t="s">
        <v>100</v>
      </c>
      <c r="C2762" t="s">
        <v>775</v>
      </c>
      <c r="D2762" s="1">
        <v>45230</v>
      </c>
      <c r="E2762" t="s">
        <v>360</v>
      </c>
      <c r="F2762">
        <v>-19.8</v>
      </c>
      <c r="G2762" t="s">
        <v>84</v>
      </c>
      <c r="H2762" t="s">
        <v>85</v>
      </c>
      <c r="I2762" t="s">
        <v>97</v>
      </c>
    </row>
    <row r="2763" spans="1:9" x14ac:dyDescent="0.25">
      <c r="A2763" t="s">
        <v>264</v>
      </c>
      <c r="B2763" t="s">
        <v>100</v>
      </c>
      <c r="C2763" t="s">
        <v>775</v>
      </c>
      <c r="D2763" s="1">
        <v>45231</v>
      </c>
      <c r="E2763" t="s">
        <v>354</v>
      </c>
      <c r="F2763">
        <v>-24.4</v>
      </c>
      <c r="G2763" t="s">
        <v>70</v>
      </c>
      <c r="H2763" t="s">
        <v>264</v>
      </c>
      <c r="I2763" t="s">
        <v>72</v>
      </c>
    </row>
    <row r="2764" spans="1:9" x14ac:dyDescent="0.25">
      <c r="A2764" t="s">
        <v>264</v>
      </c>
      <c r="B2764" t="s">
        <v>100</v>
      </c>
      <c r="C2764" t="s">
        <v>775</v>
      </c>
      <c r="D2764" s="1">
        <v>45231</v>
      </c>
      <c r="E2764" t="s">
        <v>354</v>
      </c>
      <c r="F2764">
        <v>-1979.45</v>
      </c>
      <c r="G2764" t="s">
        <v>70</v>
      </c>
      <c r="H2764" t="s">
        <v>264</v>
      </c>
      <c r="I2764" t="s">
        <v>72</v>
      </c>
    </row>
    <row r="2765" spans="1:9" x14ac:dyDescent="0.25">
      <c r="A2765" t="s">
        <v>264</v>
      </c>
      <c r="B2765" t="s">
        <v>100</v>
      </c>
      <c r="C2765" t="s">
        <v>775</v>
      </c>
      <c r="D2765" s="1">
        <v>45233</v>
      </c>
      <c r="E2765" t="s">
        <v>354</v>
      </c>
      <c r="F2765">
        <v>-481.36</v>
      </c>
      <c r="G2765" t="s">
        <v>70</v>
      </c>
      <c r="H2765" t="s">
        <v>264</v>
      </c>
      <c r="I2765" t="s">
        <v>72</v>
      </c>
    </row>
    <row r="2766" spans="1:9" x14ac:dyDescent="0.25">
      <c r="A2766" t="s">
        <v>264</v>
      </c>
      <c r="B2766" t="s">
        <v>100</v>
      </c>
      <c r="C2766" t="s">
        <v>775</v>
      </c>
      <c r="D2766" s="1">
        <v>45233</v>
      </c>
      <c r="E2766" t="s">
        <v>378</v>
      </c>
      <c r="F2766">
        <v>1601.03</v>
      </c>
      <c r="G2766" t="s">
        <v>350</v>
      </c>
      <c r="H2766" t="s">
        <v>74</v>
      </c>
      <c r="I2766" t="s">
        <v>75</v>
      </c>
    </row>
    <row r="2767" spans="1:9" x14ac:dyDescent="0.25">
      <c r="A2767" t="s">
        <v>264</v>
      </c>
      <c r="B2767" t="s">
        <v>100</v>
      </c>
      <c r="C2767" t="s">
        <v>775</v>
      </c>
      <c r="D2767" s="1">
        <v>45237</v>
      </c>
      <c r="E2767" t="s">
        <v>354</v>
      </c>
      <c r="F2767">
        <v>-439.17</v>
      </c>
      <c r="G2767" t="s">
        <v>70</v>
      </c>
      <c r="H2767" t="s">
        <v>264</v>
      </c>
      <c r="I2767" t="s">
        <v>72</v>
      </c>
    </row>
    <row r="2768" spans="1:9" x14ac:dyDescent="0.25">
      <c r="A2768" t="s">
        <v>264</v>
      </c>
      <c r="B2768" t="s">
        <v>100</v>
      </c>
      <c r="C2768" t="s">
        <v>775</v>
      </c>
      <c r="D2768" s="1">
        <v>45237</v>
      </c>
      <c r="E2768" t="s">
        <v>379</v>
      </c>
      <c r="F2768">
        <v>1786.9</v>
      </c>
      <c r="G2768" t="s">
        <v>70</v>
      </c>
      <c r="H2768" t="s">
        <v>264</v>
      </c>
      <c r="I2768" t="s">
        <v>72</v>
      </c>
    </row>
    <row r="2769" spans="1:9" x14ac:dyDescent="0.25">
      <c r="A2769" t="s">
        <v>264</v>
      </c>
      <c r="B2769" t="s">
        <v>100</v>
      </c>
      <c r="C2769" t="s">
        <v>775</v>
      </c>
      <c r="D2769" s="1">
        <v>45237</v>
      </c>
      <c r="E2769" t="s">
        <v>379</v>
      </c>
      <c r="F2769">
        <v>64379.56</v>
      </c>
      <c r="G2769" t="s">
        <v>70</v>
      </c>
      <c r="H2769" t="s">
        <v>264</v>
      </c>
      <c r="I2769" t="s">
        <v>72</v>
      </c>
    </row>
    <row r="2770" spans="1:9" x14ac:dyDescent="0.25">
      <c r="A2770" t="s">
        <v>264</v>
      </c>
      <c r="B2770" t="s">
        <v>100</v>
      </c>
      <c r="C2770" t="s">
        <v>775</v>
      </c>
      <c r="D2770" s="1">
        <v>45237</v>
      </c>
      <c r="E2770" t="s">
        <v>310</v>
      </c>
      <c r="F2770">
        <v>-12531.06</v>
      </c>
      <c r="G2770" t="s">
        <v>70</v>
      </c>
      <c r="H2770" t="s">
        <v>264</v>
      </c>
      <c r="I2770" t="s">
        <v>72</v>
      </c>
    </row>
    <row r="2771" spans="1:9" x14ac:dyDescent="0.25">
      <c r="A2771" t="s">
        <v>264</v>
      </c>
      <c r="B2771" t="s">
        <v>100</v>
      </c>
      <c r="C2771" t="s">
        <v>775</v>
      </c>
      <c r="D2771" s="1">
        <v>45237</v>
      </c>
      <c r="E2771" t="s">
        <v>354</v>
      </c>
      <c r="F2771">
        <v>-148.21</v>
      </c>
      <c r="G2771" t="s">
        <v>70</v>
      </c>
      <c r="H2771" t="s">
        <v>264</v>
      </c>
      <c r="I2771" t="s">
        <v>72</v>
      </c>
    </row>
    <row r="2772" spans="1:9" x14ac:dyDescent="0.25">
      <c r="A2772" t="s">
        <v>264</v>
      </c>
      <c r="B2772" t="s">
        <v>100</v>
      </c>
      <c r="C2772" t="s">
        <v>775</v>
      </c>
      <c r="D2772" s="1">
        <v>45238</v>
      </c>
      <c r="E2772" t="s">
        <v>355</v>
      </c>
      <c r="F2772">
        <v>2078.86</v>
      </c>
      <c r="G2772" t="s">
        <v>70</v>
      </c>
      <c r="H2772" t="s">
        <v>264</v>
      </c>
      <c r="I2772" t="s">
        <v>72</v>
      </c>
    </row>
    <row r="2773" spans="1:9" x14ac:dyDescent="0.25">
      <c r="A2773" t="s">
        <v>264</v>
      </c>
      <c r="B2773" t="s">
        <v>100</v>
      </c>
      <c r="C2773" t="s">
        <v>775</v>
      </c>
      <c r="D2773" s="1">
        <v>45238</v>
      </c>
      <c r="E2773" t="s">
        <v>355</v>
      </c>
      <c r="F2773">
        <v>3116.7</v>
      </c>
      <c r="G2773" t="s">
        <v>70</v>
      </c>
      <c r="H2773" t="s">
        <v>264</v>
      </c>
      <c r="I2773" t="s">
        <v>72</v>
      </c>
    </row>
    <row r="2774" spans="1:9" x14ac:dyDescent="0.25">
      <c r="A2774" t="s">
        <v>264</v>
      </c>
      <c r="B2774" t="s">
        <v>100</v>
      </c>
      <c r="C2774" t="s">
        <v>775</v>
      </c>
      <c r="D2774" s="1">
        <v>45239</v>
      </c>
      <c r="E2774" t="s">
        <v>354</v>
      </c>
      <c r="F2774">
        <v>-54.54</v>
      </c>
      <c r="G2774" t="s">
        <v>70</v>
      </c>
      <c r="H2774" t="s">
        <v>264</v>
      </c>
      <c r="I2774" t="s">
        <v>72</v>
      </c>
    </row>
    <row r="2775" spans="1:9" x14ac:dyDescent="0.25">
      <c r="A2775" t="s">
        <v>264</v>
      </c>
      <c r="B2775" t="s">
        <v>100</v>
      </c>
      <c r="C2775" t="s">
        <v>775</v>
      </c>
      <c r="D2775" s="1">
        <v>45239</v>
      </c>
      <c r="E2775" t="s">
        <v>310</v>
      </c>
      <c r="F2775">
        <v>-1004.37</v>
      </c>
      <c r="G2775" t="s">
        <v>70</v>
      </c>
      <c r="H2775" t="s">
        <v>264</v>
      </c>
      <c r="I2775" t="s">
        <v>72</v>
      </c>
    </row>
    <row r="2776" spans="1:9" x14ac:dyDescent="0.25">
      <c r="A2776" t="s">
        <v>264</v>
      </c>
      <c r="B2776" t="s">
        <v>100</v>
      </c>
      <c r="C2776" t="s">
        <v>775</v>
      </c>
      <c r="D2776" s="1">
        <v>45239</v>
      </c>
      <c r="E2776" t="s">
        <v>319</v>
      </c>
      <c r="F2776">
        <v>2475.27</v>
      </c>
      <c r="G2776" t="s">
        <v>70</v>
      </c>
      <c r="H2776" t="s">
        <v>264</v>
      </c>
      <c r="I2776" t="s">
        <v>72</v>
      </c>
    </row>
    <row r="2777" spans="1:9" x14ac:dyDescent="0.25">
      <c r="A2777" t="s">
        <v>264</v>
      </c>
      <c r="B2777" t="s">
        <v>100</v>
      </c>
      <c r="C2777" t="s">
        <v>775</v>
      </c>
      <c r="D2777" s="1">
        <v>45239</v>
      </c>
      <c r="E2777" t="s">
        <v>380</v>
      </c>
      <c r="F2777">
        <v>3046.89</v>
      </c>
      <c r="G2777" t="s">
        <v>100</v>
      </c>
      <c r="H2777" t="s">
        <v>264</v>
      </c>
      <c r="I2777" t="s">
        <v>100</v>
      </c>
    </row>
    <row r="2778" spans="1:9" x14ac:dyDescent="0.25">
      <c r="A2778" t="s">
        <v>264</v>
      </c>
      <c r="B2778" t="s">
        <v>100</v>
      </c>
      <c r="C2778" t="s">
        <v>775</v>
      </c>
      <c r="D2778" s="1">
        <v>45239</v>
      </c>
      <c r="E2778" t="s">
        <v>354</v>
      </c>
      <c r="F2778">
        <v>-81.38</v>
      </c>
      <c r="G2778" t="s">
        <v>70</v>
      </c>
      <c r="H2778" t="s">
        <v>264</v>
      </c>
      <c r="I2778" t="s">
        <v>72</v>
      </c>
    </row>
    <row r="2779" spans="1:9" x14ac:dyDescent="0.25">
      <c r="A2779" t="s">
        <v>264</v>
      </c>
      <c r="B2779" t="s">
        <v>100</v>
      </c>
      <c r="C2779" t="s">
        <v>775</v>
      </c>
      <c r="D2779" s="1">
        <v>45239</v>
      </c>
      <c r="E2779" t="s">
        <v>355</v>
      </c>
      <c r="F2779">
        <v>598.49</v>
      </c>
      <c r="G2779" t="s">
        <v>70</v>
      </c>
      <c r="H2779" t="s">
        <v>264</v>
      </c>
      <c r="I2779" t="s">
        <v>72</v>
      </c>
    </row>
    <row r="2780" spans="1:9" x14ac:dyDescent="0.25">
      <c r="A2780" t="s">
        <v>264</v>
      </c>
      <c r="B2780" t="s">
        <v>100</v>
      </c>
      <c r="C2780" t="s">
        <v>775</v>
      </c>
      <c r="D2780" s="1">
        <v>45242</v>
      </c>
      <c r="E2780" t="s">
        <v>354</v>
      </c>
      <c r="F2780">
        <v>-329.87</v>
      </c>
      <c r="G2780" t="s">
        <v>70</v>
      </c>
      <c r="H2780" t="s">
        <v>264</v>
      </c>
      <c r="I2780" t="s">
        <v>72</v>
      </c>
    </row>
    <row r="2781" spans="1:9" x14ac:dyDescent="0.25">
      <c r="A2781" t="s">
        <v>264</v>
      </c>
      <c r="B2781" t="s">
        <v>100</v>
      </c>
      <c r="C2781" t="s">
        <v>775</v>
      </c>
      <c r="D2781" s="1">
        <v>45245</v>
      </c>
      <c r="E2781" t="s">
        <v>310</v>
      </c>
      <c r="F2781">
        <v>-556.38</v>
      </c>
      <c r="G2781" t="s">
        <v>70</v>
      </c>
      <c r="H2781" t="s">
        <v>264</v>
      </c>
      <c r="I2781" t="s">
        <v>72</v>
      </c>
    </row>
    <row r="2782" spans="1:9" x14ac:dyDescent="0.25">
      <c r="A2782" t="s">
        <v>264</v>
      </c>
      <c r="B2782" t="s">
        <v>100</v>
      </c>
      <c r="C2782" t="s">
        <v>775</v>
      </c>
      <c r="D2782" s="1">
        <v>45245</v>
      </c>
      <c r="E2782" t="s">
        <v>354</v>
      </c>
      <c r="F2782">
        <v>-3068.5</v>
      </c>
      <c r="G2782" t="s">
        <v>70</v>
      </c>
      <c r="H2782" t="s">
        <v>264</v>
      </c>
      <c r="I2782" t="s">
        <v>72</v>
      </c>
    </row>
    <row r="2783" spans="1:9" x14ac:dyDescent="0.25">
      <c r="A2783" t="s">
        <v>264</v>
      </c>
      <c r="B2783" t="s">
        <v>100</v>
      </c>
      <c r="C2783" t="s">
        <v>775</v>
      </c>
      <c r="D2783" s="1">
        <v>45245</v>
      </c>
      <c r="E2783" t="s">
        <v>354</v>
      </c>
      <c r="F2783">
        <v>-44.46</v>
      </c>
      <c r="G2783" t="s">
        <v>70</v>
      </c>
      <c r="H2783" t="s">
        <v>264</v>
      </c>
      <c r="I2783" t="s">
        <v>72</v>
      </c>
    </row>
    <row r="2784" spans="1:9" x14ac:dyDescent="0.25">
      <c r="A2784" t="s">
        <v>264</v>
      </c>
      <c r="B2784" t="s">
        <v>100</v>
      </c>
      <c r="C2784" t="s">
        <v>775</v>
      </c>
      <c r="D2784" s="1">
        <v>45246</v>
      </c>
      <c r="E2784" t="s">
        <v>355</v>
      </c>
      <c r="F2784">
        <v>197.5</v>
      </c>
      <c r="G2784" t="s">
        <v>70</v>
      </c>
      <c r="H2784" t="s">
        <v>264</v>
      </c>
      <c r="I2784" t="s">
        <v>72</v>
      </c>
    </row>
    <row r="2785" spans="1:9" x14ac:dyDescent="0.25">
      <c r="A2785" t="s">
        <v>264</v>
      </c>
      <c r="B2785" t="s">
        <v>100</v>
      </c>
      <c r="C2785" t="s">
        <v>775</v>
      </c>
      <c r="D2785" s="1">
        <v>45247</v>
      </c>
      <c r="E2785" t="s">
        <v>381</v>
      </c>
      <c r="F2785">
        <v>1377.56</v>
      </c>
      <c r="G2785" t="s">
        <v>350</v>
      </c>
      <c r="H2785" t="s">
        <v>74</v>
      </c>
      <c r="I2785" t="s">
        <v>75</v>
      </c>
    </row>
    <row r="2786" spans="1:9" x14ac:dyDescent="0.25">
      <c r="A2786" t="s">
        <v>264</v>
      </c>
      <c r="B2786" t="s">
        <v>100</v>
      </c>
      <c r="C2786" t="s">
        <v>775</v>
      </c>
      <c r="D2786" s="1">
        <v>45249</v>
      </c>
      <c r="E2786" t="s">
        <v>354</v>
      </c>
      <c r="F2786">
        <v>-170.36</v>
      </c>
      <c r="G2786" t="s">
        <v>70</v>
      </c>
      <c r="H2786" t="s">
        <v>264</v>
      </c>
      <c r="I2786" t="s">
        <v>72</v>
      </c>
    </row>
    <row r="2787" spans="1:9" x14ac:dyDescent="0.25">
      <c r="A2787" t="s">
        <v>264</v>
      </c>
      <c r="B2787" t="s">
        <v>100</v>
      </c>
      <c r="C2787" t="s">
        <v>775</v>
      </c>
      <c r="D2787" s="1">
        <v>45249</v>
      </c>
      <c r="E2787" t="s">
        <v>354</v>
      </c>
      <c r="F2787">
        <v>-86.72</v>
      </c>
      <c r="G2787" t="s">
        <v>70</v>
      </c>
      <c r="H2787" t="s">
        <v>264</v>
      </c>
      <c r="I2787" t="s">
        <v>72</v>
      </c>
    </row>
    <row r="2788" spans="1:9" x14ac:dyDescent="0.25">
      <c r="A2788" t="s">
        <v>264</v>
      </c>
      <c r="B2788" t="s">
        <v>100</v>
      </c>
      <c r="C2788" t="s">
        <v>775</v>
      </c>
      <c r="D2788" s="1">
        <v>45249</v>
      </c>
      <c r="E2788" t="s">
        <v>354</v>
      </c>
      <c r="F2788">
        <v>-1620.39</v>
      </c>
      <c r="G2788" t="s">
        <v>70</v>
      </c>
      <c r="H2788" t="s">
        <v>264</v>
      </c>
      <c r="I2788" t="s">
        <v>72</v>
      </c>
    </row>
    <row r="2789" spans="1:9" x14ac:dyDescent="0.25">
      <c r="A2789" t="s">
        <v>264</v>
      </c>
      <c r="B2789" t="s">
        <v>100</v>
      </c>
      <c r="C2789" t="s">
        <v>775</v>
      </c>
      <c r="D2789" s="1">
        <v>45249</v>
      </c>
      <c r="E2789" t="s">
        <v>354</v>
      </c>
      <c r="F2789">
        <v>-89.65</v>
      </c>
      <c r="G2789" t="s">
        <v>70</v>
      </c>
      <c r="H2789" t="s">
        <v>264</v>
      </c>
      <c r="I2789" t="s">
        <v>72</v>
      </c>
    </row>
    <row r="2790" spans="1:9" x14ac:dyDescent="0.25">
      <c r="A2790" t="s">
        <v>264</v>
      </c>
      <c r="B2790" t="s">
        <v>100</v>
      </c>
      <c r="C2790" t="s">
        <v>775</v>
      </c>
      <c r="D2790" s="1">
        <v>45252</v>
      </c>
      <c r="E2790" t="s">
        <v>355</v>
      </c>
      <c r="F2790">
        <v>6034.43</v>
      </c>
      <c r="G2790" t="s">
        <v>70</v>
      </c>
      <c r="H2790" t="s">
        <v>264</v>
      </c>
      <c r="I2790" t="s">
        <v>72</v>
      </c>
    </row>
    <row r="2791" spans="1:9" x14ac:dyDescent="0.25">
      <c r="A2791" t="s">
        <v>264</v>
      </c>
      <c r="B2791" t="s">
        <v>100</v>
      </c>
      <c r="C2791" t="s">
        <v>775</v>
      </c>
      <c r="D2791" s="1">
        <v>45253</v>
      </c>
      <c r="E2791" t="s">
        <v>354</v>
      </c>
      <c r="F2791">
        <v>-558.9</v>
      </c>
      <c r="G2791" t="s">
        <v>70</v>
      </c>
      <c r="H2791" t="s">
        <v>264</v>
      </c>
      <c r="I2791" t="s">
        <v>72</v>
      </c>
    </row>
    <row r="2792" spans="1:9" x14ac:dyDescent="0.25">
      <c r="A2792" t="s">
        <v>264</v>
      </c>
      <c r="B2792" t="s">
        <v>100</v>
      </c>
      <c r="C2792" t="s">
        <v>775</v>
      </c>
      <c r="D2792" s="1">
        <v>45255</v>
      </c>
      <c r="E2792" t="s">
        <v>354</v>
      </c>
      <c r="F2792">
        <v>-245.69</v>
      </c>
      <c r="G2792" t="s">
        <v>70</v>
      </c>
      <c r="H2792" t="s">
        <v>264</v>
      </c>
      <c r="I2792" t="s">
        <v>72</v>
      </c>
    </row>
    <row r="2793" spans="1:9" x14ac:dyDescent="0.25">
      <c r="A2793" t="s">
        <v>264</v>
      </c>
      <c r="B2793" t="s">
        <v>100</v>
      </c>
      <c r="C2793" t="s">
        <v>775</v>
      </c>
      <c r="D2793" s="1">
        <v>45255</v>
      </c>
      <c r="E2793" t="s">
        <v>354</v>
      </c>
      <c r="F2793">
        <v>-600.41</v>
      </c>
      <c r="G2793" t="s">
        <v>70</v>
      </c>
      <c r="H2793" t="s">
        <v>264</v>
      </c>
      <c r="I2793" t="s">
        <v>72</v>
      </c>
    </row>
    <row r="2794" spans="1:9" x14ac:dyDescent="0.25">
      <c r="A2794" t="s">
        <v>264</v>
      </c>
      <c r="B2794" t="s">
        <v>100</v>
      </c>
      <c r="C2794" t="s">
        <v>775</v>
      </c>
      <c r="D2794" s="1">
        <v>45260</v>
      </c>
      <c r="E2794" t="s">
        <v>354</v>
      </c>
      <c r="F2794">
        <v>-3067.44</v>
      </c>
      <c r="G2794" t="s">
        <v>70</v>
      </c>
      <c r="H2794" t="s">
        <v>264</v>
      </c>
      <c r="I2794" t="s">
        <v>72</v>
      </c>
    </row>
    <row r="2795" spans="1:9" x14ac:dyDescent="0.25">
      <c r="A2795" t="s">
        <v>264</v>
      </c>
      <c r="B2795" t="s">
        <v>100</v>
      </c>
      <c r="C2795" t="s">
        <v>775</v>
      </c>
      <c r="D2795" s="1">
        <v>45260</v>
      </c>
      <c r="E2795" t="s">
        <v>359</v>
      </c>
      <c r="F2795">
        <v>16.440000000000001</v>
      </c>
      <c r="G2795" t="s">
        <v>100</v>
      </c>
      <c r="H2795" t="s">
        <v>264</v>
      </c>
      <c r="I2795" t="s">
        <v>100</v>
      </c>
    </row>
    <row r="2796" spans="1:9" x14ac:dyDescent="0.25">
      <c r="A2796" t="s">
        <v>264</v>
      </c>
      <c r="B2796" t="s">
        <v>100</v>
      </c>
      <c r="C2796" t="s">
        <v>775</v>
      </c>
      <c r="D2796" s="1">
        <v>45260</v>
      </c>
      <c r="E2796" t="s">
        <v>360</v>
      </c>
      <c r="F2796">
        <v>-3.26</v>
      </c>
      <c r="G2796" t="s">
        <v>84</v>
      </c>
      <c r="H2796" t="s">
        <v>85</v>
      </c>
      <c r="I2796" t="s">
        <v>97</v>
      </c>
    </row>
    <row r="2797" spans="1:9" x14ac:dyDescent="0.25">
      <c r="A2797" t="s">
        <v>264</v>
      </c>
      <c r="B2797" t="s">
        <v>100</v>
      </c>
      <c r="C2797" t="s">
        <v>775</v>
      </c>
      <c r="D2797" s="1">
        <v>45261</v>
      </c>
      <c r="E2797" t="s">
        <v>354</v>
      </c>
      <c r="F2797">
        <v>-32.020000000000003</v>
      </c>
      <c r="G2797" t="s">
        <v>70</v>
      </c>
      <c r="H2797" t="s">
        <v>264</v>
      </c>
      <c r="I2797" t="s">
        <v>72</v>
      </c>
    </row>
    <row r="2798" spans="1:9" x14ac:dyDescent="0.25">
      <c r="A2798" t="s">
        <v>264</v>
      </c>
      <c r="B2798" t="s">
        <v>100</v>
      </c>
      <c r="C2798" t="s">
        <v>775</v>
      </c>
      <c r="D2798" s="1">
        <v>45261</v>
      </c>
      <c r="E2798" t="s">
        <v>382</v>
      </c>
      <c r="F2798">
        <v>1354.64</v>
      </c>
      <c r="G2798" t="s">
        <v>350</v>
      </c>
      <c r="H2798" t="s">
        <v>74</v>
      </c>
      <c r="I2798" t="s">
        <v>75</v>
      </c>
    </row>
    <row r="2799" spans="1:9" x14ac:dyDescent="0.25">
      <c r="A2799" t="s">
        <v>264</v>
      </c>
      <c r="B2799" t="s">
        <v>100</v>
      </c>
      <c r="C2799" t="s">
        <v>775</v>
      </c>
      <c r="D2799" s="1">
        <v>45265</v>
      </c>
      <c r="E2799" t="s">
        <v>354</v>
      </c>
      <c r="F2799">
        <v>-709.81</v>
      </c>
      <c r="G2799" t="s">
        <v>70</v>
      </c>
      <c r="H2799" t="s">
        <v>264</v>
      </c>
      <c r="I2799" t="s">
        <v>72</v>
      </c>
    </row>
    <row r="2800" spans="1:9" x14ac:dyDescent="0.25">
      <c r="A2800" t="s">
        <v>264</v>
      </c>
      <c r="B2800" t="s">
        <v>100</v>
      </c>
      <c r="C2800" t="s">
        <v>775</v>
      </c>
      <c r="D2800" s="1">
        <v>45267</v>
      </c>
      <c r="E2800" t="s">
        <v>355</v>
      </c>
      <c r="F2800">
        <v>1381.79</v>
      </c>
      <c r="G2800" t="s">
        <v>70</v>
      </c>
      <c r="H2800" t="s">
        <v>264</v>
      </c>
      <c r="I2800" t="s">
        <v>72</v>
      </c>
    </row>
    <row r="2801" spans="1:9" x14ac:dyDescent="0.25">
      <c r="A2801" t="s">
        <v>264</v>
      </c>
      <c r="B2801" t="s">
        <v>100</v>
      </c>
      <c r="C2801" t="s">
        <v>775</v>
      </c>
      <c r="D2801" s="1">
        <v>45267</v>
      </c>
      <c r="E2801" t="s">
        <v>354</v>
      </c>
      <c r="F2801">
        <v>-301.32</v>
      </c>
      <c r="G2801" t="s">
        <v>70</v>
      </c>
      <c r="H2801" t="s">
        <v>264</v>
      </c>
      <c r="I2801" t="s">
        <v>72</v>
      </c>
    </row>
    <row r="2802" spans="1:9" x14ac:dyDescent="0.25">
      <c r="A2802" t="s">
        <v>264</v>
      </c>
      <c r="B2802" t="s">
        <v>100</v>
      </c>
      <c r="C2802" t="s">
        <v>775</v>
      </c>
      <c r="D2802" s="1">
        <v>45269</v>
      </c>
      <c r="E2802" t="s">
        <v>354</v>
      </c>
      <c r="F2802">
        <v>-65.52</v>
      </c>
      <c r="G2802" t="s">
        <v>70</v>
      </c>
      <c r="H2802" t="s">
        <v>264</v>
      </c>
      <c r="I2802" t="s">
        <v>72</v>
      </c>
    </row>
    <row r="2803" spans="1:9" x14ac:dyDescent="0.25">
      <c r="A2803" t="s">
        <v>264</v>
      </c>
      <c r="B2803" t="s">
        <v>100</v>
      </c>
      <c r="C2803" t="s">
        <v>775</v>
      </c>
      <c r="D2803" s="1">
        <v>45270</v>
      </c>
      <c r="E2803" t="s">
        <v>355</v>
      </c>
      <c r="F2803">
        <v>1714.53</v>
      </c>
      <c r="G2803" t="s">
        <v>70</v>
      </c>
      <c r="H2803" t="s">
        <v>264</v>
      </c>
      <c r="I2803" t="s">
        <v>72</v>
      </c>
    </row>
    <row r="2804" spans="1:9" x14ac:dyDescent="0.25">
      <c r="A2804" t="s">
        <v>264</v>
      </c>
      <c r="B2804" t="s">
        <v>100</v>
      </c>
      <c r="C2804" t="s">
        <v>775</v>
      </c>
      <c r="D2804" s="1">
        <v>45272</v>
      </c>
      <c r="E2804" t="s">
        <v>354</v>
      </c>
      <c r="F2804">
        <v>-274.10000000000002</v>
      </c>
      <c r="G2804" t="s">
        <v>70</v>
      </c>
      <c r="H2804" t="s">
        <v>264</v>
      </c>
      <c r="I2804" t="s">
        <v>72</v>
      </c>
    </row>
    <row r="2805" spans="1:9" x14ac:dyDescent="0.25">
      <c r="A2805" t="s">
        <v>264</v>
      </c>
      <c r="B2805" t="s">
        <v>100</v>
      </c>
      <c r="C2805" t="s">
        <v>775</v>
      </c>
      <c r="D2805" s="1">
        <v>45273</v>
      </c>
      <c r="E2805" t="s">
        <v>354</v>
      </c>
      <c r="F2805">
        <v>-3613.34</v>
      </c>
      <c r="G2805" t="s">
        <v>70</v>
      </c>
      <c r="H2805" t="s">
        <v>264</v>
      </c>
      <c r="I2805" t="s">
        <v>72</v>
      </c>
    </row>
    <row r="2806" spans="1:9" x14ac:dyDescent="0.25">
      <c r="A2806" t="s">
        <v>264</v>
      </c>
      <c r="B2806" t="s">
        <v>100</v>
      </c>
      <c r="C2806" t="s">
        <v>775</v>
      </c>
      <c r="D2806" s="1">
        <v>45275</v>
      </c>
      <c r="E2806" t="s">
        <v>383</v>
      </c>
      <c r="F2806">
        <v>417.91</v>
      </c>
      <c r="G2806" t="s">
        <v>350</v>
      </c>
      <c r="H2806" t="s">
        <v>74</v>
      </c>
      <c r="I2806" t="s">
        <v>75</v>
      </c>
    </row>
    <row r="2807" spans="1:9" x14ac:dyDescent="0.25">
      <c r="A2807" t="s">
        <v>264</v>
      </c>
      <c r="B2807" t="s">
        <v>100</v>
      </c>
      <c r="C2807" t="s">
        <v>775</v>
      </c>
      <c r="D2807" s="1">
        <v>45275</v>
      </c>
      <c r="E2807" t="s">
        <v>355</v>
      </c>
      <c r="F2807">
        <v>1620.18</v>
      </c>
      <c r="G2807" t="s">
        <v>70</v>
      </c>
      <c r="H2807" t="s">
        <v>264</v>
      </c>
      <c r="I2807" t="s">
        <v>72</v>
      </c>
    </row>
    <row r="2808" spans="1:9" x14ac:dyDescent="0.25">
      <c r="A2808" t="s">
        <v>264</v>
      </c>
      <c r="B2808" t="s">
        <v>100</v>
      </c>
      <c r="C2808" t="s">
        <v>775</v>
      </c>
      <c r="D2808" s="1">
        <v>45276</v>
      </c>
      <c r="E2808" t="s">
        <v>355</v>
      </c>
      <c r="F2808">
        <v>28.96</v>
      </c>
      <c r="G2808" t="s">
        <v>70</v>
      </c>
      <c r="H2808" t="s">
        <v>264</v>
      </c>
      <c r="I2808" t="s">
        <v>72</v>
      </c>
    </row>
    <row r="2809" spans="1:9" x14ac:dyDescent="0.25">
      <c r="A2809" t="s">
        <v>264</v>
      </c>
      <c r="B2809" t="s">
        <v>100</v>
      </c>
      <c r="C2809" t="s">
        <v>775</v>
      </c>
      <c r="D2809" s="1">
        <v>45280</v>
      </c>
      <c r="E2809" t="s">
        <v>355</v>
      </c>
      <c r="F2809">
        <v>5239.58</v>
      </c>
      <c r="G2809" t="s">
        <v>70</v>
      </c>
      <c r="H2809" t="s">
        <v>264</v>
      </c>
      <c r="I2809" t="s">
        <v>72</v>
      </c>
    </row>
    <row r="2810" spans="1:9" x14ac:dyDescent="0.25">
      <c r="A2810" t="s">
        <v>264</v>
      </c>
      <c r="B2810" t="s">
        <v>100</v>
      </c>
      <c r="C2810" t="s">
        <v>775</v>
      </c>
      <c r="D2810" s="1">
        <v>45280</v>
      </c>
      <c r="E2810" t="s">
        <v>355</v>
      </c>
      <c r="F2810">
        <v>1232.98</v>
      </c>
      <c r="G2810" t="s">
        <v>70</v>
      </c>
      <c r="H2810" t="s">
        <v>264</v>
      </c>
      <c r="I2810" t="s">
        <v>72</v>
      </c>
    </row>
    <row r="2811" spans="1:9" x14ac:dyDescent="0.25">
      <c r="A2811" t="s">
        <v>264</v>
      </c>
      <c r="B2811" t="s">
        <v>100</v>
      </c>
      <c r="C2811" t="s">
        <v>775</v>
      </c>
      <c r="D2811" s="1">
        <v>45283</v>
      </c>
      <c r="E2811" t="s">
        <v>354</v>
      </c>
      <c r="F2811">
        <v>-438.03</v>
      </c>
      <c r="G2811" t="s">
        <v>70</v>
      </c>
      <c r="H2811" t="s">
        <v>264</v>
      </c>
      <c r="I2811" t="s">
        <v>72</v>
      </c>
    </row>
    <row r="2812" spans="1:9" x14ac:dyDescent="0.25">
      <c r="A2812" t="s">
        <v>264</v>
      </c>
      <c r="B2812" t="s">
        <v>100</v>
      </c>
      <c r="C2812" t="s">
        <v>775</v>
      </c>
      <c r="D2812" s="1">
        <v>45287</v>
      </c>
      <c r="E2812" t="s">
        <v>354</v>
      </c>
      <c r="F2812">
        <v>-4855.28</v>
      </c>
      <c r="G2812" t="s">
        <v>70</v>
      </c>
      <c r="H2812" t="s">
        <v>264</v>
      </c>
      <c r="I2812" t="s">
        <v>72</v>
      </c>
    </row>
    <row r="2813" spans="1:9" x14ac:dyDescent="0.25">
      <c r="A2813" t="s">
        <v>264</v>
      </c>
      <c r="B2813" t="s">
        <v>100</v>
      </c>
      <c r="C2813" t="s">
        <v>775</v>
      </c>
      <c r="D2813" s="1">
        <v>45290</v>
      </c>
      <c r="E2813" t="s">
        <v>355</v>
      </c>
      <c r="F2813">
        <v>713.03</v>
      </c>
      <c r="G2813" t="s">
        <v>70</v>
      </c>
      <c r="H2813" t="s">
        <v>264</v>
      </c>
      <c r="I2813" t="s">
        <v>72</v>
      </c>
    </row>
    <row r="2814" spans="1:9" x14ac:dyDescent="0.25">
      <c r="A2814" t="s">
        <v>264</v>
      </c>
      <c r="B2814" t="s">
        <v>100</v>
      </c>
      <c r="C2814" t="s">
        <v>775</v>
      </c>
      <c r="D2814" s="1">
        <v>45290</v>
      </c>
      <c r="E2814" t="s">
        <v>384</v>
      </c>
      <c r="F2814">
        <v>1211.32</v>
      </c>
      <c r="G2814" t="s">
        <v>350</v>
      </c>
      <c r="H2814" t="s">
        <v>74</v>
      </c>
      <c r="I2814" t="s">
        <v>75</v>
      </c>
    </row>
    <row r="2815" spans="1:9" x14ac:dyDescent="0.25">
      <c r="A2815" t="s">
        <v>264</v>
      </c>
      <c r="B2815" t="s">
        <v>100</v>
      </c>
      <c r="C2815" t="s">
        <v>775</v>
      </c>
      <c r="D2815" s="1">
        <v>45291</v>
      </c>
      <c r="E2815" t="s">
        <v>359</v>
      </c>
      <c r="F2815">
        <v>52.09</v>
      </c>
      <c r="G2815" t="s">
        <v>100</v>
      </c>
      <c r="H2815" t="s">
        <v>264</v>
      </c>
      <c r="I2815" t="s">
        <v>100</v>
      </c>
    </row>
    <row r="2816" spans="1:9" x14ac:dyDescent="0.25">
      <c r="A2816" t="s">
        <v>264</v>
      </c>
      <c r="B2816" t="s">
        <v>100</v>
      </c>
      <c r="C2816" t="s">
        <v>775</v>
      </c>
      <c r="D2816" s="1">
        <v>45291</v>
      </c>
      <c r="E2816" t="s">
        <v>360</v>
      </c>
      <c r="F2816">
        <v>-13.81</v>
      </c>
      <c r="G2816" t="s">
        <v>84</v>
      </c>
      <c r="H2816" t="s">
        <v>85</v>
      </c>
      <c r="I2816" t="s">
        <v>97</v>
      </c>
    </row>
    <row r="2817" spans="1:9" x14ac:dyDescent="0.25">
      <c r="A2817" t="s">
        <v>264</v>
      </c>
      <c r="B2817" t="s">
        <v>100</v>
      </c>
      <c r="C2817" t="s">
        <v>775</v>
      </c>
      <c r="D2817" s="1">
        <v>45292</v>
      </c>
      <c r="E2817" t="s">
        <v>354</v>
      </c>
      <c r="F2817">
        <v>-8.3699999999999992</v>
      </c>
      <c r="G2817" t="s">
        <v>70</v>
      </c>
      <c r="H2817" t="s">
        <v>264</v>
      </c>
      <c r="I2817" t="s">
        <v>72</v>
      </c>
    </row>
    <row r="2818" spans="1:9" x14ac:dyDescent="0.25">
      <c r="A2818" t="s">
        <v>264</v>
      </c>
      <c r="B2818" t="s">
        <v>100</v>
      </c>
      <c r="C2818" t="s">
        <v>775</v>
      </c>
      <c r="D2818" s="1">
        <v>45294</v>
      </c>
      <c r="E2818" t="s">
        <v>354</v>
      </c>
      <c r="F2818">
        <v>-584.26</v>
      </c>
      <c r="G2818" t="s">
        <v>70</v>
      </c>
      <c r="H2818" t="s">
        <v>264</v>
      </c>
      <c r="I2818" t="s">
        <v>72</v>
      </c>
    </row>
    <row r="2819" spans="1:9" x14ac:dyDescent="0.25">
      <c r="A2819" t="s">
        <v>264</v>
      </c>
      <c r="B2819" t="s">
        <v>100</v>
      </c>
      <c r="C2819" t="s">
        <v>775</v>
      </c>
      <c r="D2819" s="1">
        <v>45294</v>
      </c>
      <c r="E2819" t="s">
        <v>355</v>
      </c>
      <c r="F2819">
        <v>936.59</v>
      </c>
      <c r="G2819" t="s">
        <v>70</v>
      </c>
      <c r="H2819" t="s">
        <v>264</v>
      </c>
      <c r="I2819" t="s">
        <v>72</v>
      </c>
    </row>
    <row r="2820" spans="1:9" x14ac:dyDescent="0.25">
      <c r="A2820" t="s">
        <v>264</v>
      </c>
      <c r="B2820" t="s">
        <v>100</v>
      </c>
      <c r="C2820" t="s">
        <v>775</v>
      </c>
      <c r="D2820" s="1">
        <v>45294</v>
      </c>
      <c r="E2820" t="s">
        <v>355</v>
      </c>
      <c r="F2820">
        <v>1351.46</v>
      </c>
      <c r="G2820" t="s">
        <v>70</v>
      </c>
      <c r="H2820" t="s">
        <v>264</v>
      </c>
      <c r="I2820" t="s">
        <v>72</v>
      </c>
    </row>
    <row r="2821" spans="1:9" x14ac:dyDescent="0.25">
      <c r="A2821" t="s">
        <v>264</v>
      </c>
      <c r="B2821" t="s">
        <v>100</v>
      </c>
      <c r="C2821" t="s">
        <v>775</v>
      </c>
      <c r="D2821" s="1">
        <v>45296</v>
      </c>
      <c r="E2821" t="s">
        <v>355</v>
      </c>
      <c r="F2821">
        <v>281.36</v>
      </c>
      <c r="G2821" t="s">
        <v>70</v>
      </c>
      <c r="H2821" t="s">
        <v>264</v>
      </c>
      <c r="I2821" t="s">
        <v>72</v>
      </c>
    </row>
    <row r="2822" spans="1:9" x14ac:dyDescent="0.25">
      <c r="A2822" t="s">
        <v>264</v>
      </c>
      <c r="B2822" t="s">
        <v>100</v>
      </c>
      <c r="C2822" t="s">
        <v>775</v>
      </c>
      <c r="D2822" s="1">
        <v>45297</v>
      </c>
      <c r="E2822" t="s">
        <v>355</v>
      </c>
      <c r="F2822">
        <v>89000.83</v>
      </c>
      <c r="G2822" t="s">
        <v>70</v>
      </c>
      <c r="H2822" t="s">
        <v>264</v>
      </c>
      <c r="I2822" t="s">
        <v>72</v>
      </c>
    </row>
    <row r="2823" spans="1:9" x14ac:dyDescent="0.25">
      <c r="A2823" t="s">
        <v>264</v>
      </c>
      <c r="B2823" t="s">
        <v>100</v>
      </c>
      <c r="C2823" t="s">
        <v>775</v>
      </c>
      <c r="D2823" s="1">
        <v>45297</v>
      </c>
      <c r="E2823" t="s">
        <v>385</v>
      </c>
      <c r="F2823">
        <v>-69659.03</v>
      </c>
      <c r="G2823" t="s">
        <v>70</v>
      </c>
      <c r="H2823" t="s">
        <v>264</v>
      </c>
      <c r="I2823" t="s">
        <v>72</v>
      </c>
    </row>
    <row r="2824" spans="1:9" x14ac:dyDescent="0.25">
      <c r="A2824" t="s">
        <v>264</v>
      </c>
      <c r="B2824" t="s">
        <v>100</v>
      </c>
      <c r="C2824" t="s">
        <v>775</v>
      </c>
      <c r="D2824" s="1">
        <v>45298</v>
      </c>
      <c r="E2824" t="s">
        <v>354</v>
      </c>
      <c r="F2824">
        <v>-56.59</v>
      </c>
      <c r="G2824" t="s">
        <v>70</v>
      </c>
      <c r="H2824" t="s">
        <v>264</v>
      </c>
      <c r="I2824" t="s">
        <v>72</v>
      </c>
    </row>
    <row r="2825" spans="1:9" x14ac:dyDescent="0.25">
      <c r="A2825" t="s">
        <v>264</v>
      </c>
      <c r="B2825" t="s">
        <v>100</v>
      </c>
      <c r="C2825" t="s">
        <v>775</v>
      </c>
      <c r="D2825" s="1">
        <v>45298</v>
      </c>
      <c r="E2825" t="s">
        <v>354</v>
      </c>
      <c r="F2825">
        <v>-67.05</v>
      </c>
      <c r="G2825" t="s">
        <v>70</v>
      </c>
      <c r="H2825" t="s">
        <v>264</v>
      </c>
      <c r="I2825" t="s">
        <v>72</v>
      </c>
    </row>
    <row r="2826" spans="1:9" x14ac:dyDescent="0.25">
      <c r="A2826" t="s">
        <v>264</v>
      </c>
      <c r="B2826" t="s">
        <v>100</v>
      </c>
      <c r="C2826" t="s">
        <v>775</v>
      </c>
      <c r="D2826" s="1">
        <v>45300</v>
      </c>
      <c r="E2826" t="s">
        <v>354</v>
      </c>
      <c r="F2826">
        <v>-113.82</v>
      </c>
      <c r="G2826" t="s">
        <v>70</v>
      </c>
      <c r="H2826" t="s">
        <v>264</v>
      </c>
      <c r="I2826" t="s">
        <v>72</v>
      </c>
    </row>
    <row r="2827" spans="1:9" x14ac:dyDescent="0.25">
      <c r="A2827" t="s">
        <v>264</v>
      </c>
      <c r="B2827" t="s">
        <v>100</v>
      </c>
      <c r="C2827" t="s">
        <v>775</v>
      </c>
      <c r="D2827" s="1">
        <v>45301</v>
      </c>
      <c r="E2827" t="s">
        <v>354</v>
      </c>
      <c r="F2827">
        <v>-5995.82</v>
      </c>
      <c r="G2827" t="s">
        <v>70</v>
      </c>
      <c r="H2827" t="s">
        <v>264</v>
      </c>
      <c r="I2827" t="s">
        <v>72</v>
      </c>
    </row>
    <row r="2828" spans="1:9" x14ac:dyDescent="0.25">
      <c r="A2828" t="s">
        <v>264</v>
      </c>
      <c r="B2828" t="s">
        <v>100</v>
      </c>
      <c r="C2828" t="s">
        <v>775</v>
      </c>
      <c r="D2828" s="1">
        <v>45301</v>
      </c>
      <c r="E2828" t="s">
        <v>354</v>
      </c>
      <c r="F2828">
        <v>-6376.42</v>
      </c>
      <c r="G2828" t="s">
        <v>70</v>
      </c>
      <c r="H2828" t="s">
        <v>264</v>
      </c>
      <c r="I2828" t="s">
        <v>72</v>
      </c>
    </row>
    <row r="2829" spans="1:9" x14ac:dyDescent="0.25">
      <c r="A2829" t="s">
        <v>264</v>
      </c>
      <c r="B2829" t="s">
        <v>100</v>
      </c>
      <c r="C2829" t="s">
        <v>775</v>
      </c>
      <c r="D2829" s="1">
        <v>45303</v>
      </c>
      <c r="E2829" t="s">
        <v>386</v>
      </c>
      <c r="F2829">
        <v>1166.1099999999999</v>
      </c>
      <c r="G2829" t="s">
        <v>350</v>
      </c>
      <c r="H2829" t="s">
        <v>74</v>
      </c>
      <c r="I2829" t="s">
        <v>75</v>
      </c>
    </row>
    <row r="2830" spans="1:9" x14ac:dyDescent="0.25">
      <c r="A2830" t="s">
        <v>264</v>
      </c>
      <c r="B2830" t="s">
        <v>100</v>
      </c>
      <c r="C2830" t="s">
        <v>775</v>
      </c>
      <c r="D2830" s="1">
        <v>45304</v>
      </c>
      <c r="E2830" t="s">
        <v>355</v>
      </c>
      <c r="F2830">
        <v>1139.17</v>
      </c>
      <c r="G2830" t="s">
        <v>70</v>
      </c>
      <c r="H2830" t="s">
        <v>264</v>
      </c>
      <c r="I2830" t="s">
        <v>72</v>
      </c>
    </row>
    <row r="2831" spans="1:9" x14ac:dyDescent="0.25">
      <c r="A2831" t="s">
        <v>264</v>
      </c>
      <c r="B2831" t="s">
        <v>100</v>
      </c>
      <c r="C2831" t="s">
        <v>775</v>
      </c>
      <c r="D2831" s="1">
        <v>45305</v>
      </c>
      <c r="E2831" t="s">
        <v>354</v>
      </c>
      <c r="F2831">
        <v>-1891.42</v>
      </c>
      <c r="G2831" t="s">
        <v>70</v>
      </c>
      <c r="H2831" t="s">
        <v>264</v>
      </c>
      <c r="I2831" t="s">
        <v>72</v>
      </c>
    </row>
    <row r="2832" spans="1:9" x14ac:dyDescent="0.25">
      <c r="A2832" t="s">
        <v>264</v>
      </c>
      <c r="B2832" t="s">
        <v>100</v>
      </c>
      <c r="C2832" t="s">
        <v>775</v>
      </c>
      <c r="D2832" s="1">
        <v>45305</v>
      </c>
      <c r="E2832" t="s">
        <v>354</v>
      </c>
      <c r="F2832">
        <v>-1521.02</v>
      </c>
      <c r="G2832" t="s">
        <v>70</v>
      </c>
      <c r="H2832" t="s">
        <v>264</v>
      </c>
      <c r="I2832" t="s">
        <v>72</v>
      </c>
    </row>
    <row r="2833" spans="1:9" x14ac:dyDescent="0.25">
      <c r="A2833" t="s">
        <v>264</v>
      </c>
      <c r="B2833" t="s">
        <v>100</v>
      </c>
      <c r="C2833" t="s">
        <v>775</v>
      </c>
      <c r="D2833" s="1">
        <v>45305</v>
      </c>
      <c r="E2833" t="s">
        <v>354</v>
      </c>
      <c r="F2833">
        <v>-30.14</v>
      </c>
      <c r="G2833" t="s">
        <v>70</v>
      </c>
      <c r="H2833" t="s">
        <v>264</v>
      </c>
      <c r="I2833" t="s">
        <v>72</v>
      </c>
    </row>
    <row r="2834" spans="1:9" x14ac:dyDescent="0.25">
      <c r="A2834" t="s">
        <v>264</v>
      </c>
      <c r="B2834" t="s">
        <v>100</v>
      </c>
      <c r="C2834" t="s">
        <v>775</v>
      </c>
      <c r="D2834" s="1">
        <v>45308</v>
      </c>
      <c r="E2834" t="s">
        <v>355</v>
      </c>
      <c r="F2834">
        <v>3195</v>
      </c>
      <c r="G2834" t="s">
        <v>70</v>
      </c>
      <c r="H2834" t="s">
        <v>264</v>
      </c>
      <c r="I2834" t="s">
        <v>72</v>
      </c>
    </row>
    <row r="2835" spans="1:9" x14ac:dyDescent="0.25">
      <c r="A2835" t="s">
        <v>264</v>
      </c>
      <c r="B2835" t="s">
        <v>100</v>
      </c>
      <c r="C2835" t="s">
        <v>775</v>
      </c>
      <c r="D2835" s="1">
        <v>45308</v>
      </c>
      <c r="E2835" t="s">
        <v>354</v>
      </c>
      <c r="F2835">
        <v>-391.76</v>
      </c>
      <c r="G2835" t="s">
        <v>70</v>
      </c>
      <c r="H2835" t="s">
        <v>264</v>
      </c>
      <c r="I2835" t="s">
        <v>72</v>
      </c>
    </row>
    <row r="2836" spans="1:9" x14ac:dyDescent="0.25">
      <c r="A2836" t="s">
        <v>264</v>
      </c>
      <c r="B2836" t="s">
        <v>100</v>
      </c>
      <c r="C2836" t="s">
        <v>775</v>
      </c>
      <c r="D2836" s="1">
        <v>45311</v>
      </c>
      <c r="E2836" t="s">
        <v>354</v>
      </c>
      <c r="F2836">
        <v>-354.17</v>
      </c>
      <c r="G2836" t="s">
        <v>70</v>
      </c>
      <c r="H2836" t="s">
        <v>264</v>
      </c>
      <c r="I2836" t="s">
        <v>72</v>
      </c>
    </row>
    <row r="2837" spans="1:9" x14ac:dyDescent="0.25">
      <c r="A2837" t="s">
        <v>264</v>
      </c>
      <c r="B2837" t="s">
        <v>100</v>
      </c>
      <c r="C2837" t="s">
        <v>775</v>
      </c>
      <c r="D2837" s="1">
        <v>45315</v>
      </c>
      <c r="E2837" t="s">
        <v>354</v>
      </c>
      <c r="F2837">
        <v>-1673.86</v>
      </c>
      <c r="G2837" t="s">
        <v>70</v>
      </c>
      <c r="H2837" t="s">
        <v>264</v>
      </c>
      <c r="I2837" t="s">
        <v>72</v>
      </c>
    </row>
    <row r="2838" spans="1:9" x14ac:dyDescent="0.25">
      <c r="A2838" t="s">
        <v>264</v>
      </c>
      <c r="B2838" t="s">
        <v>100</v>
      </c>
      <c r="C2838" t="s">
        <v>775</v>
      </c>
      <c r="D2838" s="1">
        <v>45317</v>
      </c>
      <c r="E2838" t="s">
        <v>354</v>
      </c>
      <c r="F2838">
        <v>-383.43</v>
      </c>
      <c r="G2838" t="s">
        <v>70</v>
      </c>
      <c r="H2838" t="s">
        <v>264</v>
      </c>
      <c r="I2838" t="s">
        <v>72</v>
      </c>
    </row>
    <row r="2839" spans="1:9" x14ac:dyDescent="0.25">
      <c r="A2839" t="s">
        <v>264</v>
      </c>
      <c r="B2839" t="s">
        <v>100</v>
      </c>
      <c r="C2839" t="s">
        <v>775</v>
      </c>
      <c r="D2839" s="1">
        <v>45319</v>
      </c>
      <c r="E2839" t="s">
        <v>354</v>
      </c>
      <c r="F2839">
        <v>-457.63</v>
      </c>
      <c r="G2839" t="s">
        <v>70</v>
      </c>
      <c r="H2839" t="s">
        <v>264</v>
      </c>
      <c r="I2839" t="s">
        <v>72</v>
      </c>
    </row>
    <row r="2840" spans="1:9" x14ac:dyDescent="0.25">
      <c r="A2840" t="s">
        <v>264</v>
      </c>
      <c r="B2840" t="s">
        <v>100</v>
      </c>
      <c r="C2840" t="s">
        <v>775</v>
      </c>
      <c r="D2840" s="1">
        <v>45320</v>
      </c>
      <c r="E2840" t="s">
        <v>354</v>
      </c>
      <c r="F2840">
        <v>-150.19999999999999</v>
      </c>
      <c r="G2840" t="s">
        <v>70</v>
      </c>
      <c r="H2840" t="s">
        <v>264</v>
      </c>
      <c r="I2840" t="s">
        <v>72</v>
      </c>
    </row>
    <row r="2841" spans="1:9" x14ac:dyDescent="0.25">
      <c r="A2841" t="s">
        <v>264</v>
      </c>
      <c r="B2841" t="s">
        <v>100</v>
      </c>
      <c r="C2841" t="s">
        <v>775</v>
      </c>
      <c r="D2841" s="1">
        <v>45322</v>
      </c>
      <c r="E2841" t="s">
        <v>354</v>
      </c>
      <c r="F2841">
        <v>-959.54</v>
      </c>
      <c r="G2841" t="s">
        <v>70</v>
      </c>
      <c r="H2841" t="s">
        <v>264</v>
      </c>
      <c r="I2841" t="s">
        <v>72</v>
      </c>
    </row>
    <row r="2842" spans="1:9" x14ac:dyDescent="0.25">
      <c r="A2842" t="s">
        <v>264</v>
      </c>
      <c r="B2842" t="s">
        <v>100</v>
      </c>
      <c r="C2842" t="s">
        <v>775</v>
      </c>
      <c r="D2842" s="1">
        <v>45322</v>
      </c>
      <c r="E2842" t="s">
        <v>387</v>
      </c>
      <c r="F2842">
        <v>377.15</v>
      </c>
      <c r="G2842" t="s">
        <v>350</v>
      </c>
      <c r="H2842" t="s">
        <v>74</v>
      </c>
      <c r="I2842" t="s">
        <v>75</v>
      </c>
    </row>
    <row r="2843" spans="1:9" x14ac:dyDescent="0.25">
      <c r="A2843" t="s">
        <v>264</v>
      </c>
      <c r="B2843" t="s">
        <v>100</v>
      </c>
      <c r="C2843" t="s">
        <v>775</v>
      </c>
      <c r="D2843" s="1">
        <v>45322</v>
      </c>
      <c r="E2843" t="s">
        <v>355</v>
      </c>
      <c r="F2843">
        <v>3340.07</v>
      </c>
      <c r="G2843" t="s">
        <v>70</v>
      </c>
      <c r="H2843" t="s">
        <v>264</v>
      </c>
      <c r="I2843" t="s">
        <v>72</v>
      </c>
    </row>
    <row r="2844" spans="1:9" x14ac:dyDescent="0.25">
      <c r="A2844" t="s">
        <v>264</v>
      </c>
      <c r="B2844" t="s">
        <v>100</v>
      </c>
      <c r="C2844" t="s">
        <v>775</v>
      </c>
      <c r="D2844" s="1">
        <v>45322</v>
      </c>
      <c r="E2844" t="s">
        <v>355</v>
      </c>
      <c r="F2844">
        <v>248.02</v>
      </c>
      <c r="G2844" t="s">
        <v>70</v>
      </c>
      <c r="H2844" t="s">
        <v>264</v>
      </c>
      <c r="I2844" t="s">
        <v>72</v>
      </c>
    </row>
    <row r="2845" spans="1:9" x14ac:dyDescent="0.25">
      <c r="A2845" t="s">
        <v>264</v>
      </c>
      <c r="B2845" t="s">
        <v>100</v>
      </c>
      <c r="C2845" t="s">
        <v>775</v>
      </c>
      <c r="D2845" s="1">
        <v>45322</v>
      </c>
      <c r="E2845" t="s">
        <v>359</v>
      </c>
      <c r="F2845">
        <v>73.459999999999994</v>
      </c>
      <c r="G2845" t="s">
        <v>100</v>
      </c>
      <c r="H2845" t="s">
        <v>264</v>
      </c>
      <c r="I2845" t="s">
        <v>100</v>
      </c>
    </row>
    <row r="2846" spans="1:9" x14ac:dyDescent="0.25">
      <c r="A2846" t="s">
        <v>264</v>
      </c>
      <c r="B2846" t="s">
        <v>100</v>
      </c>
      <c r="C2846" t="s">
        <v>775</v>
      </c>
      <c r="D2846" s="1">
        <v>45322</v>
      </c>
      <c r="E2846" t="s">
        <v>360</v>
      </c>
      <c r="F2846">
        <v>-36.19</v>
      </c>
      <c r="G2846" t="s">
        <v>84</v>
      </c>
      <c r="H2846" t="s">
        <v>85</v>
      </c>
      <c r="I2846" t="s">
        <v>97</v>
      </c>
    </row>
    <row r="2847" spans="1:9" x14ac:dyDescent="0.25">
      <c r="A2847" t="s">
        <v>264</v>
      </c>
      <c r="B2847" t="s">
        <v>100</v>
      </c>
      <c r="C2847" t="s">
        <v>775</v>
      </c>
      <c r="D2847" s="1">
        <v>45323</v>
      </c>
      <c r="E2847" t="s">
        <v>354</v>
      </c>
      <c r="F2847">
        <v>-152.93</v>
      </c>
      <c r="G2847" t="s">
        <v>70</v>
      </c>
      <c r="H2847" t="s">
        <v>264</v>
      </c>
      <c r="I2847" t="s">
        <v>72</v>
      </c>
    </row>
    <row r="2848" spans="1:9" x14ac:dyDescent="0.25">
      <c r="A2848" t="s">
        <v>264</v>
      </c>
      <c r="B2848" t="s">
        <v>100</v>
      </c>
      <c r="C2848" t="s">
        <v>775</v>
      </c>
      <c r="D2848" s="1">
        <v>45323</v>
      </c>
      <c r="E2848" t="s">
        <v>388</v>
      </c>
      <c r="F2848">
        <v>724.27</v>
      </c>
      <c r="G2848" t="s">
        <v>350</v>
      </c>
      <c r="H2848" t="s">
        <v>74</v>
      </c>
      <c r="I2848" t="s">
        <v>75</v>
      </c>
    </row>
    <row r="2849" spans="1:9" x14ac:dyDescent="0.25">
      <c r="A2849" t="s">
        <v>264</v>
      </c>
      <c r="B2849" t="s">
        <v>100</v>
      </c>
      <c r="C2849" t="s">
        <v>775</v>
      </c>
      <c r="D2849" s="1">
        <v>45323</v>
      </c>
      <c r="E2849" t="s">
        <v>355</v>
      </c>
      <c r="F2849">
        <v>84.81</v>
      </c>
      <c r="G2849" t="s">
        <v>70</v>
      </c>
      <c r="H2849" t="s">
        <v>264</v>
      </c>
      <c r="I2849" t="s">
        <v>72</v>
      </c>
    </row>
    <row r="2850" spans="1:9" x14ac:dyDescent="0.25">
      <c r="A2850" t="s">
        <v>264</v>
      </c>
      <c r="B2850" t="s">
        <v>100</v>
      </c>
      <c r="C2850" t="s">
        <v>775</v>
      </c>
      <c r="D2850" s="1">
        <v>45325</v>
      </c>
      <c r="E2850" t="s">
        <v>354</v>
      </c>
      <c r="F2850">
        <v>-340.62</v>
      </c>
      <c r="G2850" t="s">
        <v>70</v>
      </c>
      <c r="H2850" t="s">
        <v>264</v>
      </c>
      <c r="I2850" t="s">
        <v>72</v>
      </c>
    </row>
    <row r="2851" spans="1:9" x14ac:dyDescent="0.25">
      <c r="A2851" t="s">
        <v>264</v>
      </c>
      <c r="B2851" t="s">
        <v>100</v>
      </c>
      <c r="C2851" t="s">
        <v>775</v>
      </c>
      <c r="D2851" s="1">
        <v>45329</v>
      </c>
      <c r="E2851" t="s">
        <v>354</v>
      </c>
      <c r="F2851">
        <v>-276.64</v>
      </c>
      <c r="G2851" t="s">
        <v>70</v>
      </c>
      <c r="H2851" t="s">
        <v>264</v>
      </c>
      <c r="I2851" t="s">
        <v>72</v>
      </c>
    </row>
    <row r="2852" spans="1:9" x14ac:dyDescent="0.25">
      <c r="A2852" t="s">
        <v>264</v>
      </c>
      <c r="B2852" t="s">
        <v>100</v>
      </c>
      <c r="C2852" t="s">
        <v>775</v>
      </c>
      <c r="D2852" s="1">
        <v>45329</v>
      </c>
      <c r="E2852" t="s">
        <v>354</v>
      </c>
      <c r="F2852">
        <v>-3656.2</v>
      </c>
      <c r="G2852" t="s">
        <v>70</v>
      </c>
      <c r="H2852" t="s">
        <v>264</v>
      </c>
      <c r="I2852" t="s">
        <v>72</v>
      </c>
    </row>
    <row r="2853" spans="1:9" x14ac:dyDescent="0.25">
      <c r="A2853" t="s">
        <v>264</v>
      </c>
      <c r="B2853" t="s">
        <v>100</v>
      </c>
      <c r="C2853" t="s">
        <v>775</v>
      </c>
      <c r="D2853" s="1">
        <v>45331</v>
      </c>
      <c r="E2853" t="s">
        <v>389</v>
      </c>
      <c r="F2853">
        <v>1981.95</v>
      </c>
      <c r="G2853" t="s">
        <v>350</v>
      </c>
      <c r="H2853" t="s">
        <v>74</v>
      </c>
      <c r="I2853" t="s">
        <v>75</v>
      </c>
    </row>
    <row r="2854" spans="1:9" x14ac:dyDescent="0.25">
      <c r="A2854" t="s">
        <v>264</v>
      </c>
      <c r="B2854" t="s">
        <v>100</v>
      </c>
      <c r="C2854" t="s">
        <v>775</v>
      </c>
      <c r="D2854" s="1">
        <v>45331</v>
      </c>
      <c r="E2854" t="s">
        <v>354</v>
      </c>
      <c r="F2854">
        <v>-3620.24</v>
      </c>
      <c r="G2854" t="s">
        <v>70</v>
      </c>
      <c r="H2854" t="s">
        <v>264</v>
      </c>
      <c r="I2854" t="s">
        <v>72</v>
      </c>
    </row>
    <row r="2855" spans="1:9" x14ac:dyDescent="0.25">
      <c r="A2855" t="s">
        <v>264</v>
      </c>
      <c r="B2855" t="s">
        <v>100</v>
      </c>
      <c r="C2855" t="s">
        <v>775</v>
      </c>
      <c r="D2855" s="1">
        <v>45331</v>
      </c>
      <c r="E2855" t="s">
        <v>354</v>
      </c>
      <c r="F2855">
        <v>-135.1</v>
      </c>
      <c r="G2855" t="s">
        <v>70</v>
      </c>
      <c r="H2855" t="s">
        <v>264</v>
      </c>
      <c r="I2855" t="s">
        <v>72</v>
      </c>
    </row>
    <row r="2856" spans="1:9" x14ac:dyDescent="0.25">
      <c r="A2856" t="s">
        <v>264</v>
      </c>
      <c r="B2856" t="s">
        <v>100</v>
      </c>
      <c r="C2856" t="s">
        <v>775</v>
      </c>
      <c r="D2856" s="1">
        <v>45331</v>
      </c>
      <c r="E2856" t="s">
        <v>355</v>
      </c>
      <c r="F2856">
        <v>136.44</v>
      </c>
      <c r="G2856" t="s">
        <v>70</v>
      </c>
      <c r="H2856" t="s">
        <v>264</v>
      </c>
      <c r="I2856" t="s">
        <v>72</v>
      </c>
    </row>
    <row r="2857" spans="1:9" x14ac:dyDescent="0.25">
      <c r="A2857" t="s">
        <v>264</v>
      </c>
      <c r="B2857" t="s">
        <v>100</v>
      </c>
      <c r="C2857" t="s">
        <v>775</v>
      </c>
      <c r="D2857" s="1">
        <v>45333</v>
      </c>
      <c r="E2857" t="s">
        <v>354</v>
      </c>
      <c r="F2857">
        <v>-3245.62</v>
      </c>
      <c r="G2857" t="s">
        <v>70</v>
      </c>
      <c r="H2857" t="s">
        <v>264</v>
      </c>
      <c r="I2857" t="s">
        <v>72</v>
      </c>
    </row>
    <row r="2858" spans="1:9" x14ac:dyDescent="0.25">
      <c r="A2858" t="s">
        <v>264</v>
      </c>
      <c r="B2858" t="s">
        <v>100</v>
      </c>
      <c r="C2858" t="s">
        <v>775</v>
      </c>
      <c r="D2858" s="1">
        <v>45333</v>
      </c>
      <c r="E2858" t="s">
        <v>354</v>
      </c>
      <c r="F2858">
        <v>-10.6</v>
      </c>
      <c r="G2858" t="s">
        <v>70</v>
      </c>
      <c r="H2858" t="s">
        <v>264</v>
      </c>
      <c r="I2858" t="s">
        <v>72</v>
      </c>
    </row>
    <row r="2859" spans="1:9" x14ac:dyDescent="0.25">
      <c r="A2859" t="s">
        <v>264</v>
      </c>
      <c r="B2859" t="s">
        <v>100</v>
      </c>
      <c r="C2859" t="s">
        <v>775</v>
      </c>
      <c r="D2859" s="1">
        <v>45333</v>
      </c>
      <c r="E2859" t="s">
        <v>354</v>
      </c>
      <c r="F2859">
        <v>-574.22</v>
      </c>
      <c r="G2859" t="s">
        <v>70</v>
      </c>
      <c r="H2859" t="s">
        <v>264</v>
      </c>
      <c r="I2859" t="s">
        <v>72</v>
      </c>
    </row>
    <row r="2860" spans="1:9" x14ac:dyDescent="0.25">
      <c r="A2860" t="s">
        <v>264</v>
      </c>
      <c r="B2860" t="s">
        <v>100</v>
      </c>
      <c r="C2860" t="s">
        <v>775</v>
      </c>
      <c r="D2860" s="1">
        <v>45337</v>
      </c>
      <c r="E2860" t="s">
        <v>355</v>
      </c>
      <c r="F2860">
        <v>3125.75</v>
      </c>
      <c r="G2860" t="s">
        <v>70</v>
      </c>
      <c r="H2860" t="s">
        <v>264</v>
      </c>
      <c r="I2860" t="s">
        <v>72</v>
      </c>
    </row>
    <row r="2861" spans="1:9" x14ac:dyDescent="0.25">
      <c r="A2861" t="s">
        <v>264</v>
      </c>
      <c r="B2861" t="s">
        <v>100</v>
      </c>
      <c r="C2861" t="s">
        <v>775</v>
      </c>
      <c r="D2861" s="1">
        <v>45338</v>
      </c>
      <c r="E2861" t="s">
        <v>355</v>
      </c>
      <c r="F2861">
        <v>615.29999999999995</v>
      </c>
      <c r="G2861" t="s">
        <v>70</v>
      </c>
      <c r="H2861" t="s">
        <v>264</v>
      </c>
      <c r="I2861" t="s">
        <v>72</v>
      </c>
    </row>
    <row r="2862" spans="1:9" x14ac:dyDescent="0.25">
      <c r="A2862" t="s">
        <v>264</v>
      </c>
      <c r="B2862" t="s">
        <v>100</v>
      </c>
      <c r="C2862" t="s">
        <v>775</v>
      </c>
      <c r="D2862" s="1">
        <v>45342</v>
      </c>
      <c r="E2862" t="s">
        <v>354</v>
      </c>
      <c r="F2862">
        <v>-637.38</v>
      </c>
      <c r="G2862" t="s">
        <v>70</v>
      </c>
      <c r="H2862" t="s">
        <v>264</v>
      </c>
      <c r="I2862" t="s">
        <v>72</v>
      </c>
    </row>
    <row r="2863" spans="1:9" x14ac:dyDescent="0.25">
      <c r="A2863" t="s">
        <v>264</v>
      </c>
      <c r="B2863" t="s">
        <v>100</v>
      </c>
      <c r="C2863" t="s">
        <v>775</v>
      </c>
      <c r="D2863" s="1">
        <v>45343</v>
      </c>
      <c r="E2863" t="s">
        <v>354</v>
      </c>
      <c r="F2863">
        <v>-135.56</v>
      </c>
      <c r="G2863" t="s">
        <v>70</v>
      </c>
      <c r="H2863" t="s">
        <v>264</v>
      </c>
      <c r="I2863" t="s">
        <v>72</v>
      </c>
    </row>
    <row r="2864" spans="1:9" x14ac:dyDescent="0.25">
      <c r="A2864" t="s">
        <v>264</v>
      </c>
      <c r="B2864" t="s">
        <v>100</v>
      </c>
      <c r="C2864" t="s">
        <v>775</v>
      </c>
      <c r="D2864" s="1">
        <v>45344</v>
      </c>
      <c r="E2864" t="s">
        <v>354</v>
      </c>
      <c r="F2864">
        <v>-447.49</v>
      </c>
      <c r="G2864" t="s">
        <v>70</v>
      </c>
      <c r="H2864" t="s">
        <v>264</v>
      </c>
      <c r="I2864" t="s">
        <v>72</v>
      </c>
    </row>
    <row r="2865" spans="1:9" x14ac:dyDescent="0.25">
      <c r="A2865" t="s">
        <v>264</v>
      </c>
      <c r="B2865" t="s">
        <v>100</v>
      </c>
      <c r="C2865" t="s">
        <v>775</v>
      </c>
      <c r="D2865" s="1">
        <v>45345</v>
      </c>
      <c r="E2865" t="s">
        <v>390</v>
      </c>
      <c r="F2865">
        <v>622.89</v>
      </c>
      <c r="G2865" t="s">
        <v>350</v>
      </c>
      <c r="H2865" t="s">
        <v>74</v>
      </c>
      <c r="I2865" t="s">
        <v>75</v>
      </c>
    </row>
    <row r="2866" spans="1:9" x14ac:dyDescent="0.25">
      <c r="A2866" t="s">
        <v>264</v>
      </c>
      <c r="B2866" t="s">
        <v>100</v>
      </c>
      <c r="C2866" t="s">
        <v>775</v>
      </c>
      <c r="D2866" s="1">
        <v>45346</v>
      </c>
      <c r="E2866" t="s">
        <v>354</v>
      </c>
      <c r="F2866">
        <v>-451.64</v>
      </c>
      <c r="G2866" t="s">
        <v>70</v>
      </c>
      <c r="H2866" t="s">
        <v>264</v>
      </c>
      <c r="I2866" t="s">
        <v>72</v>
      </c>
    </row>
    <row r="2867" spans="1:9" x14ac:dyDescent="0.25">
      <c r="A2867" t="s">
        <v>264</v>
      </c>
      <c r="B2867" t="s">
        <v>100</v>
      </c>
      <c r="C2867" t="s">
        <v>775</v>
      </c>
      <c r="D2867" s="1">
        <v>45351</v>
      </c>
      <c r="E2867" t="s">
        <v>355</v>
      </c>
      <c r="F2867">
        <v>1105.9100000000001</v>
      </c>
      <c r="G2867" t="s">
        <v>70</v>
      </c>
      <c r="H2867" t="s">
        <v>264</v>
      </c>
      <c r="I2867" t="s">
        <v>72</v>
      </c>
    </row>
    <row r="2868" spans="1:9" x14ac:dyDescent="0.25">
      <c r="A2868" t="s">
        <v>264</v>
      </c>
      <c r="B2868" t="s">
        <v>100</v>
      </c>
      <c r="C2868" t="s">
        <v>775</v>
      </c>
      <c r="D2868" s="1">
        <v>45351</v>
      </c>
      <c r="E2868" t="s">
        <v>359</v>
      </c>
      <c r="F2868">
        <v>79.599999999999994</v>
      </c>
      <c r="G2868" t="s">
        <v>100</v>
      </c>
      <c r="H2868" t="s">
        <v>264</v>
      </c>
      <c r="I2868" t="s">
        <v>100</v>
      </c>
    </row>
    <row r="2869" spans="1:9" x14ac:dyDescent="0.25">
      <c r="A2869" t="s">
        <v>264</v>
      </c>
      <c r="B2869" t="s">
        <v>100</v>
      </c>
      <c r="C2869" t="s">
        <v>775</v>
      </c>
      <c r="D2869" s="1">
        <v>45351</v>
      </c>
      <c r="E2869" t="s">
        <v>360</v>
      </c>
      <c r="F2869">
        <v>-8.83</v>
      </c>
      <c r="G2869" t="s">
        <v>84</v>
      </c>
      <c r="H2869" t="s">
        <v>85</v>
      </c>
      <c r="I2869" t="s">
        <v>97</v>
      </c>
    </row>
    <row r="2870" spans="1:9" x14ac:dyDescent="0.25">
      <c r="A2870" t="s">
        <v>264</v>
      </c>
      <c r="B2870" t="s">
        <v>100</v>
      </c>
      <c r="C2870" t="s">
        <v>775</v>
      </c>
      <c r="D2870" s="1">
        <v>45352</v>
      </c>
      <c r="E2870" t="s">
        <v>354</v>
      </c>
      <c r="F2870">
        <v>-113.27</v>
      </c>
      <c r="G2870" t="s">
        <v>70</v>
      </c>
      <c r="H2870" t="s">
        <v>264</v>
      </c>
      <c r="I2870" t="s">
        <v>72</v>
      </c>
    </row>
    <row r="2871" spans="1:9" x14ac:dyDescent="0.25">
      <c r="A2871" t="s">
        <v>264</v>
      </c>
      <c r="B2871" t="s">
        <v>100</v>
      </c>
      <c r="C2871" t="s">
        <v>775</v>
      </c>
      <c r="D2871" s="1">
        <v>45357</v>
      </c>
      <c r="E2871" t="s">
        <v>354</v>
      </c>
      <c r="F2871">
        <v>-3290.07</v>
      </c>
      <c r="G2871" t="s">
        <v>70</v>
      </c>
      <c r="H2871" t="s">
        <v>264</v>
      </c>
      <c r="I2871" t="s">
        <v>72</v>
      </c>
    </row>
    <row r="2872" spans="1:9" x14ac:dyDescent="0.25">
      <c r="A2872" t="s">
        <v>264</v>
      </c>
      <c r="B2872" t="s">
        <v>100</v>
      </c>
      <c r="C2872" t="s">
        <v>775</v>
      </c>
      <c r="D2872" s="1">
        <v>45357</v>
      </c>
      <c r="E2872" t="s">
        <v>354</v>
      </c>
      <c r="F2872">
        <v>-281.62</v>
      </c>
      <c r="G2872" t="s">
        <v>70</v>
      </c>
      <c r="H2872" t="s">
        <v>264</v>
      </c>
      <c r="I2872" t="s">
        <v>72</v>
      </c>
    </row>
    <row r="2873" spans="1:9" x14ac:dyDescent="0.25">
      <c r="A2873" t="s">
        <v>264</v>
      </c>
      <c r="B2873" t="s">
        <v>100</v>
      </c>
      <c r="C2873" t="s">
        <v>775</v>
      </c>
      <c r="D2873" s="1">
        <v>45360</v>
      </c>
      <c r="E2873" t="s">
        <v>391</v>
      </c>
      <c r="F2873">
        <v>1786.7</v>
      </c>
      <c r="G2873" t="s">
        <v>350</v>
      </c>
      <c r="H2873" t="s">
        <v>74</v>
      </c>
      <c r="I2873" t="s">
        <v>75</v>
      </c>
    </row>
    <row r="2874" spans="1:9" x14ac:dyDescent="0.25">
      <c r="A2874" t="s">
        <v>264</v>
      </c>
      <c r="B2874" t="s">
        <v>100</v>
      </c>
      <c r="C2874" t="s">
        <v>775</v>
      </c>
      <c r="D2874" s="1">
        <v>45361</v>
      </c>
      <c r="E2874" t="s">
        <v>354</v>
      </c>
      <c r="F2874">
        <v>-299.63</v>
      </c>
      <c r="G2874" t="s">
        <v>70</v>
      </c>
      <c r="H2874" t="s">
        <v>264</v>
      </c>
      <c r="I2874" t="s">
        <v>72</v>
      </c>
    </row>
    <row r="2875" spans="1:9" x14ac:dyDescent="0.25">
      <c r="A2875" t="s">
        <v>264</v>
      </c>
      <c r="B2875" t="s">
        <v>100</v>
      </c>
      <c r="C2875" t="s">
        <v>775</v>
      </c>
      <c r="D2875" s="1">
        <v>45364</v>
      </c>
      <c r="E2875" t="s">
        <v>355</v>
      </c>
      <c r="F2875">
        <v>2342.89</v>
      </c>
      <c r="G2875" t="s">
        <v>70</v>
      </c>
      <c r="H2875" t="s">
        <v>264</v>
      </c>
      <c r="I2875" t="s">
        <v>72</v>
      </c>
    </row>
    <row r="2876" spans="1:9" x14ac:dyDescent="0.25">
      <c r="A2876" t="s">
        <v>264</v>
      </c>
      <c r="B2876" t="s">
        <v>100</v>
      </c>
      <c r="C2876" t="s">
        <v>775</v>
      </c>
      <c r="D2876" s="1">
        <v>45365</v>
      </c>
      <c r="E2876" t="s">
        <v>355</v>
      </c>
      <c r="F2876">
        <v>728.58</v>
      </c>
      <c r="G2876" t="s">
        <v>70</v>
      </c>
      <c r="H2876" t="s">
        <v>264</v>
      </c>
      <c r="I2876" t="s">
        <v>72</v>
      </c>
    </row>
    <row r="2877" spans="1:9" x14ac:dyDescent="0.25">
      <c r="A2877" t="s">
        <v>264</v>
      </c>
      <c r="B2877" t="s">
        <v>100</v>
      </c>
      <c r="C2877" t="s">
        <v>775</v>
      </c>
      <c r="D2877" s="1">
        <v>45365</v>
      </c>
      <c r="E2877" t="s">
        <v>354</v>
      </c>
      <c r="F2877">
        <v>-350.12</v>
      </c>
      <c r="G2877" t="s">
        <v>70</v>
      </c>
      <c r="H2877" t="s">
        <v>264</v>
      </c>
      <c r="I2877" t="s">
        <v>72</v>
      </c>
    </row>
    <row r="2878" spans="1:9" x14ac:dyDescent="0.25">
      <c r="A2878" t="s">
        <v>264</v>
      </c>
      <c r="B2878" t="s">
        <v>100</v>
      </c>
      <c r="C2878" t="s">
        <v>775</v>
      </c>
      <c r="D2878" s="1">
        <v>45367</v>
      </c>
      <c r="E2878" t="s">
        <v>354</v>
      </c>
      <c r="F2878">
        <v>-129.68</v>
      </c>
      <c r="G2878" t="s">
        <v>70</v>
      </c>
      <c r="H2878" t="s">
        <v>264</v>
      </c>
      <c r="I2878" t="s">
        <v>72</v>
      </c>
    </row>
    <row r="2879" spans="1:9" x14ac:dyDescent="0.25">
      <c r="A2879" t="s">
        <v>264</v>
      </c>
      <c r="B2879" t="s">
        <v>100</v>
      </c>
      <c r="C2879" t="s">
        <v>775</v>
      </c>
      <c r="D2879" s="1">
        <v>45371</v>
      </c>
      <c r="E2879" t="s">
        <v>354</v>
      </c>
      <c r="F2879">
        <v>-6524.83</v>
      </c>
      <c r="G2879" t="s">
        <v>70</v>
      </c>
      <c r="H2879" t="s">
        <v>264</v>
      </c>
      <c r="I2879" t="s">
        <v>72</v>
      </c>
    </row>
    <row r="2880" spans="1:9" x14ac:dyDescent="0.25">
      <c r="A2880" t="s">
        <v>264</v>
      </c>
      <c r="B2880" t="s">
        <v>100</v>
      </c>
      <c r="C2880" t="s">
        <v>775</v>
      </c>
      <c r="D2880" s="1">
        <v>45373</v>
      </c>
      <c r="E2880" t="s">
        <v>392</v>
      </c>
      <c r="F2880">
        <v>1031.28</v>
      </c>
      <c r="G2880" t="s">
        <v>350</v>
      </c>
      <c r="H2880" t="s">
        <v>74</v>
      </c>
      <c r="I2880" t="s">
        <v>75</v>
      </c>
    </row>
    <row r="2881" spans="1:9" x14ac:dyDescent="0.25">
      <c r="A2881" t="s">
        <v>264</v>
      </c>
      <c r="B2881" t="s">
        <v>100</v>
      </c>
      <c r="C2881" t="s">
        <v>775</v>
      </c>
      <c r="D2881" s="1">
        <v>45374</v>
      </c>
      <c r="E2881" t="s">
        <v>355</v>
      </c>
      <c r="F2881">
        <v>1398.07</v>
      </c>
      <c r="G2881" t="s">
        <v>70</v>
      </c>
      <c r="H2881" t="s">
        <v>264</v>
      </c>
      <c r="I2881" t="s">
        <v>72</v>
      </c>
    </row>
    <row r="2882" spans="1:9" x14ac:dyDescent="0.25">
      <c r="A2882" t="s">
        <v>264</v>
      </c>
      <c r="B2882" t="s">
        <v>100</v>
      </c>
      <c r="C2882" t="s">
        <v>775</v>
      </c>
      <c r="D2882" s="1">
        <v>45380</v>
      </c>
      <c r="E2882" t="s">
        <v>355</v>
      </c>
      <c r="F2882">
        <v>2290.35</v>
      </c>
      <c r="G2882" t="s">
        <v>70</v>
      </c>
      <c r="H2882" t="s">
        <v>264</v>
      </c>
      <c r="I2882" t="s">
        <v>72</v>
      </c>
    </row>
    <row r="2883" spans="1:9" x14ac:dyDescent="0.25">
      <c r="A2883" t="s">
        <v>264</v>
      </c>
      <c r="B2883" t="s">
        <v>100</v>
      </c>
      <c r="C2883" t="s">
        <v>775</v>
      </c>
      <c r="D2883" s="1">
        <v>45382</v>
      </c>
      <c r="E2883" t="s">
        <v>359</v>
      </c>
      <c r="F2883">
        <v>219.24</v>
      </c>
      <c r="G2883" t="s">
        <v>100</v>
      </c>
      <c r="H2883" t="s">
        <v>264</v>
      </c>
      <c r="I2883" t="s">
        <v>100</v>
      </c>
    </row>
    <row r="2884" spans="1:9" x14ac:dyDescent="0.25">
      <c r="A2884" t="s">
        <v>264</v>
      </c>
      <c r="B2884" t="s">
        <v>100</v>
      </c>
      <c r="C2884" t="s">
        <v>775</v>
      </c>
      <c r="D2884" s="1">
        <v>45382</v>
      </c>
      <c r="E2884" t="s">
        <v>360</v>
      </c>
      <c r="F2884">
        <v>-44.26</v>
      </c>
      <c r="G2884" t="s">
        <v>84</v>
      </c>
      <c r="H2884" t="s">
        <v>85</v>
      </c>
      <c r="I2884" t="s">
        <v>97</v>
      </c>
    </row>
    <row r="2885" spans="1:9" x14ac:dyDescent="0.25">
      <c r="A2885" t="s">
        <v>264</v>
      </c>
      <c r="B2885" t="s">
        <v>100</v>
      </c>
      <c r="C2885" t="s">
        <v>776</v>
      </c>
      <c r="D2885" s="1">
        <v>45297</v>
      </c>
      <c r="E2885" t="s">
        <v>393</v>
      </c>
      <c r="F2885">
        <v>73267.520000000004</v>
      </c>
      <c r="G2885" t="s">
        <v>100</v>
      </c>
      <c r="H2885" t="s">
        <v>264</v>
      </c>
      <c r="I2885" t="s">
        <v>100</v>
      </c>
    </row>
    <row r="2886" spans="1:9" x14ac:dyDescent="0.25">
      <c r="A2886" t="s">
        <v>264</v>
      </c>
      <c r="B2886" t="s">
        <v>100</v>
      </c>
      <c r="C2886" t="s">
        <v>776</v>
      </c>
      <c r="D2886" s="1">
        <v>45297</v>
      </c>
      <c r="E2886" t="s">
        <v>394</v>
      </c>
      <c r="F2886">
        <v>0</v>
      </c>
      <c r="G2886" t="s">
        <v>100</v>
      </c>
      <c r="H2886" t="s">
        <v>264</v>
      </c>
      <c r="I2886" t="s">
        <v>100</v>
      </c>
    </row>
    <row r="2887" spans="1:9" x14ac:dyDescent="0.25">
      <c r="A2887" t="s">
        <v>264</v>
      </c>
      <c r="B2887" t="s">
        <v>100</v>
      </c>
      <c r="C2887" t="s">
        <v>796</v>
      </c>
      <c r="D2887" s="1">
        <v>45180</v>
      </c>
      <c r="E2887" t="s">
        <v>355</v>
      </c>
      <c r="F2887">
        <v>298.23</v>
      </c>
      <c r="G2887" t="s">
        <v>70</v>
      </c>
      <c r="H2887" t="s">
        <v>264</v>
      </c>
      <c r="I2887" t="s">
        <v>72</v>
      </c>
    </row>
    <row r="2888" spans="1:9" x14ac:dyDescent="0.25">
      <c r="A2888" t="s">
        <v>264</v>
      </c>
      <c r="B2888" t="s">
        <v>100</v>
      </c>
      <c r="C2888" t="s">
        <v>796</v>
      </c>
      <c r="D2888" s="1">
        <v>45187</v>
      </c>
      <c r="E2888" t="s">
        <v>395</v>
      </c>
      <c r="F2888">
        <v>-210.93</v>
      </c>
      <c r="G2888" t="s">
        <v>350</v>
      </c>
      <c r="H2888" t="s">
        <v>402</v>
      </c>
      <c r="I2888" t="s">
        <v>403</v>
      </c>
    </row>
    <row r="2889" spans="1:9" x14ac:dyDescent="0.25">
      <c r="A2889" t="s">
        <v>264</v>
      </c>
      <c r="B2889" t="s">
        <v>100</v>
      </c>
      <c r="C2889" t="s">
        <v>796</v>
      </c>
      <c r="D2889" s="1">
        <v>45237</v>
      </c>
      <c r="E2889" t="s">
        <v>267</v>
      </c>
      <c r="F2889">
        <v>89072.63</v>
      </c>
      <c r="G2889" t="s">
        <v>70</v>
      </c>
      <c r="H2889" t="s">
        <v>264</v>
      </c>
      <c r="I2889" t="s">
        <v>72</v>
      </c>
    </row>
    <row r="2890" spans="1:9" x14ac:dyDescent="0.25">
      <c r="A2890" t="s">
        <v>264</v>
      </c>
      <c r="B2890" t="s">
        <v>100</v>
      </c>
      <c r="C2890" t="s">
        <v>796</v>
      </c>
      <c r="D2890" s="1">
        <v>45239</v>
      </c>
      <c r="E2890" t="s">
        <v>267</v>
      </c>
      <c r="F2890">
        <v>903.36</v>
      </c>
      <c r="G2890" t="s">
        <v>70</v>
      </c>
      <c r="H2890" t="s">
        <v>264</v>
      </c>
      <c r="I2890" t="s">
        <v>72</v>
      </c>
    </row>
    <row r="2891" spans="1:9" x14ac:dyDescent="0.25">
      <c r="A2891" t="s">
        <v>264</v>
      </c>
      <c r="B2891" t="s">
        <v>100</v>
      </c>
      <c r="C2891" t="s">
        <v>796</v>
      </c>
      <c r="D2891" s="1">
        <v>45239</v>
      </c>
      <c r="E2891" t="s">
        <v>396</v>
      </c>
      <c r="F2891">
        <v>6993.11</v>
      </c>
      <c r="G2891" t="s">
        <v>100</v>
      </c>
      <c r="H2891" t="s">
        <v>264</v>
      </c>
      <c r="I2891" t="s">
        <v>100</v>
      </c>
    </row>
    <row r="2892" spans="1:9" x14ac:dyDescent="0.25">
      <c r="A2892" t="s">
        <v>264</v>
      </c>
      <c r="B2892" t="s">
        <v>100</v>
      </c>
      <c r="C2892" t="s">
        <v>796</v>
      </c>
      <c r="D2892" s="1">
        <v>45239</v>
      </c>
      <c r="E2892" t="s">
        <v>397</v>
      </c>
      <c r="F2892">
        <v>-9970.5400000000009</v>
      </c>
      <c r="G2892" t="s">
        <v>402</v>
      </c>
      <c r="H2892" t="s">
        <v>404</v>
      </c>
      <c r="I2892" t="s">
        <v>405</v>
      </c>
    </row>
    <row r="2893" spans="1:9" x14ac:dyDescent="0.25">
      <c r="A2893" t="s">
        <v>264</v>
      </c>
      <c r="B2893" t="s">
        <v>100</v>
      </c>
      <c r="C2893" t="s">
        <v>796</v>
      </c>
      <c r="D2893" s="1">
        <v>45239</v>
      </c>
      <c r="E2893" t="s">
        <v>398</v>
      </c>
      <c r="F2893">
        <v>-758.59</v>
      </c>
      <c r="G2893" t="s">
        <v>70</v>
      </c>
      <c r="H2893" t="s">
        <v>264</v>
      </c>
      <c r="I2893" t="s">
        <v>72</v>
      </c>
    </row>
    <row r="2894" spans="1:9" x14ac:dyDescent="0.25">
      <c r="A2894" t="s">
        <v>264</v>
      </c>
      <c r="B2894" t="s">
        <v>100</v>
      </c>
      <c r="C2894" t="s">
        <v>796</v>
      </c>
      <c r="D2894" s="1">
        <v>45239</v>
      </c>
      <c r="E2894" t="s">
        <v>398</v>
      </c>
      <c r="F2894">
        <v>-105.09</v>
      </c>
      <c r="G2894" t="s">
        <v>70</v>
      </c>
      <c r="H2894" t="s">
        <v>264</v>
      </c>
      <c r="I2894" t="s">
        <v>72</v>
      </c>
    </row>
    <row r="2895" spans="1:9" x14ac:dyDescent="0.25">
      <c r="A2895" t="s">
        <v>264</v>
      </c>
      <c r="B2895" t="s">
        <v>100</v>
      </c>
      <c r="C2895" t="s">
        <v>796</v>
      </c>
      <c r="D2895" s="1">
        <v>45239</v>
      </c>
      <c r="E2895" t="s">
        <v>398</v>
      </c>
      <c r="F2895">
        <v>-212.4</v>
      </c>
      <c r="G2895" t="s">
        <v>70</v>
      </c>
      <c r="H2895" t="s">
        <v>264</v>
      </c>
      <c r="I2895" t="s">
        <v>72</v>
      </c>
    </row>
    <row r="2896" spans="1:9" x14ac:dyDescent="0.25">
      <c r="A2896" t="s">
        <v>264</v>
      </c>
      <c r="B2896" t="s">
        <v>100</v>
      </c>
      <c r="C2896" t="s">
        <v>796</v>
      </c>
      <c r="D2896" s="1">
        <v>45239</v>
      </c>
      <c r="E2896" t="s">
        <v>399</v>
      </c>
      <c r="F2896">
        <v>53.21</v>
      </c>
      <c r="G2896" t="s">
        <v>70</v>
      </c>
      <c r="H2896" t="s">
        <v>264</v>
      </c>
      <c r="I2896" t="s">
        <v>72</v>
      </c>
    </row>
    <row r="2897" spans="1:9" x14ac:dyDescent="0.25">
      <c r="A2897" t="s">
        <v>264</v>
      </c>
      <c r="B2897" t="s">
        <v>100</v>
      </c>
      <c r="C2897" t="s">
        <v>796</v>
      </c>
      <c r="D2897" s="1">
        <v>45245</v>
      </c>
      <c r="E2897" t="s">
        <v>267</v>
      </c>
      <c r="F2897">
        <v>466.28</v>
      </c>
      <c r="G2897" t="s">
        <v>70</v>
      </c>
      <c r="H2897" t="s">
        <v>264</v>
      </c>
      <c r="I2897" t="s">
        <v>72</v>
      </c>
    </row>
    <row r="2898" spans="1:9" x14ac:dyDescent="0.25">
      <c r="A2898" t="s">
        <v>264</v>
      </c>
      <c r="B2898" t="s">
        <v>100</v>
      </c>
      <c r="C2898" t="s">
        <v>796</v>
      </c>
      <c r="D2898" s="1">
        <v>45245</v>
      </c>
      <c r="E2898" t="s">
        <v>398</v>
      </c>
      <c r="F2898">
        <v>-871.17</v>
      </c>
      <c r="G2898" t="s">
        <v>70</v>
      </c>
      <c r="H2898" t="s">
        <v>264</v>
      </c>
      <c r="I2898" t="s">
        <v>72</v>
      </c>
    </row>
    <row r="2899" spans="1:9" x14ac:dyDescent="0.25">
      <c r="A2899" t="s">
        <v>264</v>
      </c>
      <c r="B2899" t="s">
        <v>100</v>
      </c>
      <c r="C2899" t="s">
        <v>796</v>
      </c>
      <c r="D2899" s="1">
        <v>45245</v>
      </c>
      <c r="E2899" t="s">
        <v>400</v>
      </c>
      <c r="F2899">
        <v>1008.03</v>
      </c>
      <c r="G2899" t="s">
        <v>70</v>
      </c>
      <c r="H2899" t="s">
        <v>264</v>
      </c>
      <c r="I2899" t="s">
        <v>72</v>
      </c>
    </row>
    <row r="2900" spans="1:9" x14ac:dyDescent="0.25">
      <c r="A2900" t="s">
        <v>264</v>
      </c>
      <c r="B2900" t="s">
        <v>100</v>
      </c>
      <c r="C2900" t="s">
        <v>796</v>
      </c>
      <c r="D2900" s="1">
        <v>45246</v>
      </c>
      <c r="E2900" t="s">
        <v>401</v>
      </c>
      <c r="F2900">
        <v>-429.24</v>
      </c>
      <c r="G2900" t="s">
        <v>70</v>
      </c>
      <c r="H2900" t="s">
        <v>264</v>
      </c>
      <c r="I2900" t="s">
        <v>72</v>
      </c>
    </row>
    <row r="2901" spans="1:9" x14ac:dyDescent="0.25">
      <c r="A2901" t="s">
        <v>264</v>
      </c>
      <c r="B2901" t="s">
        <v>100</v>
      </c>
      <c r="C2901" t="s">
        <v>796</v>
      </c>
      <c r="D2901" s="1">
        <v>45252</v>
      </c>
      <c r="E2901" t="s">
        <v>400</v>
      </c>
      <c r="F2901">
        <v>1260.02</v>
      </c>
      <c r="G2901" t="s">
        <v>70</v>
      </c>
      <c r="H2901" t="s">
        <v>264</v>
      </c>
      <c r="I2901" t="s">
        <v>72</v>
      </c>
    </row>
    <row r="2902" spans="1:9" x14ac:dyDescent="0.25">
      <c r="A2902" t="s">
        <v>264</v>
      </c>
      <c r="B2902" t="s">
        <v>100</v>
      </c>
      <c r="C2902" t="s">
        <v>796</v>
      </c>
      <c r="D2902" s="1">
        <v>45253</v>
      </c>
      <c r="E2902" t="s">
        <v>401</v>
      </c>
      <c r="F2902">
        <v>-679.51</v>
      </c>
      <c r="G2902" t="s">
        <v>70</v>
      </c>
      <c r="H2902" t="s">
        <v>264</v>
      </c>
      <c r="I2902" t="s">
        <v>72</v>
      </c>
    </row>
    <row r="2903" spans="1:9" x14ac:dyDescent="0.25">
      <c r="A2903" t="s">
        <v>264</v>
      </c>
      <c r="B2903" t="s">
        <v>100</v>
      </c>
      <c r="C2903" t="s">
        <v>796</v>
      </c>
      <c r="D2903" s="1">
        <v>45259</v>
      </c>
      <c r="E2903" t="s">
        <v>400</v>
      </c>
      <c r="F2903">
        <v>225.32</v>
      </c>
      <c r="G2903" t="s">
        <v>70</v>
      </c>
      <c r="H2903" t="s">
        <v>264</v>
      </c>
      <c r="I2903" t="s">
        <v>72</v>
      </c>
    </row>
    <row r="2904" spans="1:9" x14ac:dyDescent="0.25">
      <c r="A2904" t="s">
        <v>264</v>
      </c>
      <c r="B2904" t="s">
        <v>100</v>
      </c>
      <c r="C2904" t="s">
        <v>796</v>
      </c>
      <c r="D2904" s="1">
        <v>45260</v>
      </c>
      <c r="E2904" t="s">
        <v>401</v>
      </c>
      <c r="F2904">
        <v>-428.43</v>
      </c>
      <c r="G2904" t="s">
        <v>70</v>
      </c>
      <c r="H2904" t="s">
        <v>264</v>
      </c>
      <c r="I2904" t="s">
        <v>72</v>
      </c>
    </row>
    <row r="2905" spans="1:9" x14ac:dyDescent="0.25">
      <c r="A2905" t="s">
        <v>264</v>
      </c>
      <c r="B2905" t="s">
        <v>100</v>
      </c>
      <c r="C2905" t="s">
        <v>796</v>
      </c>
      <c r="D2905" s="1">
        <v>45266</v>
      </c>
      <c r="E2905" t="s">
        <v>400</v>
      </c>
      <c r="F2905">
        <v>416.1</v>
      </c>
      <c r="G2905" t="s">
        <v>70</v>
      </c>
      <c r="H2905" t="s">
        <v>264</v>
      </c>
      <c r="I2905" t="s">
        <v>72</v>
      </c>
    </row>
    <row r="2906" spans="1:9" x14ac:dyDescent="0.25">
      <c r="A2906" t="s">
        <v>264</v>
      </c>
      <c r="B2906" t="s">
        <v>100</v>
      </c>
      <c r="C2906" t="s">
        <v>796</v>
      </c>
      <c r="D2906" s="1">
        <v>45267</v>
      </c>
      <c r="E2906" t="s">
        <v>401</v>
      </c>
      <c r="F2906">
        <v>-42.44</v>
      </c>
      <c r="G2906" t="s">
        <v>70</v>
      </c>
      <c r="H2906" t="s">
        <v>264</v>
      </c>
      <c r="I2906" t="s">
        <v>72</v>
      </c>
    </row>
    <row r="2907" spans="1:9" x14ac:dyDescent="0.25">
      <c r="A2907" t="s">
        <v>264</v>
      </c>
      <c r="B2907" t="s">
        <v>100</v>
      </c>
      <c r="C2907" t="s">
        <v>796</v>
      </c>
      <c r="D2907" s="1">
        <v>45273</v>
      </c>
      <c r="E2907" t="s">
        <v>400</v>
      </c>
      <c r="F2907">
        <v>170.58</v>
      </c>
      <c r="G2907" t="s">
        <v>70</v>
      </c>
      <c r="H2907" t="s">
        <v>264</v>
      </c>
      <c r="I2907" t="s">
        <v>72</v>
      </c>
    </row>
    <row r="2908" spans="1:9" x14ac:dyDescent="0.25">
      <c r="A2908" t="s">
        <v>264</v>
      </c>
      <c r="B2908" t="s">
        <v>100</v>
      </c>
      <c r="C2908" t="s">
        <v>796</v>
      </c>
      <c r="D2908" s="1">
        <v>45274</v>
      </c>
      <c r="E2908" t="s">
        <v>401</v>
      </c>
      <c r="F2908">
        <v>-316.69</v>
      </c>
      <c r="G2908" t="s">
        <v>70</v>
      </c>
      <c r="H2908" t="s">
        <v>264</v>
      </c>
      <c r="I2908" t="s">
        <v>72</v>
      </c>
    </row>
    <row r="2909" spans="1:9" x14ac:dyDescent="0.25">
      <c r="A2909" t="s">
        <v>264</v>
      </c>
      <c r="B2909" t="s">
        <v>100</v>
      </c>
      <c r="C2909" t="s">
        <v>796</v>
      </c>
      <c r="D2909" s="1">
        <v>45280</v>
      </c>
      <c r="E2909" t="s">
        <v>400</v>
      </c>
      <c r="F2909">
        <v>1098.44</v>
      </c>
      <c r="G2909" t="s">
        <v>70</v>
      </c>
      <c r="H2909" t="s">
        <v>264</v>
      </c>
      <c r="I2909" t="s">
        <v>72</v>
      </c>
    </row>
    <row r="2910" spans="1:9" x14ac:dyDescent="0.25">
      <c r="A2910" t="s">
        <v>264</v>
      </c>
      <c r="B2910" t="s">
        <v>100</v>
      </c>
      <c r="C2910" t="s">
        <v>796</v>
      </c>
      <c r="D2910" s="1">
        <v>45281</v>
      </c>
      <c r="E2910" t="s">
        <v>401</v>
      </c>
      <c r="F2910">
        <v>-404.6</v>
      </c>
      <c r="G2910" t="s">
        <v>70</v>
      </c>
      <c r="H2910" t="s">
        <v>264</v>
      </c>
      <c r="I2910" t="s">
        <v>72</v>
      </c>
    </row>
    <row r="2911" spans="1:9" x14ac:dyDescent="0.25">
      <c r="A2911" t="s">
        <v>264</v>
      </c>
      <c r="B2911" t="s">
        <v>100</v>
      </c>
      <c r="C2911" t="s">
        <v>796</v>
      </c>
      <c r="D2911" s="1">
        <v>45287</v>
      </c>
      <c r="E2911" t="s">
        <v>400</v>
      </c>
      <c r="F2911">
        <v>924.02</v>
      </c>
      <c r="G2911" t="s">
        <v>70</v>
      </c>
      <c r="H2911" t="s">
        <v>264</v>
      </c>
      <c r="I2911" t="s">
        <v>72</v>
      </c>
    </row>
    <row r="2912" spans="1:9" x14ac:dyDescent="0.25">
      <c r="A2912" t="s">
        <v>264</v>
      </c>
      <c r="B2912" t="s">
        <v>100</v>
      </c>
      <c r="C2912" t="s">
        <v>796</v>
      </c>
      <c r="D2912" s="1">
        <v>45288</v>
      </c>
      <c r="E2912" t="s">
        <v>401</v>
      </c>
      <c r="F2912">
        <v>-226.95</v>
      </c>
      <c r="G2912" t="s">
        <v>70</v>
      </c>
      <c r="H2912" t="s">
        <v>264</v>
      </c>
      <c r="I2912" t="s">
        <v>72</v>
      </c>
    </row>
    <row r="2913" spans="1:9" x14ac:dyDescent="0.25">
      <c r="A2913" t="s">
        <v>264</v>
      </c>
      <c r="B2913" t="s">
        <v>100</v>
      </c>
      <c r="C2913" t="s">
        <v>796</v>
      </c>
      <c r="D2913" s="1">
        <v>45294</v>
      </c>
      <c r="E2913" t="s">
        <v>400</v>
      </c>
      <c r="F2913">
        <v>619.41</v>
      </c>
      <c r="G2913" t="s">
        <v>70</v>
      </c>
      <c r="H2913" t="s">
        <v>264</v>
      </c>
      <c r="I2913" t="s">
        <v>72</v>
      </c>
    </row>
    <row r="2914" spans="1:9" x14ac:dyDescent="0.25">
      <c r="A2914" t="s">
        <v>264</v>
      </c>
      <c r="B2914" t="s">
        <v>100</v>
      </c>
      <c r="C2914" t="s">
        <v>796</v>
      </c>
      <c r="D2914" s="1">
        <v>45295</v>
      </c>
      <c r="E2914" t="s">
        <v>401</v>
      </c>
      <c r="F2914">
        <v>-581.67999999999995</v>
      </c>
      <c r="G2914" t="s">
        <v>70</v>
      </c>
      <c r="H2914" t="s">
        <v>264</v>
      </c>
      <c r="I2914" t="s">
        <v>72</v>
      </c>
    </row>
    <row r="2915" spans="1:9" x14ac:dyDescent="0.25">
      <c r="A2915" t="s">
        <v>264</v>
      </c>
      <c r="B2915" t="s">
        <v>100</v>
      </c>
      <c r="C2915" t="s">
        <v>796</v>
      </c>
      <c r="D2915" s="1">
        <v>45301</v>
      </c>
      <c r="E2915" t="s">
        <v>400</v>
      </c>
      <c r="F2915">
        <v>1130.3699999999999</v>
      </c>
      <c r="G2915" t="s">
        <v>70</v>
      </c>
      <c r="H2915" t="s">
        <v>264</v>
      </c>
      <c r="I2915" t="s">
        <v>72</v>
      </c>
    </row>
    <row r="2916" spans="1:9" x14ac:dyDescent="0.25">
      <c r="A2916" t="s">
        <v>264</v>
      </c>
      <c r="B2916" t="s">
        <v>100</v>
      </c>
      <c r="C2916" t="s">
        <v>796</v>
      </c>
      <c r="D2916" s="1">
        <v>45302</v>
      </c>
      <c r="E2916" t="s">
        <v>401</v>
      </c>
      <c r="F2916">
        <v>-743.6</v>
      </c>
      <c r="G2916" t="s">
        <v>70</v>
      </c>
      <c r="H2916" t="s">
        <v>264</v>
      </c>
      <c r="I2916" t="s">
        <v>72</v>
      </c>
    </row>
    <row r="2917" spans="1:9" x14ac:dyDescent="0.25">
      <c r="A2917" t="s">
        <v>264</v>
      </c>
      <c r="B2917" t="s">
        <v>100</v>
      </c>
      <c r="C2917" t="s">
        <v>796</v>
      </c>
      <c r="D2917" s="1">
        <v>45308</v>
      </c>
      <c r="E2917" t="s">
        <v>400</v>
      </c>
      <c r="F2917">
        <v>700.25</v>
      </c>
      <c r="G2917" t="s">
        <v>70</v>
      </c>
      <c r="H2917" t="s">
        <v>264</v>
      </c>
      <c r="I2917" t="s">
        <v>72</v>
      </c>
    </row>
    <row r="2918" spans="1:9" x14ac:dyDescent="0.25">
      <c r="A2918" t="s">
        <v>264</v>
      </c>
      <c r="B2918" t="s">
        <v>100</v>
      </c>
      <c r="C2918" t="s">
        <v>796</v>
      </c>
      <c r="D2918" s="1">
        <v>45309</v>
      </c>
      <c r="E2918" t="s">
        <v>401</v>
      </c>
      <c r="F2918">
        <v>-589.29999999999995</v>
      </c>
      <c r="G2918" t="s">
        <v>70</v>
      </c>
      <c r="H2918" t="s">
        <v>264</v>
      </c>
      <c r="I2918" t="s">
        <v>72</v>
      </c>
    </row>
    <row r="2919" spans="1:9" x14ac:dyDescent="0.25">
      <c r="A2919" t="s">
        <v>264</v>
      </c>
      <c r="B2919" t="s">
        <v>100</v>
      </c>
      <c r="C2919" t="s">
        <v>796</v>
      </c>
      <c r="D2919" s="1">
        <v>45315</v>
      </c>
      <c r="E2919" t="s">
        <v>400</v>
      </c>
      <c r="F2919">
        <v>965.31</v>
      </c>
      <c r="G2919" t="s">
        <v>70</v>
      </c>
      <c r="H2919" t="s">
        <v>264</v>
      </c>
      <c r="I2919" t="s">
        <v>72</v>
      </c>
    </row>
    <row r="2920" spans="1:9" x14ac:dyDescent="0.25">
      <c r="A2920" t="s">
        <v>264</v>
      </c>
      <c r="B2920" t="s">
        <v>100</v>
      </c>
      <c r="C2920" t="s">
        <v>796</v>
      </c>
      <c r="D2920" s="1">
        <v>45316</v>
      </c>
      <c r="E2920" t="s">
        <v>401</v>
      </c>
      <c r="F2920">
        <v>-966.3</v>
      </c>
      <c r="G2920" t="s">
        <v>70</v>
      </c>
      <c r="H2920" t="s">
        <v>264</v>
      </c>
      <c r="I2920" t="s">
        <v>72</v>
      </c>
    </row>
    <row r="2921" spans="1:9" x14ac:dyDescent="0.25">
      <c r="A2921" t="s">
        <v>264</v>
      </c>
      <c r="B2921" t="s">
        <v>100</v>
      </c>
      <c r="C2921" t="s">
        <v>796</v>
      </c>
      <c r="D2921" s="1">
        <v>45322</v>
      </c>
      <c r="E2921" t="s">
        <v>400</v>
      </c>
      <c r="F2921">
        <v>553.88</v>
      </c>
      <c r="G2921" t="s">
        <v>70</v>
      </c>
      <c r="H2921" t="s">
        <v>264</v>
      </c>
      <c r="I2921" t="s">
        <v>72</v>
      </c>
    </row>
    <row r="2922" spans="1:9" x14ac:dyDescent="0.25">
      <c r="A2922" t="s">
        <v>264</v>
      </c>
      <c r="B2922" t="s">
        <v>100</v>
      </c>
      <c r="C2922" t="s">
        <v>796</v>
      </c>
      <c r="D2922" s="1">
        <v>45323</v>
      </c>
      <c r="E2922" t="s">
        <v>401</v>
      </c>
      <c r="F2922">
        <v>-179.09</v>
      </c>
      <c r="G2922" t="s">
        <v>70</v>
      </c>
      <c r="H2922" t="s">
        <v>264</v>
      </c>
      <c r="I2922" t="s">
        <v>72</v>
      </c>
    </row>
    <row r="2923" spans="1:9" x14ac:dyDescent="0.25">
      <c r="A2923" t="s">
        <v>264</v>
      </c>
      <c r="B2923" t="s">
        <v>100</v>
      </c>
      <c r="C2923" t="s">
        <v>796</v>
      </c>
      <c r="D2923" s="1">
        <v>45329</v>
      </c>
      <c r="E2923" t="s">
        <v>400</v>
      </c>
      <c r="F2923">
        <v>1136.49</v>
      </c>
      <c r="G2923" t="s">
        <v>70</v>
      </c>
      <c r="H2923" t="s">
        <v>264</v>
      </c>
      <c r="I2923" t="s">
        <v>72</v>
      </c>
    </row>
    <row r="2924" spans="1:9" x14ac:dyDescent="0.25">
      <c r="A2924" t="s">
        <v>264</v>
      </c>
      <c r="B2924" t="s">
        <v>100</v>
      </c>
      <c r="C2924" t="s">
        <v>796</v>
      </c>
      <c r="D2924" s="1">
        <v>45330</v>
      </c>
      <c r="E2924" t="s">
        <v>401</v>
      </c>
      <c r="F2924">
        <v>-159.26</v>
      </c>
      <c r="G2924" t="s">
        <v>70</v>
      </c>
      <c r="H2924" t="s">
        <v>264</v>
      </c>
      <c r="I2924" t="s">
        <v>72</v>
      </c>
    </row>
    <row r="2925" spans="1:9" x14ac:dyDescent="0.25">
      <c r="A2925" t="s">
        <v>264</v>
      </c>
      <c r="B2925" t="s">
        <v>100</v>
      </c>
      <c r="C2925" t="s">
        <v>796</v>
      </c>
      <c r="D2925" s="1">
        <v>45336</v>
      </c>
      <c r="E2925" t="s">
        <v>400</v>
      </c>
      <c r="F2925">
        <v>1208.8900000000001</v>
      </c>
      <c r="G2925" t="s">
        <v>70</v>
      </c>
      <c r="H2925" t="s">
        <v>264</v>
      </c>
      <c r="I2925" t="s">
        <v>72</v>
      </c>
    </row>
    <row r="2926" spans="1:9" x14ac:dyDescent="0.25">
      <c r="A2926" t="s">
        <v>264</v>
      </c>
      <c r="B2926" t="s">
        <v>100</v>
      </c>
      <c r="C2926" t="s">
        <v>796</v>
      </c>
      <c r="D2926" s="1">
        <v>45337</v>
      </c>
      <c r="E2926" t="s">
        <v>401</v>
      </c>
      <c r="F2926">
        <v>-863.46</v>
      </c>
      <c r="G2926" t="s">
        <v>70</v>
      </c>
      <c r="H2926" t="s">
        <v>264</v>
      </c>
      <c r="I2926" t="s">
        <v>72</v>
      </c>
    </row>
    <row r="2927" spans="1:9" x14ac:dyDescent="0.25">
      <c r="A2927" t="s">
        <v>264</v>
      </c>
      <c r="B2927" t="s">
        <v>100</v>
      </c>
      <c r="C2927" t="s">
        <v>796</v>
      </c>
      <c r="D2927" s="1">
        <v>45343</v>
      </c>
      <c r="E2927" t="s">
        <v>400</v>
      </c>
      <c r="F2927">
        <v>1204.94</v>
      </c>
      <c r="G2927" t="s">
        <v>70</v>
      </c>
      <c r="H2927" t="s">
        <v>264</v>
      </c>
      <c r="I2927" t="s">
        <v>72</v>
      </c>
    </row>
    <row r="2928" spans="1:9" x14ac:dyDescent="0.25">
      <c r="A2928" t="s">
        <v>264</v>
      </c>
      <c r="B2928" t="s">
        <v>100</v>
      </c>
      <c r="C2928" t="s">
        <v>796</v>
      </c>
      <c r="D2928" s="1">
        <v>45344</v>
      </c>
      <c r="E2928" t="s">
        <v>401</v>
      </c>
      <c r="F2928">
        <v>-1126.04</v>
      </c>
      <c r="G2928" t="s">
        <v>70</v>
      </c>
      <c r="H2928" t="s">
        <v>264</v>
      </c>
      <c r="I2928" t="s">
        <v>72</v>
      </c>
    </row>
    <row r="2929" spans="1:9" x14ac:dyDescent="0.25">
      <c r="A2929" t="s">
        <v>264</v>
      </c>
      <c r="B2929" t="s">
        <v>100</v>
      </c>
      <c r="C2929" t="s">
        <v>796</v>
      </c>
      <c r="D2929" s="1">
        <v>45350</v>
      </c>
      <c r="E2929" t="s">
        <v>400</v>
      </c>
      <c r="F2929">
        <v>148.41999999999999</v>
      </c>
      <c r="G2929" t="s">
        <v>70</v>
      </c>
      <c r="H2929" t="s">
        <v>264</v>
      </c>
      <c r="I2929" t="s">
        <v>72</v>
      </c>
    </row>
    <row r="2930" spans="1:9" x14ac:dyDescent="0.25">
      <c r="A2930" t="s">
        <v>264</v>
      </c>
      <c r="B2930" t="s">
        <v>100</v>
      </c>
      <c r="C2930" t="s">
        <v>796</v>
      </c>
      <c r="D2930" s="1">
        <v>45351</v>
      </c>
      <c r="E2930" t="s">
        <v>401</v>
      </c>
      <c r="F2930">
        <v>-1093.8499999999999</v>
      </c>
      <c r="G2930" t="s">
        <v>70</v>
      </c>
      <c r="H2930" t="s">
        <v>264</v>
      </c>
      <c r="I2930" t="s">
        <v>72</v>
      </c>
    </row>
    <row r="2931" spans="1:9" x14ac:dyDescent="0.25">
      <c r="A2931" t="s">
        <v>264</v>
      </c>
      <c r="B2931" t="s">
        <v>100</v>
      </c>
      <c r="C2931" t="s">
        <v>796</v>
      </c>
      <c r="D2931" s="1">
        <v>45357</v>
      </c>
      <c r="E2931" t="s">
        <v>400</v>
      </c>
      <c r="F2931">
        <v>189.98</v>
      </c>
      <c r="G2931" t="s">
        <v>70</v>
      </c>
      <c r="H2931" t="s">
        <v>264</v>
      </c>
      <c r="I2931" t="s">
        <v>72</v>
      </c>
    </row>
    <row r="2932" spans="1:9" x14ac:dyDescent="0.25">
      <c r="A2932" t="s">
        <v>264</v>
      </c>
      <c r="B2932" t="s">
        <v>100</v>
      </c>
      <c r="C2932" t="s">
        <v>796</v>
      </c>
      <c r="D2932" s="1">
        <v>45358</v>
      </c>
      <c r="E2932" t="s">
        <v>401</v>
      </c>
      <c r="F2932">
        <v>-953.95</v>
      </c>
      <c r="G2932" t="s">
        <v>70</v>
      </c>
      <c r="H2932" t="s">
        <v>264</v>
      </c>
      <c r="I2932" t="s">
        <v>72</v>
      </c>
    </row>
    <row r="2933" spans="1:9" x14ac:dyDescent="0.25">
      <c r="A2933" t="s">
        <v>264</v>
      </c>
      <c r="B2933" t="s">
        <v>100</v>
      </c>
      <c r="C2933" t="s">
        <v>796</v>
      </c>
      <c r="D2933" s="1">
        <v>45364</v>
      </c>
      <c r="E2933" t="s">
        <v>400</v>
      </c>
      <c r="F2933">
        <v>1196.94</v>
      </c>
      <c r="G2933" t="s">
        <v>70</v>
      </c>
      <c r="H2933" t="s">
        <v>264</v>
      </c>
      <c r="I2933" t="s">
        <v>72</v>
      </c>
    </row>
    <row r="2934" spans="1:9" x14ac:dyDescent="0.25">
      <c r="A2934" t="s">
        <v>264</v>
      </c>
      <c r="B2934" t="s">
        <v>100</v>
      </c>
      <c r="C2934" t="s">
        <v>796</v>
      </c>
      <c r="D2934" s="1">
        <v>45365</v>
      </c>
      <c r="E2934" t="s">
        <v>401</v>
      </c>
      <c r="F2934">
        <v>-293.60000000000002</v>
      </c>
      <c r="G2934" t="s">
        <v>70</v>
      </c>
      <c r="H2934" t="s">
        <v>264</v>
      </c>
      <c r="I2934" t="s">
        <v>72</v>
      </c>
    </row>
    <row r="2935" spans="1:9" x14ac:dyDescent="0.25">
      <c r="A2935" t="s">
        <v>264</v>
      </c>
      <c r="B2935" t="s">
        <v>100</v>
      </c>
      <c r="C2935" t="s">
        <v>796</v>
      </c>
      <c r="D2935" s="1">
        <v>45371</v>
      </c>
      <c r="E2935" t="s">
        <v>400</v>
      </c>
      <c r="F2935">
        <v>528.01</v>
      </c>
      <c r="G2935" t="s">
        <v>70</v>
      </c>
      <c r="H2935" t="s">
        <v>264</v>
      </c>
      <c r="I2935" t="s">
        <v>72</v>
      </c>
    </row>
    <row r="2936" spans="1:9" x14ac:dyDescent="0.25">
      <c r="A2936" t="s">
        <v>264</v>
      </c>
      <c r="B2936" t="s">
        <v>100</v>
      </c>
      <c r="C2936" t="s">
        <v>796</v>
      </c>
      <c r="D2936" s="1">
        <v>45372</v>
      </c>
      <c r="E2936" t="s">
        <v>401</v>
      </c>
      <c r="F2936">
        <v>-676.89</v>
      </c>
      <c r="G2936" t="s">
        <v>70</v>
      </c>
      <c r="H2936" t="s">
        <v>264</v>
      </c>
      <c r="I2936" t="s">
        <v>72</v>
      </c>
    </row>
    <row r="2937" spans="1:9" x14ac:dyDescent="0.25">
      <c r="A2937" t="s">
        <v>264</v>
      </c>
      <c r="B2937" t="s">
        <v>100</v>
      </c>
      <c r="C2937" t="s">
        <v>796</v>
      </c>
      <c r="D2937" s="1">
        <v>45378</v>
      </c>
      <c r="E2937" t="s">
        <v>400</v>
      </c>
      <c r="F2937">
        <v>782.63</v>
      </c>
      <c r="G2937" t="s">
        <v>70</v>
      </c>
      <c r="H2937" t="s">
        <v>264</v>
      </c>
      <c r="I2937" t="s">
        <v>72</v>
      </c>
    </row>
    <row r="2938" spans="1:9" x14ac:dyDescent="0.25">
      <c r="A2938" t="s">
        <v>264</v>
      </c>
      <c r="B2938" t="s">
        <v>100</v>
      </c>
      <c r="C2938" t="s">
        <v>796</v>
      </c>
      <c r="D2938" s="1">
        <v>45379</v>
      </c>
      <c r="E2938" t="s">
        <v>401</v>
      </c>
      <c r="F2938">
        <v>-122.82</v>
      </c>
      <c r="G2938" t="s">
        <v>70</v>
      </c>
      <c r="H2938" t="s">
        <v>264</v>
      </c>
      <c r="I2938" t="s">
        <v>72</v>
      </c>
    </row>
    <row r="2939" spans="1:9" x14ac:dyDescent="0.25">
      <c r="A2939" t="s">
        <v>264</v>
      </c>
      <c r="B2939" t="s">
        <v>258</v>
      </c>
      <c r="C2939" t="s">
        <v>777</v>
      </c>
      <c r="D2939" s="1">
        <v>45023</v>
      </c>
      <c r="E2939" t="s">
        <v>406</v>
      </c>
      <c r="F2939">
        <v>-297.25</v>
      </c>
      <c r="G2939" t="s">
        <v>79</v>
      </c>
      <c r="H2939" t="s">
        <v>402</v>
      </c>
      <c r="I2939" t="s">
        <v>263</v>
      </c>
    </row>
    <row r="2940" spans="1:9" x14ac:dyDescent="0.25">
      <c r="A2940" t="s">
        <v>264</v>
      </c>
      <c r="B2940" t="s">
        <v>258</v>
      </c>
      <c r="C2940" t="s">
        <v>777</v>
      </c>
      <c r="D2940" s="1">
        <v>45027</v>
      </c>
      <c r="E2940" t="s">
        <v>407</v>
      </c>
      <c r="F2940">
        <v>1002.24</v>
      </c>
      <c r="G2940" t="s">
        <v>79</v>
      </c>
      <c r="H2940" t="s">
        <v>402</v>
      </c>
      <c r="I2940" t="s">
        <v>262</v>
      </c>
    </row>
    <row r="2941" spans="1:9" x14ac:dyDescent="0.25">
      <c r="A2941" t="s">
        <v>264</v>
      </c>
      <c r="B2941" t="s">
        <v>258</v>
      </c>
      <c r="C2941" t="s">
        <v>777</v>
      </c>
      <c r="D2941" s="1">
        <v>45037</v>
      </c>
      <c r="E2941" t="s">
        <v>407</v>
      </c>
      <c r="F2941">
        <v>1686.19</v>
      </c>
      <c r="G2941" t="s">
        <v>79</v>
      </c>
      <c r="H2941" t="s">
        <v>402</v>
      </c>
      <c r="I2941" t="s">
        <v>262</v>
      </c>
    </row>
    <row r="2942" spans="1:9" x14ac:dyDescent="0.25">
      <c r="A2942" t="s">
        <v>264</v>
      </c>
      <c r="B2942" t="s">
        <v>258</v>
      </c>
      <c r="C2942" t="s">
        <v>777</v>
      </c>
      <c r="D2942" s="1">
        <v>45037</v>
      </c>
      <c r="E2942" t="s">
        <v>406</v>
      </c>
      <c r="F2942">
        <v>-1361.52</v>
      </c>
      <c r="G2942" t="s">
        <v>79</v>
      </c>
      <c r="H2942" t="s">
        <v>402</v>
      </c>
      <c r="I2942" t="s">
        <v>263</v>
      </c>
    </row>
    <row r="2943" spans="1:9" x14ac:dyDescent="0.25">
      <c r="A2943" t="s">
        <v>264</v>
      </c>
      <c r="B2943" t="s">
        <v>258</v>
      </c>
      <c r="C2943" t="s">
        <v>777</v>
      </c>
      <c r="D2943" s="1">
        <v>45051</v>
      </c>
      <c r="E2943" t="s">
        <v>407</v>
      </c>
      <c r="F2943">
        <v>1235.1500000000001</v>
      </c>
      <c r="G2943" t="s">
        <v>79</v>
      </c>
      <c r="H2943" t="s">
        <v>402</v>
      </c>
      <c r="I2943" t="s">
        <v>262</v>
      </c>
    </row>
    <row r="2944" spans="1:9" x14ac:dyDescent="0.25">
      <c r="A2944" t="s">
        <v>264</v>
      </c>
      <c r="B2944" t="s">
        <v>258</v>
      </c>
      <c r="C2944" t="s">
        <v>777</v>
      </c>
      <c r="D2944" s="1">
        <v>45051</v>
      </c>
      <c r="E2944" t="s">
        <v>406</v>
      </c>
      <c r="F2944">
        <v>-779.02</v>
      </c>
      <c r="G2944" t="s">
        <v>79</v>
      </c>
      <c r="H2944" t="s">
        <v>402</v>
      </c>
      <c r="I2944" t="s">
        <v>263</v>
      </c>
    </row>
    <row r="2945" spans="1:9" x14ac:dyDescent="0.25">
      <c r="A2945" t="s">
        <v>264</v>
      </c>
      <c r="B2945" t="s">
        <v>258</v>
      </c>
      <c r="C2945" t="s">
        <v>777</v>
      </c>
      <c r="D2945" s="1">
        <v>45065</v>
      </c>
      <c r="E2945" t="s">
        <v>407</v>
      </c>
      <c r="F2945">
        <v>591.12</v>
      </c>
      <c r="G2945" t="s">
        <v>79</v>
      </c>
      <c r="H2945" t="s">
        <v>402</v>
      </c>
      <c r="I2945" t="s">
        <v>262</v>
      </c>
    </row>
    <row r="2946" spans="1:9" x14ac:dyDescent="0.25">
      <c r="A2946" t="s">
        <v>264</v>
      </c>
      <c r="B2946" t="s">
        <v>258</v>
      </c>
      <c r="C2946" t="s">
        <v>777</v>
      </c>
      <c r="D2946" s="1">
        <v>45065</v>
      </c>
      <c r="E2946" t="s">
        <v>406</v>
      </c>
      <c r="F2946">
        <v>-561.83000000000004</v>
      </c>
      <c r="G2946" t="s">
        <v>79</v>
      </c>
      <c r="H2946" t="s">
        <v>402</v>
      </c>
      <c r="I2946" t="s">
        <v>263</v>
      </c>
    </row>
    <row r="2947" spans="1:9" x14ac:dyDescent="0.25">
      <c r="A2947" t="s">
        <v>264</v>
      </c>
      <c r="B2947" t="s">
        <v>258</v>
      </c>
      <c r="C2947" t="s">
        <v>777</v>
      </c>
      <c r="D2947" s="1">
        <v>45079</v>
      </c>
      <c r="E2947" t="s">
        <v>407</v>
      </c>
      <c r="F2947">
        <v>1031.25</v>
      </c>
      <c r="G2947" t="s">
        <v>79</v>
      </c>
      <c r="H2947" t="s">
        <v>402</v>
      </c>
      <c r="I2947" t="s">
        <v>262</v>
      </c>
    </row>
    <row r="2948" spans="1:9" x14ac:dyDescent="0.25">
      <c r="A2948" t="s">
        <v>264</v>
      </c>
      <c r="B2948" t="s">
        <v>258</v>
      </c>
      <c r="C2948" t="s">
        <v>777</v>
      </c>
      <c r="D2948" s="1">
        <v>45079</v>
      </c>
      <c r="E2948" t="s">
        <v>406</v>
      </c>
      <c r="F2948">
        <v>-584.71</v>
      </c>
      <c r="G2948" t="s">
        <v>79</v>
      </c>
      <c r="H2948" t="s">
        <v>402</v>
      </c>
      <c r="I2948" t="s">
        <v>263</v>
      </c>
    </row>
    <row r="2949" spans="1:9" x14ac:dyDescent="0.25">
      <c r="A2949" t="s">
        <v>264</v>
      </c>
      <c r="B2949" t="s">
        <v>258</v>
      </c>
      <c r="C2949" t="s">
        <v>777</v>
      </c>
      <c r="D2949" s="1">
        <v>45093</v>
      </c>
      <c r="E2949" t="s">
        <v>407</v>
      </c>
      <c r="F2949">
        <v>1556.06</v>
      </c>
      <c r="G2949" t="s">
        <v>79</v>
      </c>
      <c r="H2949" t="s">
        <v>402</v>
      </c>
      <c r="I2949" t="s">
        <v>262</v>
      </c>
    </row>
    <row r="2950" spans="1:9" x14ac:dyDescent="0.25">
      <c r="A2950" t="s">
        <v>264</v>
      </c>
      <c r="B2950" t="s">
        <v>258</v>
      </c>
      <c r="C2950" t="s">
        <v>777</v>
      </c>
      <c r="D2950" s="1">
        <v>45093</v>
      </c>
      <c r="E2950" t="s">
        <v>406</v>
      </c>
      <c r="F2950">
        <v>-216.36</v>
      </c>
      <c r="G2950" t="s">
        <v>79</v>
      </c>
      <c r="H2950" t="s">
        <v>402</v>
      </c>
      <c r="I2950" t="s">
        <v>263</v>
      </c>
    </row>
    <row r="2951" spans="1:9" x14ac:dyDescent="0.25">
      <c r="A2951" t="s">
        <v>264</v>
      </c>
      <c r="B2951" t="s">
        <v>258</v>
      </c>
      <c r="C2951" t="s">
        <v>777</v>
      </c>
      <c r="D2951" s="1">
        <v>45098</v>
      </c>
      <c r="E2951" t="s">
        <v>408</v>
      </c>
      <c r="F2951">
        <v>903.62</v>
      </c>
      <c r="G2951" t="s">
        <v>79</v>
      </c>
      <c r="H2951" t="s">
        <v>402</v>
      </c>
      <c r="I2951" t="s">
        <v>262</v>
      </c>
    </row>
    <row r="2952" spans="1:9" x14ac:dyDescent="0.25">
      <c r="A2952" t="s">
        <v>264</v>
      </c>
      <c r="B2952" t="s">
        <v>258</v>
      </c>
      <c r="C2952" t="s">
        <v>777</v>
      </c>
      <c r="D2952" s="1">
        <v>45107</v>
      </c>
      <c r="E2952" t="s">
        <v>407</v>
      </c>
      <c r="F2952">
        <v>1070.3</v>
      </c>
      <c r="G2952" t="s">
        <v>79</v>
      </c>
      <c r="H2952" t="s">
        <v>402</v>
      </c>
      <c r="I2952" t="s">
        <v>262</v>
      </c>
    </row>
    <row r="2953" spans="1:9" x14ac:dyDescent="0.25">
      <c r="A2953" t="s">
        <v>264</v>
      </c>
      <c r="B2953" t="s">
        <v>258</v>
      </c>
      <c r="C2953" t="s">
        <v>777</v>
      </c>
      <c r="D2953" s="1">
        <v>45107</v>
      </c>
      <c r="E2953" t="s">
        <v>406</v>
      </c>
      <c r="F2953">
        <v>-1631.51</v>
      </c>
      <c r="G2953" t="s">
        <v>79</v>
      </c>
      <c r="H2953" t="s">
        <v>402</v>
      </c>
      <c r="I2953" t="s">
        <v>263</v>
      </c>
    </row>
    <row r="2954" spans="1:9" x14ac:dyDescent="0.25">
      <c r="A2954" t="s">
        <v>264</v>
      </c>
      <c r="B2954" t="s">
        <v>258</v>
      </c>
      <c r="C2954" t="s">
        <v>777</v>
      </c>
      <c r="D2954" s="1">
        <v>45121</v>
      </c>
      <c r="E2954" t="s">
        <v>407</v>
      </c>
      <c r="F2954">
        <v>381.31</v>
      </c>
      <c r="G2954" t="s">
        <v>79</v>
      </c>
      <c r="H2954" t="s">
        <v>402</v>
      </c>
      <c r="I2954" t="s">
        <v>262</v>
      </c>
    </row>
    <row r="2955" spans="1:9" x14ac:dyDescent="0.25">
      <c r="A2955" t="s">
        <v>264</v>
      </c>
      <c r="B2955" t="s">
        <v>258</v>
      </c>
      <c r="C2955" t="s">
        <v>777</v>
      </c>
      <c r="D2955" s="1">
        <v>45121</v>
      </c>
      <c r="E2955" t="s">
        <v>406</v>
      </c>
      <c r="F2955">
        <v>-1070.6400000000001</v>
      </c>
      <c r="G2955" t="s">
        <v>79</v>
      </c>
      <c r="H2955" t="s">
        <v>402</v>
      </c>
      <c r="I2955" t="s">
        <v>263</v>
      </c>
    </row>
    <row r="2956" spans="1:9" x14ac:dyDescent="0.25">
      <c r="A2956" t="s">
        <v>264</v>
      </c>
      <c r="B2956" t="s">
        <v>258</v>
      </c>
      <c r="C2956" t="s">
        <v>777</v>
      </c>
      <c r="D2956" s="1">
        <v>45135</v>
      </c>
      <c r="E2956" t="s">
        <v>407</v>
      </c>
      <c r="F2956">
        <v>1370.61</v>
      </c>
      <c r="G2956" t="s">
        <v>79</v>
      </c>
      <c r="H2956" t="s">
        <v>402</v>
      </c>
      <c r="I2956" t="s">
        <v>262</v>
      </c>
    </row>
    <row r="2957" spans="1:9" x14ac:dyDescent="0.25">
      <c r="A2957" t="s">
        <v>264</v>
      </c>
      <c r="B2957" t="s">
        <v>258</v>
      </c>
      <c r="C2957" t="s">
        <v>777</v>
      </c>
      <c r="D2957" s="1">
        <v>45135</v>
      </c>
      <c r="E2957" t="s">
        <v>406</v>
      </c>
      <c r="F2957">
        <v>-399.12</v>
      </c>
      <c r="G2957" t="s">
        <v>79</v>
      </c>
      <c r="H2957" t="s">
        <v>402</v>
      </c>
      <c r="I2957" t="s">
        <v>263</v>
      </c>
    </row>
    <row r="2958" spans="1:9" x14ac:dyDescent="0.25">
      <c r="A2958" t="s">
        <v>264</v>
      </c>
      <c r="B2958" t="s">
        <v>258</v>
      </c>
      <c r="C2958" t="s">
        <v>777</v>
      </c>
      <c r="D2958" s="1">
        <v>45149</v>
      </c>
      <c r="E2958" t="s">
        <v>407</v>
      </c>
      <c r="F2958">
        <v>600.12</v>
      </c>
      <c r="G2958" t="s">
        <v>79</v>
      </c>
      <c r="H2958" t="s">
        <v>402</v>
      </c>
      <c r="I2958" t="s">
        <v>262</v>
      </c>
    </row>
    <row r="2959" spans="1:9" x14ac:dyDescent="0.25">
      <c r="A2959" t="s">
        <v>264</v>
      </c>
      <c r="B2959" t="s">
        <v>258</v>
      </c>
      <c r="C2959" t="s">
        <v>777</v>
      </c>
      <c r="D2959" s="1">
        <v>45149</v>
      </c>
      <c r="E2959" t="s">
        <v>406</v>
      </c>
      <c r="F2959">
        <v>-1286.3399999999999</v>
      </c>
      <c r="G2959" t="s">
        <v>79</v>
      </c>
      <c r="H2959" t="s">
        <v>402</v>
      </c>
      <c r="I2959" t="s">
        <v>263</v>
      </c>
    </row>
    <row r="2960" spans="1:9" x14ac:dyDescent="0.25">
      <c r="A2960" t="s">
        <v>264</v>
      </c>
      <c r="B2960" t="s">
        <v>258</v>
      </c>
      <c r="C2960" t="s">
        <v>777</v>
      </c>
      <c r="D2960" s="1">
        <v>45163</v>
      </c>
      <c r="E2960" t="s">
        <v>407</v>
      </c>
      <c r="F2960">
        <v>958.77</v>
      </c>
      <c r="G2960" t="s">
        <v>79</v>
      </c>
      <c r="H2960" t="s">
        <v>402</v>
      </c>
      <c r="I2960" t="s">
        <v>262</v>
      </c>
    </row>
    <row r="2961" spans="1:9" x14ac:dyDescent="0.25">
      <c r="A2961" t="s">
        <v>264</v>
      </c>
      <c r="B2961" t="s">
        <v>258</v>
      </c>
      <c r="C2961" t="s">
        <v>777</v>
      </c>
      <c r="D2961" s="1">
        <v>45163</v>
      </c>
      <c r="E2961" t="s">
        <v>406</v>
      </c>
      <c r="F2961">
        <v>-1580.87</v>
      </c>
      <c r="G2961" t="s">
        <v>79</v>
      </c>
      <c r="H2961" t="s">
        <v>402</v>
      </c>
      <c r="I2961" t="s">
        <v>263</v>
      </c>
    </row>
    <row r="2962" spans="1:9" x14ac:dyDescent="0.25">
      <c r="A2962" t="s">
        <v>264</v>
      </c>
      <c r="B2962" t="s">
        <v>258</v>
      </c>
      <c r="C2962" t="s">
        <v>777</v>
      </c>
      <c r="D2962" s="1">
        <v>45177</v>
      </c>
      <c r="E2962" t="s">
        <v>407</v>
      </c>
      <c r="F2962">
        <v>192.85</v>
      </c>
      <c r="G2962" t="s">
        <v>79</v>
      </c>
      <c r="H2962" t="s">
        <v>402</v>
      </c>
      <c r="I2962" t="s">
        <v>262</v>
      </c>
    </row>
    <row r="2963" spans="1:9" x14ac:dyDescent="0.25">
      <c r="A2963" t="s">
        <v>264</v>
      </c>
      <c r="B2963" t="s">
        <v>258</v>
      </c>
      <c r="C2963" t="s">
        <v>777</v>
      </c>
      <c r="D2963" s="1">
        <v>45177</v>
      </c>
      <c r="E2963" t="s">
        <v>406</v>
      </c>
      <c r="F2963">
        <v>-1250.95</v>
      </c>
      <c r="G2963" t="s">
        <v>79</v>
      </c>
      <c r="H2963" t="s">
        <v>402</v>
      </c>
      <c r="I2963" t="s">
        <v>263</v>
      </c>
    </row>
    <row r="2964" spans="1:9" x14ac:dyDescent="0.25">
      <c r="A2964" t="s">
        <v>264</v>
      </c>
      <c r="B2964" t="s">
        <v>258</v>
      </c>
      <c r="C2964" t="s">
        <v>777</v>
      </c>
      <c r="D2964" s="1">
        <v>45191</v>
      </c>
      <c r="E2964" t="s">
        <v>407</v>
      </c>
      <c r="F2964">
        <v>1061.1300000000001</v>
      </c>
      <c r="G2964" t="s">
        <v>79</v>
      </c>
      <c r="H2964" t="s">
        <v>402</v>
      </c>
      <c r="I2964" t="s">
        <v>262</v>
      </c>
    </row>
    <row r="2965" spans="1:9" x14ac:dyDescent="0.25">
      <c r="A2965" t="s">
        <v>264</v>
      </c>
      <c r="B2965" t="s">
        <v>258</v>
      </c>
      <c r="C2965" t="s">
        <v>777</v>
      </c>
      <c r="D2965" s="1">
        <v>45191</v>
      </c>
      <c r="E2965" t="s">
        <v>406</v>
      </c>
      <c r="F2965">
        <v>-305.79000000000002</v>
      </c>
      <c r="G2965" t="s">
        <v>79</v>
      </c>
      <c r="H2965" t="s">
        <v>402</v>
      </c>
      <c r="I2965" t="s">
        <v>263</v>
      </c>
    </row>
    <row r="2966" spans="1:9" x14ac:dyDescent="0.25">
      <c r="A2966" t="s">
        <v>264</v>
      </c>
      <c r="B2966" t="s">
        <v>258</v>
      </c>
      <c r="C2966" t="s">
        <v>777</v>
      </c>
      <c r="D2966" s="1">
        <v>45205</v>
      </c>
      <c r="E2966" t="s">
        <v>407</v>
      </c>
      <c r="F2966">
        <v>681.32</v>
      </c>
      <c r="G2966" t="s">
        <v>79</v>
      </c>
      <c r="H2966" t="s">
        <v>402</v>
      </c>
      <c r="I2966" t="s">
        <v>262</v>
      </c>
    </row>
    <row r="2967" spans="1:9" x14ac:dyDescent="0.25">
      <c r="A2967" t="s">
        <v>264</v>
      </c>
      <c r="B2967" t="s">
        <v>258</v>
      </c>
      <c r="C2967" t="s">
        <v>777</v>
      </c>
      <c r="D2967" s="1">
        <v>45205</v>
      </c>
      <c r="E2967" t="s">
        <v>406</v>
      </c>
      <c r="F2967">
        <v>-391.82</v>
      </c>
      <c r="G2967" t="s">
        <v>79</v>
      </c>
      <c r="H2967" t="s">
        <v>402</v>
      </c>
      <c r="I2967" t="s">
        <v>263</v>
      </c>
    </row>
    <row r="2968" spans="1:9" x14ac:dyDescent="0.25">
      <c r="A2968" t="s">
        <v>264</v>
      </c>
      <c r="B2968" t="s">
        <v>258</v>
      </c>
      <c r="C2968" t="s">
        <v>777</v>
      </c>
      <c r="D2968" s="1">
        <v>45219</v>
      </c>
      <c r="E2968" t="s">
        <v>407</v>
      </c>
      <c r="F2968">
        <v>1601.81</v>
      </c>
      <c r="G2968" t="s">
        <v>79</v>
      </c>
      <c r="H2968" t="s">
        <v>402</v>
      </c>
      <c r="I2968" t="s">
        <v>262</v>
      </c>
    </row>
    <row r="2969" spans="1:9" x14ac:dyDescent="0.25">
      <c r="A2969" t="s">
        <v>264</v>
      </c>
      <c r="B2969" t="s">
        <v>258</v>
      </c>
      <c r="C2969" t="s">
        <v>777</v>
      </c>
      <c r="D2969" s="1">
        <v>45219</v>
      </c>
      <c r="E2969" t="s">
        <v>406</v>
      </c>
      <c r="F2969">
        <v>-333.94</v>
      </c>
      <c r="G2969" t="s">
        <v>79</v>
      </c>
      <c r="H2969" t="s">
        <v>402</v>
      </c>
      <c r="I2969" t="s">
        <v>263</v>
      </c>
    </row>
    <row r="2970" spans="1:9" x14ac:dyDescent="0.25">
      <c r="A2970" t="s">
        <v>264</v>
      </c>
      <c r="B2970" t="s">
        <v>258</v>
      </c>
      <c r="C2970" t="s">
        <v>777</v>
      </c>
      <c r="D2970" s="1">
        <v>45233</v>
      </c>
      <c r="E2970" t="s">
        <v>407</v>
      </c>
      <c r="F2970">
        <v>247.67</v>
      </c>
      <c r="G2970" t="s">
        <v>79</v>
      </c>
      <c r="H2970" t="s">
        <v>402</v>
      </c>
      <c r="I2970" t="s">
        <v>262</v>
      </c>
    </row>
    <row r="2971" spans="1:9" x14ac:dyDescent="0.25">
      <c r="A2971" t="s">
        <v>264</v>
      </c>
      <c r="B2971" t="s">
        <v>258</v>
      </c>
      <c r="C2971" t="s">
        <v>777</v>
      </c>
      <c r="D2971" s="1">
        <v>45233</v>
      </c>
      <c r="E2971" t="s">
        <v>406</v>
      </c>
      <c r="F2971">
        <v>-1014.94</v>
      </c>
      <c r="G2971" t="s">
        <v>79</v>
      </c>
      <c r="H2971" t="s">
        <v>402</v>
      </c>
      <c r="I2971" t="s">
        <v>263</v>
      </c>
    </row>
    <row r="2972" spans="1:9" x14ac:dyDescent="0.25">
      <c r="A2972" t="s">
        <v>264</v>
      </c>
      <c r="B2972" t="s">
        <v>258</v>
      </c>
      <c r="C2972" t="s">
        <v>777</v>
      </c>
      <c r="D2972" s="1">
        <v>45247</v>
      </c>
      <c r="E2972" t="s">
        <v>407</v>
      </c>
      <c r="F2972">
        <v>761.4</v>
      </c>
      <c r="G2972" t="s">
        <v>79</v>
      </c>
      <c r="H2972" t="s">
        <v>402</v>
      </c>
      <c r="I2972" t="s">
        <v>262</v>
      </c>
    </row>
    <row r="2973" spans="1:9" x14ac:dyDescent="0.25">
      <c r="A2973" t="s">
        <v>264</v>
      </c>
      <c r="B2973" t="s">
        <v>258</v>
      </c>
      <c r="C2973" t="s">
        <v>777</v>
      </c>
      <c r="D2973" s="1">
        <v>45247</v>
      </c>
      <c r="E2973" t="s">
        <v>406</v>
      </c>
      <c r="F2973">
        <v>-471.19</v>
      </c>
      <c r="G2973" t="s">
        <v>79</v>
      </c>
      <c r="H2973" t="s">
        <v>402</v>
      </c>
      <c r="I2973" t="s">
        <v>263</v>
      </c>
    </row>
    <row r="2974" spans="1:9" x14ac:dyDescent="0.25">
      <c r="A2974" t="s">
        <v>264</v>
      </c>
      <c r="B2974" t="s">
        <v>258</v>
      </c>
      <c r="C2974" t="s">
        <v>777</v>
      </c>
      <c r="D2974" s="1">
        <v>45261</v>
      </c>
      <c r="E2974" t="s">
        <v>407</v>
      </c>
      <c r="F2974">
        <v>1865.29</v>
      </c>
      <c r="G2974" t="s">
        <v>79</v>
      </c>
      <c r="H2974" t="s">
        <v>402</v>
      </c>
      <c r="I2974" t="s">
        <v>262</v>
      </c>
    </row>
    <row r="2975" spans="1:9" x14ac:dyDescent="0.25">
      <c r="A2975" t="s">
        <v>264</v>
      </c>
      <c r="B2975" t="s">
        <v>258</v>
      </c>
      <c r="C2975" t="s">
        <v>777</v>
      </c>
      <c r="D2975" s="1">
        <v>45261</v>
      </c>
      <c r="E2975" t="s">
        <v>406</v>
      </c>
      <c r="F2975">
        <v>-664.93</v>
      </c>
      <c r="G2975" t="s">
        <v>79</v>
      </c>
      <c r="H2975" t="s">
        <v>402</v>
      </c>
      <c r="I2975" t="s">
        <v>263</v>
      </c>
    </row>
    <row r="2976" spans="1:9" x14ac:dyDescent="0.25">
      <c r="A2976" t="s">
        <v>264</v>
      </c>
      <c r="B2976" t="s">
        <v>258</v>
      </c>
      <c r="C2976" t="s">
        <v>777</v>
      </c>
      <c r="D2976" s="1">
        <v>45275</v>
      </c>
      <c r="E2976" t="s">
        <v>407</v>
      </c>
      <c r="F2976">
        <v>523.61</v>
      </c>
      <c r="G2976" t="s">
        <v>79</v>
      </c>
      <c r="H2976" t="s">
        <v>402</v>
      </c>
      <c r="I2976" t="s">
        <v>262</v>
      </c>
    </row>
    <row r="2977" spans="1:9" x14ac:dyDescent="0.25">
      <c r="A2977" t="s">
        <v>264</v>
      </c>
      <c r="B2977" t="s">
        <v>258</v>
      </c>
      <c r="C2977" t="s">
        <v>777</v>
      </c>
      <c r="D2977" s="1">
        <v>45275</v>
      </c>
      <c r="E2977" t="s">
        <v>406</v>
      </c>
      <c r="F2977">
        <v>-484.32</v>
      </c>
      <c r="G2977" t="s">
        <v>79</v>
      </c>
      <c r="H2977" t="s">
        <v>402</v>
      </c>
      <c r="I2977" t="s">
        <v>263</v>
      </c>
    </row>
    <row r="2978" spans="1:9" x14ac:dyDescent="0.25">
      <c r="A2978" t="s">
        <v>264</v>
      </c>
      <c r="B2978" t="s">
        <v>258</v>
      </c>
      <c r="C2978" t="s">
        <v>777</v>
      </c>
      <c r="D2978" s="1">
        <v>45289</v>
      </c>
      <c r="E2978" t="s">
        <v>407</v>
      </c>
      <c r="F2978">
        <v>601.51</v>
      </c>
      <c r="G2978" t="s">
        <v>79</v>
      </c>
      <c r="H2978" t="s">
        <v>402</v>
      </c>
      <c r="I2978" t="s">
        <v>262</v>
      </c>
    </row>
    <row r="2979" spans="1:9" x14ac:dyDescent="0.25">
      <c r="A2979" t="s">
        <v>264</v>
      </c>
      <c r="B2979" t="s">
        <v>258</v>
      </c>
      <c r="C2979" t="s">
        <v>777</v>
      </c>
      <c r="D2979" s="1">
        <v>45289</v>
      </c>
      <c r="E2979" t="s">
        <v>406</v>
      </c>
      <c r="F2979">
        <v>-760.17</v>
      </c>
      <c r="G2979" t="s">
        <v>79</v>
      </c>
      <c r="H2979" t="s">
        <v>402</v>
      </c>
      <c r="I2979" t="s">
        <v>263</v>
      </c>
    </row>
    <row r="2980" spans="1:9" x14ac:dyDescent="0.25">
      <c r="A2980" t="s">
        <v>264</v>
      </c>
      <c r="B2980" t="s">
        <v>258</v>
      </c>
      <c r="C2980" t="s">
        <v>777</v>
      </c>
      <c r="D2980" s="1">
        <v>45303</v>
      </c>
      <c r="E2980" t="s">
        <v>407</v>
      </c>
      <c r="F2980">
        <v>383.12</v>
      </c>
      <c r="G2980" t="s">
        <v>79</v>
      </c>
      <c r="H2980" t="s">
        <v>402</v>
      </c>
      <c r="I2980" t="s">
        <v>262</v>
      </c>
    </row>
    <row r="2981" spans="1:9" x14ac:dyDescent="0.25">
      <c r="A2981" t="s">
        <v>264</v>
      </c>
      <c r="B2981" t="s">
        <v>258</v>
      </c>
      <c r="C2981" t="s">
        <v>777</v>
      </c>
      <c r="D2981" s="1">
        <v>45303</v>
      </c>
      <c r="E2981" t="s">
        <v>406</v>
      </c>
      <c r="F2981">
        <v>-843.16</v>
      </c>
      <c r="G2981" t="s">
        <v>79</v>
      </c>
      <c r="H2981" t="s">
        <v>402</v>
      </c>
      <c r="I2981" t="s">
        <v>263</v>
      </c>
    </row>
    <row r="2982" spans="1:9" x14ac:dyDescent="0.25">
      <c r="A2982" t="s">
        <v>264</v>
      </c>
      <c r="B2982" t="s">
        <v>258</v>
      </c>
      <c r="C2982" t="s">
        <v>777</v>
      </c>
      <c r="D2982" s="1">
        <v>45317</v>
      </c>
      <c r="E2982" t="s">
        <v>407</v>
      </c>
      <c r="F2982">
        <v>844.32</v>
      </c>
      <c r="G2982" t="s">
        <v>79</v>
      </c>
      <c r="H2982" t="s">
        <v>402</v>
      </c>
      <c r="I2982" t="s">
        <v>262</v>
      </c>
    </row>
    <row r="2983" spans="1:9" x14ac:dyDescent="0.25">
      <c r="A2983" t="s">
        <v>264</v>
      </c>
      <c r="B2983" t="s">
        <v>258</v>
      </c>
      <c r="C2983" t="s">
        <v>777</v>
      </c>
      <c r="D2983" s="1">
        <v>45317</v>
      </c>
      <c r="E2983" t="s">
        <v>406</v>
      </c>
      <c r="F2983">
        <v>-750.54</v>
      </c>
      <c r="G2983" t="s">
        <v>79</v>
      </c>
      <c r="H2983" t="s">
        <v>402</v>
      </c>
      <c r="I2983" t="s">
        <v>263</v>
      </c>
    </row>
    <row r="2984" spans="1:9" x14ac:dyDescent="0.25">
      <c r="A2984" t="s">
        <v>264</v>
      </c>
      <c r="B2984" t="s">
        <v>258</v>
      </c>
      <c r="C2984" t="s">
        <v>777</v>
      </c>
      <c r="D2984" s="1">
        <v>45331</v>
      </c>
      <c r="E2984" t="s">
        <v>407</v>
      </c>
      <c r="F2984">
        <v>421.79</v>
      </c>
      <c r="G2984" t="s">
        <v>79</v>
      </c>
      <c r="H2984" t="s">
        <v>402</v>
      </c>
      <c r="I2984" t="s">
        <v>262</v>
      </c>
    </row>
    <row r="2985" spans="1:9" x14ac:dyDescent="0.25">
      <c r="A2985" t="s">
        <v>264</v>
      </c>
      <c r="B2985" t="s">
        <v>258</v>
      </c>
      <c r="C2985" t="s">
        <v>777</v>
      </c>
      <c r="D2985" s="1">
        <v>45331</v>
      </c>
      <c r="E2985" t="s">
        <v>406</v>
      </c>
      <c r="F2985">
        <v>-236.76</v>
      </c>
      <c r="G2985" t="s">
        <v>79</v>
      </c>
      <c r="H2985" t="s">
        <v>402</v>
      </c>
      <c r="I2985" t="s">
        <v>263</v>
      </c>
    </row>
    <row r="2986" spans="1:9" x14ac:dyDescent="0.25">
      <c r="A2986" t="s">
        <v>264</v>
      </c>
      <c r="B2986" t="s">
        <v>258</v>
      </c>
      <c r="C2986" t="s">
        <v>777</v>
      </c>
      <c r="D2986" s="1">
        <v>45337</v>
      </c>
      <c r="E2986" t="s">
        <v>409</v>
      </c>
      <c r="F2986">
        <v>0</v>
      </c>
      <c r="G2986" t="s">
        <v>79</v>
      </c>
      <c r="H2986" t="s">
        <v>402</v>
      </c>
      <c r="I2986" t="s">
        <v>262</v>
      </c>
    </row>
    <row r="2987" spans="1:9" x14ac:dyDescent="0.25">
      <c r="A2987" t="s">
        <v>264</v>
      </c>
      <c r="B2987" t="s">
        <v>258</v>
      </c>
      <c r="C2987" t="s">
        <v>777</v>
      </c>
      <c r="D2987" s="1">
        <v>45337</v>
      </c>
      <c r="E2987" t="s">
        <v>410</v>
      </c>
      <c r="F2987">
        <v>0</v>
      </c>
      <c r="G2987" t="s">
        <v>79</v>
      </c>
      <c r="H2987" t="s">
        <v>402</v>
      </c>
      <c r="I2987" t="s">
        <v>262</v>
      </c>
    </row>
    <row r="2988" spans="1:9" x14ac:dyDescent="0.25">
      <c r="A2988" t="s">
        <v>264</v>
      </c>
      <c r="B2988" t="s">
        <v>258</v>
      </c>
      <c r="C2988" t="s">
        <v>777</v>
      </c>
      <c r="D2988" s="1">
        <v>45338</v>
      </c>
      <c r="E2988" t="s">
        <v>411</v>
      </c>
      <c r="F2988">
        <v>0</v>
      </c>
      <c r="G2988" t="s">
        <v>79</v>
      </c>
      <c r="H2988" t="s">
        <v>402</v>
      </c>
      <c r="I2988" t="s">
        <v>262</v>
      </c>
    </row>
    <row r="2989" spans="1:9" x14ac:dyDescent="0.25">
      <c r="A2989" t="s">
        <v>264</v>
      </c>
      <c r="B2989" t="s">
        <v>258</v>
      </c>
      <c r="C2989" t="s">
        <v>777</v>
      </c>
      <c r="D2989" s="1">
        <v>45338</v>
      </c>
      <c r="E2989" t="s">
        <v>412</v>
      </c>
      <c r="F2989">
        <v>0</v>
      </c>
      <c r="G2989" t="s">
        <v>79</v>
      </c>
      <c r="H2989" t="s">
        <v>402</v>
      </c>
      <c r="I2989" t="s">
        <v>262</v>
      </c>
    </row>
    <row r="2990" spans="1:9" x14ac:dyDescent="0.25">
      <c r="A2990" t="s">
        <v>264</v>
      </c>
      <c r="B2990" t="s">
        <v>258</v>
      </c>
      <c r="C2990" t="s">
        <v>777</v>
      </c>
      <c r="D2990" s="1">
        <v>45345</v>
      </c>
      <c r="E2990" t="s">
        <v>407</v>
      </c>
      <c r="F2990">
        <v>223.56</v>
      </c>
      <c r="G2990" t="s">
        <v>79</v>
      </c>
      <c r="H2990" t="s">
        <v>402</v>
      </c>
      <c r="I2990" t="s">
        <v>262</v>
      </c>
    </row>
    <row r="2991" spans="1:9" x14ac:dyDescent="0.25">
      <c r="A2991" t="s">
        <v>264</v>
      </c>
      <c r="B2991" t="s">
        <v>258</v>
      </c>
      <c r="C2991" t="s">
        <v>777</v>
      </c>
      <c r="D2991" s="1">
        <v>45345</v>
      </c>
      <c r="E2991" t="s">
        <v>406</v>
      </c>
      <c r="F2991">
        <v>-341.17</v>
      </c>
      <c r="G2991" t="s">
        <v>79</v>
      </c>
      <c r="H2991" t="s">
        <v>402</v>
      </c>
      <c r="I2991" t="s">
        <v>263</v>
      </c>
    </row>
    <row r="2992" spans="1:9" x14ac:dyDescent="0.25">
      <c r="A2992" t="s">
        <v>264</v>
      </c>
      <c r="B2992" t="s">
        <v>258</v>
      </c>
      <c r="C2992" t="s">
        <v>777</v>
      </c>
      <c r="D2992" s="1">
        <v>45359</v>
      </c>
      <c r="E2992" t="s">
        <v>407</v>
      </c>
      <c r="F2992">
        <v>1960.6</v>
      </c>
      <c r="G2992" t="s">
        <v>79</v>
      </c>
      <c r="H2992" t="s">
        <v>402</v>
      </c>
      <c r="I2992" t="s">
        <v>262</v>
      </c>
    </row>
    <row r="2993" spans="1:9" x14ac:dyDescent="0.25">
      <c r="A2993" t="s">
        <v>264</v>
      </c>
      <c r="B2993" t="s">
        <v>258</v>
      </c>
      <c r="C2993" t="s">
        <v>777</v>
      </c>
      <c r="D2993" s="1">
        <v>45359</v>
      </c>
      <c r="E2993" t="s">
        <v>406</v>
      </c>
      <c r="F2993">
        <v>-1460.43</v>
      </c>
      <c r="G2993" t="s">
        <v>79</v>
      </c>
      <c r="H2993" t="s">
        <v>402</v>
      </c>
      <c r="I2993" t="s">
        <v>263</v>
      </c>
    </row>
    <row r="2994" spans="1:9" x14ac:dyDescent="0.25">
      <c r="A2994" t="s">
        <v>264</v>
      </c>
      <c r="B2994" t="s">
        <v>258</v>
      </c>
      <c r="C2994" t="s">
        <v>777</v>
      </c>
      <c r="D2994" s="1">
        <v>45373</v>
      </c>
      <c r="E2994" t="s">
        <v>407</v>
      </c>
      <c r="F2994">
        <v>1896.33</v>
      </c>
      <c r="G2994" t="s">
        <v>79</v>
      </c>
      <c r="H2994" t="s">
        <v>402</v>
      </c>
      <c r="I2994" t="s">
        <v>262</v>
      </c>
    </row>
    <row r="2995" spans="1:9" x14ac:dyDescent="0.25">
      <c r="A2995" t="s">
        <v>264</v>
      </c>
      <c r="B2995" t="s">
        <v>258</v>
      </c>
      <c r="C2995" t="s">
        <v>777</v>
      </c>
      <c r="D2995" s="1">
        <v>45373</v>
      </c>
      <c r="E2995" t="s">
        <v>406</v>
      </c>
      <c r="F2995">
        <v>-1727.02</v>
      </c>
      <c r="G2995" t="s">
        <v>79</v>
      </c>
      <c r="H2995" t="s">
        <v>402</v>
      </c>
      <c r="I2995" t="s">
        <v>263</v>
      </c>
    </row>
    <row r="2996" spans="1:9" x14ac:dyDescent="0.25">
      <c r="A2996" t="s">
        <v>264</v>
      </c>
      <c r="B2996" t="s">
        <v>258</v>
      </c>
      <c r="C2996" t="s">
        <v>778</v>
      </c>
      <c r="D2996" s="1">
        <v>45023</v>
      </c>
      <c r="E2996" t="s">
        <v>406</v>
      </c>
      <c r="F2996">
        <v>-1176.08</v>
      </c>
      <c r="G2996" t="s">
        <v>79</v>
      </c>
      <c r="H2996" t="s">
        <v>402</v>
      </c>
      <c r="I2996" t="s">
        <v>263</v>
      </c>
    </row>
    <row r="2997" spans="1:9" x14ac:dyDescent="0.25">
      <c r="A2997" t="s">
        <v>264</v>
      </c>
      <c r="B2997" t="s">
        <v>258</v>
      </c>
      <c r="C2997" t="s">
        <v>778</v>
      </c>
      <c r="D2997" s="1">
        <v>45027</v>
      </c>
      <c r="E2997" t="s">
        <v>413</v>
      </c>
      <c r="F2997">
        <v>64.319999999999993</v>
      </c>
      <c r="G2997" t="s">
        <v>79</v>
      </c>
      <c r="H2997" t="s">
        <v>402</v>
      </c>
      <c r="I2997" t="s">
        <v>262</v>
      </c>
    </row>
    <row r="2998" spans="1:9" x14ac:dyDescent="0.25">
      <c r="A2998" t="s">
        <v>264</v>
      </c>
      <c r="B2998" t="s">
        <v>258</v>
      </c>
      <c r="C2998" t="s">
        <v>778</v>
      </c>
      <c r="D2998" s="1">
        <v>45037</v>
      </c>
      <c r="E2998" t="s">
        <v>413</v>
      </c>
      <c r="F2998">
        <v>618.91999999999996</v>
      </c>
      <c r="G2998" t="s">
        <v>79</v>
      </c>
      <c r="H2998" t="s">
        <v>402</v>
      </c>
      <c r="I2998" t="s">
        <v>262</v>
      </c>
    </row>
    <row r="2999" spans="1:9" x14ac:dyDescent="0.25">
      <c r="A2999" t="s">
        <v>264</v>
      </c>
      <c r="B2999" t="s">
        <v>258</v>
      </c>
      <c r="C2999" t="s">
        <v>778</v>
      </c>
      <c r="D2999" s="1">
        <v>45037</v>
      </c>
      <c r="E2999" t="s">
        <v>406</v>
      </c>
      <c r="F2999">
        <v>-603.13</v>
      </c>
      <c r="G2999" t="s">
        <v>79</v>
      </c>
      <c r="H2999" t="s">
        <v>402</v>
      </c>
      <c r="I2999" t="s">
        <v>263</v>
      </c>
    </row>
    <row r="3000" spans="1:9" x14ac:dyDescent="0.25">
      <c r="A3000" t="s">
        <v>264</v>
      </c>
      <c r="B3000" t="s">
        <v>258</v>
      </c>
      <c r="C3000" t="s">
        <v>778</v>
      </c>
      <c r="D3000" s="1">
        <v>45051</v>
      </c>
      <c r="E3000" t="s">
        <v>413</v>
      </c>
      <c r="F3000">
        <v>775.69</v>
      </c>
      <c r="G3000" t="s">
        <v>79</v>
      </c>
      <c r="H3000" t="s">
        <v>402</v>
      </c>
      <c r="I3000" t="s">
        <v>262</v>
      </c>
    </row>
    <row r="3001" spans="1:9" x14ac:dyDescent="0.25">
      <c r="A3001" t="s">
        <v>264</v>
      </c>
      <c r="B3001" t="s">
        <v>258</v>
      </c>
      <c r="C3001" t="s">
        <v>778</v>
      </c>
      <c r="D3001" s="1">
        <v>45051</v>
      </c>
      <c r="E3001" t="s">
        <v>406</v>
      </c>
      <c r="F3001">
        <v>-246.4</v>
      </c>
      <c r="G3001" t="s">
        <v>79</v>
      </c>
      <c r="H3001" t="s">
        <v>402</v>
      </c>
      <c r="I3001" t="s">
        <v>263</v>
      </c>
    </row>
    <row r="3002" spans="1:9" x14ac:dyDescent="0.25">
      <c r="A3002" t="s">
        <v>264</v>
      </c>
      <c r="B3002" t="s">
        <v>258</v>
      </c>
      <c r="C3002" t="s">
        <v>778</v>
      </c>
      <c r="D3002" s="1">
        <v>45065</v>
      </c>
      <c r="E3002" t="s">
        <v>413</v>
      </c>
      <c r="F3002">
        <v>1013.42</v>
      </c>
      <c r="G3002" t="s">
        <v>79</v>
      </c>
      <c r="H3002" t="s">
        <v>402</v>
      </c>
      <c r="I3002" t="s">
        <v>262</v>
      </c>
    </row>
    <row r="3003" spans="1:9" x14ac:dyDescent="0.25">
      <c r="A3003" t="s">
        <v>264</v>
      </c>
      <c r="B3003" t="s">
        <v>258</v>
      </c>
      <c r="C3003" t="s">
        <v>778</v>
      </c>
      <c r="D3003" s="1">
        <v>45065</v>
      </c>
      <c r="E3003" t="s">
        <v>406</v>
      </c>
      <c r="F3003">
        <v>-424.25</v>
      </c>
      <c r="G3003" t="s">
        <v>79</v>
      </c>
      <c r="H3003" t="s">
        <v>402</v>
      </c>
      <c r="I3003" t="s">
        <v>263</v>
      </c>
    </row>
    <row r="3004" spans="1:9" x14ac:dyDescent="0.25">
      <c r="A3004" t="s">
        <v>264</v>
      </c>
      <c r="B3004" t="s">
        <v>258</v>
      </c>
      <c r="C3004" t="s">
        <v>778</v>
      </c>
      <c r="D3004" s="1">
        <v>45079</v>
      </c>
      <c r="E3004" t="s">
        <v>413</v>
      </c>
      <c r="F3004">
        <v>1726.36</v>
      </c>
      <c r="G3004" t="s">
        <v>79</v>
      </c>
      <c r="H3004" t="s">
        <v>402</v>
      </c>
      <c r="I3004" t="s">
        <v>262</v>
      </c>
    </row>
    <row r="3005" spans="1:9" x14ac:dyDescent="0.25">
      <c r="A3005" t="s">
        <v>264</v>
      </c>
      <c r="B3005" t="s">
        <v>258</v>
      </c>
      <c r="C3005" t="s">
        <v>778</v>
      </c>
      <c r="D3005" s="1">
        <v>45079</v>
      </c>
      <c r="E3005" t="s">
        <v>406</v>
      </c>
      <c r="F3005">
        <v>-1136.8699999999999</v>
      </c>
      <c r="G3005" t="s">
        <v>79</v>
      </c>
      <c r="H3005" t="s">
        <v>402</v>
      </c>
      <c r="I3005" t="s">
        <v>263</v>
      </c>
    </row>
    <row r="3006" spans="1:9" x14ac:dyDescent="0.25">
      <c r="A3006" t="s">
        <v>264</v>
      </c>
      <c r="B3006" t="s">
        <v>258</v>
      </c>
      <c r="C3006" t="s">
        <v>778</v>
      </c>
      <c r="D3006" s="1">
        <v>45093</v>
      </c>
      <c r="E3006" t="s">
        <v>413</v>
      </c>
      <c r="F3006">
        <v>1995.96</v>
      </c>
      <c r="G3006" t="s">
        <v>79</v>
      </c>
      <c r="H3006" t="s">
        <v>402</v>
      </c>
      <c r="I3006" t="s">
        <v>262</v>
      </c>
    </row>
    <row r="3007" spans="1:9" x14ac:dyDescent="0.25">
      <c r="A3007" t="s">
        <v>264</v>
      </c>
      <c r="B3007" t="s">
        <v>258</v>
      </c>
      <c r="C3007" t="s">
        <v>778</v>
      </c>
      <c r="D3007" s="1">
        <v>45093</v>
      </c>
      <c r="E3007" t="s">
        <v>406</v>
      </c>
      <c r="F3007">
        <v>-1160.3499999999999</v>
      </c>
      <c r="G3007" t="s">
        <v>79</v>
      </c>
      <c r="H3007" t="s">
        <v>402</v>
      </c>
      <c r="I3007" t="s">
        <v>263</v>
      </c>
    </row>
    <row r="3008" spans="1:9" x14ac:dyDescent="0.25">
      <c r="A3008" t="s">
        <v>264</v>
      </c>
      <c r="B3008" t="s">
        <v>258</v>
      </c>
      <c r="C3008" t="s">
        <v>778</v>
      </c>
      <c r="D3008" s="1">
        <v>45098</v>
      </c>
      <c r="E3008" t="s">
        <v>408</v>
      </c>
      <c r="F3008">
        <v>717.73</v>
      </c>
      <c r="G3008" t="s">
        <v>79</v>
      </c>
      <c r="H3008" t="s">
        <v>402</v>
      </c>
      <c r="I3008" t="s">
        <v>262</v>
      </c>
    </row>
    <row r="3009" spans="1:9" x14ac:dyDescent="0.25">
      <c r="A3009" t="s">
        <v>264</v>
      </c>
      <c r="B3009" t="s">
        <v>258</v>
      </c>
      <c r="C3009" t="s">
        <v>778</v>
      </c>
      <c r="D3009" s="1">
        <v>45107</v>
      </c>
      <c r="E3009" t="s">
        <v>413</v>
      </c>
      <c r="F3009">
        <v>1563.97</v>
      </c>
      <c r="G3009" t="s">
        <v>79</v>
      </c>
      <c r="H3009" t="s">
        <v>402</v>
      </c>
      <c r="I3009" t="s">
        <v>262</v>
      </c>
    </row>
    <row r="3010" spans="1:9" x14ac:dyDescent="0.25">
      <c r="A3010" t="s">
        <v>264</v>
      </c>
      <c r="B3010" t="s">
        <v>258</v>
      </c>
      <c r="C3010" t="s">
        <v>778</v>
      </c>
      <c r="D3010" s="1">
        <v>45107</v>
      </c>
      <c r="E3010" t="s">
        <v>406</v>
      </c>
      <c r="F3010">
        <v>-266.11</v>
      </c>
      <c r="G3010" t="s">
        <v>79</v>
      </c>
      <c r="H3010" t="s">
        <v>402</v>
      </c>
      <c r="I3010" t="s">
        <v>263</v>
      </c>
    </row>
    <row r="3011" spans="1:9" x14ac:dyDescent="0.25">
      <c r="A3011" t="s">
        <v>264</v>
      </c>
      <c r="B3011" t="s">
        <v>258</v>
      </c>
      <c r="C3011" t="s">
        <v>778</v>
      </c>
      <c r="D3011" s="1">
        <v>45121</v>
      </c>
      <c r="E3011" t="s">
        <v>413</v>
      </c>
      <c r="F3011">
        <v>1206.74</v>
      </c>
      <c r="G3011" t="s">
        <v>79</v>
      </c>
      <c r="H3011" t="s">
        <v>402</v>
      </c>
      <c r="I3011" t="s">
        <v>262</v>
      </c>
    </row>
    <row r="3012" spans="1:9" x14ac:dyDescent="0.25">
      <c r="A3012" t="s">
        <v>264</v>
      </c>
      <c r="B3012" t="s">
        <v>258</v>
      </c>
      <c r="C3012" t="s">
        <v>778</v>
      </c>
      <c r="D3012" s="1">
        <v>45121</v>
      </c>
      <c r="E3012" t="s">
        <v>406</v>
      </c>
      <c r="F3012">
        <v>-1506.9</v>
      </c>
      <c r="G3012" t="s">
        <v>79</v>
      </c>
      <c r="H3012" t="s">
        <v>402</v>
      </c>
      <c r="I3012" t="s">
        <v>263</v>
      </c>
    </row>
    <row r="3013" spans="1:9" x14ac:dyDescent="0.25">
      <c r="A3013" t="s">
        <v>264</v>
      </c>
      <c r="B3013" t="s">
        <v>258</v>
      </c>
      <c r="C3013" t="s">
        <v>778</v>
      </c>
      <c r="D3013" s="1">
        <v>45135</v>
      </c>
      <c r="E3013" t="s">
        <v>413</v>
      </c>
      <c r="F3013">
        <v>1459.99</v>
      </c>
      <c r="G3013" t="s">
        <v>79</v>
      </c>
      <c r="H3013" t="s">
        <v>402</v>
      </c>
      <c r="I3013" t="s">
        <v>262</v>
      </c>
    </row>
    <row r="3014" spans="1:9" x14ac:dyDescent="0.25">
      <c r="A3014" t="s">
        <v>264</v>
      </c>
      <c r="B3014" t="s">
        <v>258</v>
      </c>
      <c r="C3014" t="s">
        <v>778</v>
      </c>
      <c r="D3014" s="1">
        <v>45135</v>
      </c>
      <c r="E3014" t="s">
        <v>406</v>
      </c>
      <c r="F3014">
        <v>-1282.3</v>
      </c>
      <c r="G3014" t="s">
        <v>79</v>
      </c>
      <c r="H3014" t="s">
        <v>402</v>
      </c>
      <c r="I3014" t="s">
        <v>263</v>
      </c>
    </row>
    <row r="3015" spans="1:9" x14ac:dyDescent="0.25">
      <c r="A3015" t="s">
        <v>264</v>
      </c>
      <c r="B3015" t="s">
        <v>258</v>
      </c>
      <c r="C3015" t="s">
        <v>778</v>
      </c>
      <c r="D3015" s="1">
        <v>45149</v>
      </c>
      <c r="E3015" t="s">
        <v>413</v>
      </c>
      <c r="F3015">
        <v>1844.08</v>
      </c>
      <c r="G3015" t="s">
        <v>79</v>
      </c>
      <c r="H3015" t="s">
        <v>402</v>
      </c>
      <c r="I3015" t="s">
        <v>262</v>
      </c>
    </row>
    <row r="3016" spans="1:9" x14ac:dyDescent="0.25">
      <c r="A3016" t="s">
        <v>264</v>
      </c>
      <c r="B3016" t="s">
        <v>258</v>
      </c>
      <c r="C3016" t="s">
        <v>778</v>
      </c>
      <c r="D3016" s="1">
        <v>45149</v>
      </c>
      <c r="E3016" t="s">
        <v>406</v>
      </c>
      <c r="F3016">
        <v>-1496.12</v>
      </c>
      <c r="G3016" t="s">
        <v>79</v>
      </c>
      <c r="H3016" t="s">
        <v>402</v>
      </c>
      <c r="I3016" t="s">
        <v>263</v>
      </c>
    </row>
    <row r="3017" spans="1:9" x14ac:dyDescent="0.25">
      <c r="A3017" t="s">
        <v>264</v>
      </c>
      <c r="B3017" t="s">
        <v>258</v>
      </c>
      <c r="C3017" t="s">
        <v>778</v>
      </c>
      <c r="D3017" s="1">
        <v>45163</v>
      </c>
      <c r="E3017" t="s">
        <v>413</v>
      </c>
      <c r="F3017">
        <v>1418.8</v>
      </c>
      <c r="G3017" t="s">
        <v>79</v>
      </c>
      <c r="H3017" t="s">
        <v>402</v>
      </c>
      <c r="I3017" t="s">
        <v>262</v>
      </c>
    </row>
    <row r="3018" spans="1:9" x14ac:dyDescent="0.25">
      <c r="A3018" t="s">
        <v>264</v>
      </c>
      <c r="B3018" t="s">
        <v>258</v>
      </c>
      <c r="C3018" t="s">
        <v>778</v>
      </c>
      <c r="D3018" s="1">
        <v>45163</v>
      </c>
      <c r="E3018" t="s">
        <v>406</v>
      </c>
      <c r="F3018">
        <v>-448.15</v>
      </c>
      <c r="G3018" t="s">
        <v>79</v>
      </c>
      <c r="H3018" t="s">
        <v>402</v>
      </c>
      <c r="I3018" t="s">
        <v>263</v>
      </c>
    </row>
    <row r="3019" spans="1:9" x14ac:dyDescent="0.25">
      <c r="A3019" t="s">
        <v>264</v>
      </c>
      <c r="B3019" t="s">
        <v>258</v>
      </c>
      <c r="C3019" t="s">
        <v>778</v>
      </c>
      <c r="D3019" s="1">
        <v>45177</v>
      </c>
      <c r="E3019" t="s">
        <v>413</v>
      </c>
      <c r="F3019">
        <v>633.99</v>
      </c>
      <c r="G3019" t="s">
        <v>79</v>
      </c>
      <c r="H3019" t="s">
        <v>402</v>
      </c>
      <c r="I3019" t="s">
        <v>262</v>
      </c>
    </row>
    <row r="3020" spans="1:9" x14ac:dyDescent="0.25">
      <c r="A3020" t="s">
        <v>264</v>
      </c>
      <c r="B3020" t="s">
        <v>258</v>
      </c>
      <c r="C3020" t="s">
        <v>778</v>
      </c>
      <c r="D3020" s="1">
        <v>45177</v>
      </c>
      <c r="E3020" t="s">
        <v>406</v>
      </c>
      <c r="F3020">
        <v>-401.48</v>
      </c>
      <c r="G3020" t="s">
        <v>79</v>
      </c>
      <c r="H3020" t="s">
        <v>402</v>
      </c>
      <c r="I3020" t="s">
        <v>263</v>
      </c>
    </row>
    <row r="3021" spans="1:9" x14ac:dyDescent="0.25">
      <c r="A3021" t="s">
        <v>264</v>
      </c>
      <c r="B3021" t="s">
        <v>258</v>
      </c>
      <c r="C3021" t="s">
        <v>778</v>
      </c>
      <c r="D3021" s="1">
        <v>45191</v>
      </c>
      <c r="E3021" t="s">
        <v>413</v>
      </c>
      <c r="F3021">
        <v>1083.6300000000001</v>
      </c>
      <c r="G3021" t="s">
        <v>79</v>
      </c>
      <c r="H3021" t="s">
        <v>402</v>
      </c>
      <c r="I3021" t="s">
        <v>262</v>
      </c>
    </row>
    <row r="3022" spans="1:9" x14ac:dyDescent="0.25">
      <c r="A3022" t="s">
        <v>264</v>
      </c>
      <c r="B3022" t="s">
        <v>258</v>
      </c>
      <c r="C3022" t="s">
        <v>778</v>
      </c>
      <c r="D3022" s="1">
        <v>45191</v>
      </c>
      <c r="E3022" t="s">
        <v>406</v>
      </c>
      <c r="F3022">
        <v>-1231.24</v>
      </c>
      <c r="G3022" t="s">
        <v>79</v>
      </c>
      <c r="H3022" t="s">
        <v>402</v>
      </c>
      <c r="I3022" t="s">
        <v>263</v>
      </c>
    </row>
    <row r="3023" spans="1:9" x14ac:dyDescent="0.25">
      <c r="A3023" t="s">
        <v>264</v>
      </c>
      <c r="B3023" t="s">
        <v>258</v>
      </c>
      <c r="C3023" t="s">
        <v>778</v>
      </c>
      <c r="D3023" s="1">
        <v>45205</v>
      </c>
      <c r="E3023" t="s">
        <v>413</v>
      </c>
      <c r="F3023">
        <v>1333.79</v>
      </c>
      <c r="G3023" t="s">
        <v>79</v>
      </c>
      <c r="H3023" t="s">
        <v>402</v>
      </c>
      <c r="I3023" t="s">
        <v>262</v>
      </c>
    </row>
    <row r="3024" spans="1:9" x14ac:dyDescent="0.25">
      <c r="A3024" t="s">
        <v>264</v>
      </c>
      <c r="B3024" t="s">
        <v>258</v>
      </c>
      <c r="C3024" t="s">
        <v>778</v>
      </c>
      <c r="D3024" s="1">
        <v>45205</v>
      </c>
      <c r="E3024" t="s">
        <v>406</v>
      </c>
      <c r="F3024">
        <v>-1601.96</v>
      </c>
      <c r="G3024" t="s">
        <v>79</v>
      </c>
      <c r="H3024" t="s">
        <v>402</v>
      </c>
      <c r="I3024" t="s">
        <v>263</v>
      </c>
    </row>
    <row r="3025" spans="1:9" x14ac:dyDescent="0.25">
      <c r="A3025" t="s">
        <v>264</v>
      </c>
      <c r="B3025" t="s">
        <v>258</v>
      </c>
      <c r="C3025" t="s">
        <v>778</v>
      </c>
      <c r="D3025" s="1">
        <v>45219</v>
      </c>
      <c r="E3025" t="s">
        <v>413</v>
      </c>
      <c r="F3025">
        <v>1387.96</v>
      </c>
      <c r="G3025" t="s">
        <v>79</v>
      </c>
      <c r="H3025" t="s">
        <v>402</v>
      </c>
      <c r="I3025" t="s">
        <v>262</v>
      </c>
    </row>
    <row r="3026" spans="1:9" x14ac:dyDescent="0.25">
      <c r="A3026" t="s">
        <v>264</v>
      </c>
      <c r="B3026" t="s">
        <v>258</v>
      </c>
      <c r="C3026" t="s">
        <v>778</v>
      </c>
      <c r="D3026" s="1">
        <v>45219</v>
      </c>
      <c r="E3026" t="s">
        <v>406</v>
      </c>
      <c r="F3026">
        <v>-1494.75</v>
      </c>
      <c r="G3026" t="s">
        <v>79</v>
      </c>
      <c r="H3026" t="s">
        <v>402</v>
      </c>
      <c r="I3026" t="s">
        <v>263</v>
      </c>
    </row>
    <row r="3027" spans="1:9" x14ac:dyDescent="0.25">
      <c r="A3027" t="s">
        <v>264</v>
      </c>
      <c r="B3027" t="s">
        <v>258</v>
      </c>
      <c r="C3027" t="s">
        <v>778</v>
      </c>
      <c r="D3027" s="1">
        <v>45233</v>
      </c>
      <c r="E3027" t="s">
        <v>413</v>
      </c>
      <c r="F3027">
        <v>1912.29</v>
      </c>
      <c r="G3027" t="s">
        <v>79</v>
      </c>
      <c r="H3027" t="s">
        <v>402</v>
      </c>
      <c r="I3027" t="s">
        <v>262</v>
      </c>
    </row>
    <row r="3028" spans="1:9" x14ac:dyDescent="0.25">
      <c r="A3028" t="s">
        <v>264</v>
      </c>
      <c r="B3028" t="s">
        <v>258</v>
      </c>
      <c r="C3028" t="s">
        <v>778</v>
      </c>
      <c r="D3028" s="1">
        <v>45233</v>
      </c>
      <c r="E3028" t="s">
        <v>406</v>
      </c>
      <c r="F3028">
        <v>-1318.63</v>
      </c>
      <c r="G3028" t="s">
        <v>79</v>
      </c>
      <c r="H3028" t="s">
        <v>402</v>
      </c>
      <c r="I3028" t="s">
        <v>263</v>
      </c>
    </row>
    <row r="3029" spans="1:9" x14ac:dyDescent="0.25">
      <c r="A3029" t="s">
        <v>264</v>
      </c>
      <c r="B3029" t="s">
        <v>258</v>
      </c>
      <c r="C3029" t="s">
        <v>778</v>
      </c>
      <c r="D3029" s="1">
        <v>45247</v>
      </c>
      <c r="E3029" t="s">
        <v>413</v>
      </c>
      <c r="F3029">
        <v>1555.88</v>
      </c>
      <c r="G3029" t="s">
        <v>79</v>
      </c>
      <c r="H3029" t="s">
        <v>402</v>
      </c>
      <c r="I3029" t="s">
        <v>262</v>
      </c>
    </row>
    <row r="3030" spans="1:9" x14ac:dyDescent="0.25">
      <c r="A3030" t="s">
        <v>264</v>
      </c>
      <c r="B3030" t="s">
        <v>258</v>
      </c>
      <c r="C3030" t="s">
        <v>778</v>
      </c>
      <c r="D3030" s="1">
        <v>45247</v>
      </c>
      <c r="E3030" t="s">
        <v>406</v>
      </c>
      <c r="F3030">
        <v>-248.12</v>
      </c>
      <c r="G3030" t="s">
        <v>79</v>
      </c>
      <c r="H3030" t="s">
        <v>402</v>
      </c>
      <c r="I3030" t="s">
        <v>263</v>
      </c>
    </row>
    <row r="3031" spans="1:9" x14ac:dyDescent="0.25">
      <c r="A3031" t="s">
        <v>264</v>
      </c>
      <c r="B3031" t="s">
        <v>258</v>
      </c>
      <c r="C3031" t="s">
        <v>778</v>
      </c>
      <c r="D3031" s="1">
        <v>45261</v>
      </c>
      <c r="E3031" t="s">
        <v>413</v>
      </c>
      <c r="F3031">
        <v>1113.79</v>
      </c>
      <c r="G3031" t="s">
        <v>79</v>
      </c>
      <c r="H3031" t="s">
        <v>402</v>
      </c>
      <c r="I3031" t="s">
        <v>262</v>
      </c>
    </row>
    <row r="3032" spans="1:9" x14ac:dyDescent="0.25">
      <c r="A3032" t="s">
        <v>264</v>
      </c>
      <c r="B3032" t="s">
        <v>258</v>
      </c>
      <c r="C3032" t="s">
        <v>778</v>
      </c>
      <c r="D3032" s="1">
        <v>45261</v>
      </c>
      <c r="E3032" t="s">
        <v>406</v>
      </c>
      <c r="F3032">
        <v>-565.54999999999995</v>
      </c>
      <c r="G3032" t="s">
        <v>79</v>
      </c>
      <c r="H3032" t="s">
        <v>402</v>
      </c>
      <c r="I3032" t="s">
        <v>263</v>
      </c>
    </row>
    <row r="3033" spans="1:9" x14ac:dyDescent="0.25">
      <c r="A3033" t="s">
        <v>264</v>
      </c>
      <c r="B3033" t="s">
        <v>258</v>
      </c>
      <c r="C3033" t="s">
        <v>778</v>
      </c>
      <c r="D3033" s="1">
        <v>45275</v>
      </c>
      <c r="E3033" t="s">
        <v>413</v>
      </c>
      <c r="F3033">
        <v>578.36</v>
      </c>
      <c r="G3033" t="s">
        <v>79</v>
      </c>
      <c r="H3033" t="s">
        <v>402</v>
      </c>
      <c r="I3033" t="s">
        <v>262</v>
      </c>
    </row>
    <row r="3034" spans="1:9" x14ac:dyDescent="0.25">
      <c r="A3034" t="s">
        <v>264</v>
      </c>
      <c r="B3034" t="s">
        <v>258</v>
      </c>
      <c r="C3034" t="s">
        <v>778</v>
      </c>
      <c r="D3034" s="1">
        <v>45275</v>
      </c>
      <c r="E3034" t="s">
        <v>406</v>
      </c>
      <c r="F3034">
        <v>-373.51</v>
      </c>
      <c r="G3034" t="s">
        <v>79</v>
      </c>
      <c r="H3034" t="s">
        <v>402</v>
      </c>
      <c r="I3034" t="s">
        <v>263</v>
      </c>
    </row>
    <row r="3035" spans="1:9" x14ac:dyDescent="0.25">
      <c r="A3035" t="s">
        <v>264</v>
      </c>
      <c r="B3035" t="s">
        <v>258</v>
      </c>
      <c r="C3035" t="s">
        <v>778</v>
      </c>
      <c r="D3035" s="1">
        <v>45289</v>
      </c>
      <c r="E3035" t="s">
        <v>413</v>
      </c>
      <c r="F3035">
        <v>869.77</v>
      </c>
      <c r="G3035" t="s">
        <v>79</v>
      </c>
      <c r="H3035" t="s">
        <v>402</v>
      </c>
      <c r="I3035" t="s">
        <v>262</v>
      </c>
    </row>
    <row r="3036" spans="1:9" x14ac:dyDescent="0.25">
      <c r="A3036" t="s">
        <v>264</v>
      </c>
      <c r="B3036" t="s">
        <v>258</v>
      </c>
      <c r="C3036" t="s">
        <v>778</v>
      </c>
      <c r="D3036" s="1">
        <v>45289</v>
      </c>
      <c r="E3036" t="s">
        <v>406</v>
      </c>
      <c r="F3036">
        <v>-724.75</v>
      </c>
      <c r="G3036" t="s">
        <v>79</v>
      </c>
      <c r="H3036" t="s">
        <v>402</v>
      </c>
      <c r="I3036" t="s">
        <v>263</v>
      </c>
    </row>
    <row r="3037" spans="1:9" x14ac:dyDescent="0.25">
      <c r="A3037" t="s">
        <v>264</v>
      </c>
      <c r="B3037" t="s">
        <v>258</v>
      </c>
      <c r="C3037" t="s">
        <v>778</v>
      </c>
      <c r="D3037" s="1">
        <v>45303</v>
      </c>
      <c r="E3037" t="s">
        <v>413</v>
      </c>
      <c r="F3037">
        <v>1116.71</v>
      </c>
      <c r="G3037" t="s">
        <v>79</v>
      </c>
      <c r="H3037" t="s">
        <v>402</v>
      </c>
      <c r="I3037" t="s">
        <v>262</v>
      </c>
    </row>
    <row r="3038" spans="1:9" x14ac:dyDescent="0.25">
      <c r="A3038" t="s">
        <v>264</v>
      </c>
      <c r="B3038" t="s">
        <v>258</v>
      </c>
      <c r="C3038" t="s">
        <v>778</v>
      </c>
      <c r="D3038" s="1">
        <v>45303</v>
      </c>
      <c r="E3038" t="s">
        <v>406</v>
      </c>
      <c r="F3038">
        <v>-759.61</v>
      </c>
      <c r="G3038" t="s">
        <v>79</v>
      </c>
      <c r="H3038" t="s">
        <v>402</v>
      </c>
      <c r="I3038" t="s">
        <v>263</v>
      </c>
    </row>
    <row r="3039" spans="1:9" x14ac:dyDescent="0.25">
      <c r="A3039" t="s">
        <v>264</v>
      </c>
      <c r="B3039" t="s">
        <v>258</v>
      </c>
      <c r="C3039" t="s">
        <v>778</v>
      </c>
      <c r="D3039" s="1">
        <v>45317</v>
      </c>
      <c r="E3039" t="s">
        <v>413</v>
      </c>
      <c r="F3039">
        <v>126.16</v>
      </c>
      <c r="G3039" t="s">
        <v>79</v>
      </c>
      <c r="H3039" t="s">
        <v>402</v>
      </c>
      <c r="I3039" t="s">
        <v>262</v>
      </c>
    </row>
    <row r="3040" spans="1:9" x14ac:dyDescent="0.25">
      <c r="A3040" t="s">
        <v>264</v>
      </c>
      <c r="B3040" t="s">
        <v>258</v>
      </c>
      <c r="C3040" t="s">
        <v>778</v>
      </c>
      <c r="D3040" s="1">
        <v>45317</v>
      </c>
      <c r="E3040" t="s">
        <v>406</v>
      </c>
      <c r="F3040">
        <v>-771.41</v>
      </c>
      <c r="G3040" t="s">
        <v>79</v>
      </c>
      <c r="H3040" t="s">
        <v>402</v>
      </c>
      <c r="I3040" t="s">
        <v>263</v>
      </c>
    </row>
    <row r="3041" spans="1:9" x14ac:dyDescent="0.25">
      <c r="A3041" t="s">
        <v>264</v>
      </c>
      <c r="B3041" t="s">
        <v>258</v>
      </c>
      <c r="C3041" t="s">
        <v>778</v>
      </c>
      <c r="D3041" s="1">
        <v>45331</v>
      </c>
      <c r="E3041" t="s">
        <v>413</v>
      </c>
      <c r="F3041">
        <v>970.01</v>
      </c>
      <c r="G3041" t="s">
        <v>79</v>
      </c>
      <c r="H3041" t="s">
        <v>402</v>
      </c>
      <c r="I3041" t="s">
        <v>262</v>
      </c>
    </row>
    <row r="3042" spans="1:9" x14ac:dyDescent="0.25">
      <c r="A3042" t="s">
        <v>264</v>
      </c>
      <c r="B3042" t="s">
        <v>258</v>
      </c>
      <c r="C3042" t="s">
        <v>778</v>
      </c>
      <c r="D3042" s="1">
        <v>45331</v>
      </c>
      <c r="E3042" t="s">
        <v>406</v>
      </c>
      <c r="F3042">
        <v>-443.19</v>
      </c>
      <c r="G3042" t="s">
        <v>79</v>
      </c>
      <c r="H3042" t="s">
        <v>402</v>
      </c>
      <c r="I3042" t="s">
        <v>263</v>
      </c>
    </row>
    <row r="3043" spans="1:9" x14ac:dyDescent="0.25">
      <c r="A3043" t="s">
        <v>264</v>
      </c>
      <c r="B3043" t="s">
        <v>258</v>
      </c>
      <c r="C3043" t="s">
        <v>778</v>
      </c>
      <c r="D3043" s="1">
        <v>45337</v>
      </c>
      <c r="E3043" t="s">
        <v>409</v>
      </c>
      <c r="F3043">
        <v>0</v>
      </c>
      <c r="G3043" t="s">
        <v>79</v>
      </c>
      <c r="H3043" t="s">
        <v>402</v>
      </c>
      <c r="I3043" t="s">
        <v>262</v>
      </c>
    </row>
    <row r="3044" spans="1:9" x14ac:dyDescent="0.25">
      <c r="A3044" t="s">
        <v>264</v>
      </c>
      <c r="B3044" t="s">
        <v>258</v>
      </c>
      <c r="C3044" t="s">
        <v>778</v>
      </c>
      <c r="D3044" s="1">
        <v>45337</v>
      </c>
      <c r="E3044" t="s">
        <v>410</v>
      </c>
      <c r="F3044">
        <v>0</v>
      </c>
      <c r="G3044" t="s">
        <v>79</v>
      </c>
      <c r="H3044" t="s">
        <v>402</v>
      </c>
      <c r="I3044" t="s">
        <v>262</v>
      </c>
    </row>
    <row r="3045" spans="1:9" x14ac:dyDescent="0.25">
      <c r="A3045" t="s">
        <v>264</v>
      </c>
      <c r="B3045" t="s">
        <v>258</v>
      </c>
      <c r="C3045" t="s">
        <v>778</v>
      </c>
      <c r="D3045" s="1">
        <v>45338</v>
      </c>
      <c r="E3045" t="s">
        <v>411</v>
      </c>
      <c r="F3045">
        <v>0</v>
      </c>
      <c r="G3045" t="s">
        <v>79</v>
      </c>
      <c r="H3045" t="s">
        <v>402</v>
      </c>
      <c r="I3045" t="s">
        <v>262</v>
      </c>
    </row>
    <row r="3046" spans="1:9" x14ac:dyDescent="0.25">
      <c r="A3046" t="s">
        <v>264</v>
      </c>
      <c r="B3046" t="s">
        <v>258</v>
      </c>
      <c r="C3046" t="s">
        <v>778</v>
      </c>
      <c r="D3046" s="1">
        <v>45338</v>
      </c>
      <c r="E3046" t="s">
        <v>412</v>
      </c>
      <c r="F3046">
        <v>0</v>
      </c>
      <c r="G3046" t="s">
        <v>79</v>
      </c>
      <c r="H3046" t="s">
        <v>402</v>
      </c>
      <c r="I3046" t="s">
        <v>262</v>
      </c>
    </row>
    <row r="3047" spans="1:9" x14ac:dyDescent="0.25">
      <c r="A3047" t="s">
        <v>264</v>
      </c>
      <c r="B3047" t="s">
        <v>258</v>
      </c>
      <c r="C3047" t="s">
        <v>778</v>
      </c>
      <c r="D3047" s="1">
        <v>45345</v>
      </c>
      <c r="E3047" t="s">
        <v>413</v>
      </c>
      <c r="F3047">
        <v>370.29</v>
      </c>
      <c r="G3047" t="s">
        <v>79</v>
      </c>
      <c r="H3047" t="s">
        <v>402</v>
      </c>
      <c r="I3047" t="s">
        <v>262</v>
      </c>
    </row>
    <row r="3048" spans="1:9" x14ac:dyDescent="0.25">
      <c r="A3048" t="s">
        <v>264</v>
      </c>
      <c r="B3048" t="s">
        <v>258</v>
      </c>
      <c r="C3048" t="s">
        <v>778</v>
      </c>
      <c r="D3048" s="1">
        <v>45345</v>
      </c>
      <c r="E3048" t="s">
        <v>406</v>
      </c>
      <c r="F3048">
        <v>-1460.19</v>
      </c>
      <c r="G3048" t="s">
        <v>79</v>
      </c>
      <c r="H3048" t="s">
        <v>402</v>
      </c>
      <c r="I3048" t="s">
        <v>263</v>
      </c>
    </row>
    <row r="3049" spans="1:9" x14ac:dyDescent="0.25">
      <c r="A3049" t="s">
        <v>264</v>
      </c>
      <c r="B3049" t="s">
        <v>258</v>
      </c>
      <c r="C3049" t="s">
        <v>778</v>
      </c>
      <c r="D3049" s="1">
        <v>45359</v>
      </c>
      <c r="E3049" t="s">
        <v>413</v>
      </c>
      <c r="F3049">
        <v>687.28</v>
      </c>
      <c r="G3049" t="s">
        <v>79</v>
      </c>
      <c r="H3049" t="s">
        <v>402</v>
      </c>
      <c r="I3049" t="s">
        <v>262</v>
      </c>
    </row>
    <row r="3050" spans="1:9" x14ac:dyDescent="0.25">
      <c r="A3050" t="s">
        <v>264</v>
      </c>
      <c r="B3050" t="s">
        <v>258</v>
      </c>
      <c r="C3050" t="s">
        <v>778</v>
      </c>
      <c r="D3050" s="1">
        <v>45359</v>
      </c>
      <c r="E3050" t="s">
        <v>406</v>
      </c>
      <c r="F3050">
        <v>-1260.76</v>
      </c>
      <c r="G3050" t="s">
        <v>79</v>
      </c>
      <c r="H3050" t="s">
        <v>402</v>
      </c>
      <c r="I3050" t="s">
        <v>263</v>
      </c>
    </row>
    <row r="3051" spans="1:9" x14ac:dyDescent="0.25">
      <c r="A3051" t="s">
        <v>264</v>
      </c>
      <c r="B3051" t="s">
        <v>258</v>
      </c>
      <c r="C3051" t="s">
        <v>778</v>
      </c>
      <c r="D3051" s="1">
        <v>45373</v>
      </c>
      <c r="E3051" t="s">
        <v>413</v>
      </c>
      <c r="F3051">
        <v>1540.48</v>
      </c>
      <c r="G3051" t="s">
        <v>79</v>
      </c>
      <c r="H3051" t="s">
        <v>402</v>
      </c>
      <c r="I3051" t="s">
        <v>262</v>
      </c>
    </row>
    <row r="3052" spans="1:9" x14ac:dyDescent="0.25">
      <c r="A3052" t="s">
        <v>264</v>
      </c>
      <c r="B3052" t="s">
        <v>258</v>
      </c>
      <c r="C3052" t="s">
        <v>778</v>
      </c>
      <c r="D3052" s="1">
        <v>45373</v>
      </c>
      <c r="E3052" t="s">
        <v>406</v>
      </c>
      <c r="F3052">
        <v>-718.76</v>
      </c>
      <c r="G3052" t="s">
        <v>79</v>
      </c>
      <c r="H3052" t="s">
        <v>402</v>
      </c>
      <c r="I3052" t="s">
        <v>263</v>
      </c>
    </row>
    <row r="3053" spans="1:9" x14ac:dyDescent="0.25">
      <c r="A3053" t="s">
        <v>264</v>
      </c>
      <c r="B3053" t="s">
        <v>258</v>
      </c>
      <c r="C3053" t="s">
        <v>779</v>
      </c>
      <c r="D3053" s="1">
        <v>45023</v>
      </c>
      <c r="E3053" t="s">
        <v>406</v>
      </c>
      <c r="F3053">
        <v>-328.55</v>
      </c>
      <c r="G3053" t="s">
        <v>79</v>
      </c>
      <c r="H3053" t="s">
        <v>402</v>
      </c>
      <c r="I3053" t="s">
        <v>263</v>
      </c>
    </row>
    <row r="3054" spans="1:9" x14ac:dyDescent="0.25">
      <c r="A3054" t="s">
        <v>264</v>
      </c>
      <c r="B3054" t="s">
        <v>258</v>
      </c>
      <c r="C3054" t="s">
        <v>779</v>
      </c>
      <c r="D3054" s="1">
        <v>45027</v>
      </c>
      <c r="E3054" t="s">
        <v>414</v>
      </c>
      <c r="F3054">
        <v>371.51</v>
      </c>
      <c r="G3054" t="s">
        <v>79</v>
      </c>
      <c r="H3054" t="s">
        <v>402</v>
      </c>
      <c r="I3054" t="s">
        <v>262</v>
      </c>
    </row>
    <row r="3055" spans="1:9" x14ac:dyDescent="0.25">
      <c r="A3055" t="s">
        <v>264</v>
      </c>
      <c r="B3055" t="s">
        <v>258</v>
      </c>
      <c r="C3055" t="s">
        <v>779</v>
      </c>
      <c r="D3055" s="1">
        <v>45037</v>
      </c>
      <c r="E3055" t="s">
        <v>414</v>
      </c>
      <c r="F3055">
        <v>364.76</v>
      </c>
      <c r="G3055" t="s">
        <v>79</v>
      </c>
      <c r="H3055" t="s">
        <v>402</v>
      </c>
      <c r="I3055" t="s">
        <v>262</v>
      </c>
    </row>
    <row r="3056" spans="1:9" x14ac:dyDescent="0.25">
      <c r="A3056" t="s">
        <v>264</v>
      </c>
      <c r="B3056" t="s">
        <v>258</v>
      </c>
      <c r="C3056" t="s">
        <v>779</v>
      </c>
      <c r="D3056" s="1">
        <v>45037</v>
      </c>
      <c r="E3056" t="s">
        <v>406</v>
      </c>
      <c r="F3056">
        <v>-289.98</v>
      </c>
      <c r="G3056" t="s">
        <v>79</v>
      </c>
      <c r="H3056" t="s">
        <v>402</v>
      </c>
      <c r="I3056" t="s">
        <v>263</v>
      </c>
    </row>
    <row r="3057" spans="1:9" x14ac:dyDescent="0.25">
      <c r="A3057" t="s">
        <v>264</v>
      </c>
      <c r="B3057" t="s">
        <v>258</v>
      </c>
      <c r="C3057" t="s">
        <v>779</v>
      </c>
      <c r="D3057" s="1">
        <v>45051</v>
      </c>
      <c r="E3057" t="s">
        <v>414</v>
      </c>
      <c r="F3057">
        <v>317.14999999999998</v>
      </c>
      <c r="G3057" t="s">
        <v>79</v>
      </c>
      <c r="H3057" t="s">
        <v>402</v>
      </c>
      <c r="I3057" t="s">
        <v>262</v>
      </c>
    </row>
    <row r="3058" spans="1:9" x14ac:dyDescent="0.25">
      <c r="A3058" t="s">
        <v>264</v>
      </c>
      <c r="B3058" t="s">
        <v>258</v>
      </c>
      <c r="C3058" t="s">
        <v>779</v>
      </c>
      <c r="D3058" s="1">
        <v>45051</v>
      </c>
      <c r="E3058" t="s">
        <v>406</v>
      </c>
      <c r="F3058">
        <v>-160.03</v>
      </c>
      <c r="G3058" t="s">
        <v>79</v>
      </c>
      <c r="H3058" t="s">
        <v>402</v>
      </c>
      <c r="I3058" t="s">
        <v>263</v>
      </c>
    </row>
    <row r="3059" spans="1:9" x14ac:dyDescent="0.25">
      <c r="A3059" t="s">
        <v>264</v>
      </c>
      <c r="B3059" t="s">
        <v>258</v>
      </c>
      <c r="C3059" t="s">
        <v>779</v>
      </c>
      <c r="D3059" s="1">
        <v>45065</v>
      </c>
      <c r="E3059" t="s">
        <v>414</v>
      </c>
      <c r="F3059">
        <v>31.3</v>
      </c>
      <c r="G3059" t="s">
        <v>79</v>
      </c>
      <c r="H3059" t="s">
        <v>402</v>
      </c>
      <c r="I3059" t="s">
        <v>262</v>
      </c>
    </row>
    <row r="3060" spans="1:9" x14ac:dyDescent="0.25">
      <c r="A3060" t="s">
        <v>264</v>
      </c>
      <c r="B3060" t="s">
        <v>258</v>
      </c>
      <c r="C3060" t="s">
        <v>779</v>
      </c>
      <c r="D3060" s="1">
        <v>45065</v>
      </c>
      <c r="E3060" t="s">
        <v>406</v>
      </c>
      <c r="F3060">
        <v>-222.61</v>
      </c>
      <c r="G3060" t="s">
        <v>79</v>
      </c>
      <c r="H3060" t="s">
        <v>402</v>
      </c>
      <c r="I3060" t="s">
        <v>263</v>
      </c>
    </row>
    <row r="3061" spans="1:9" x14ac:dyDescent="0.25">
      <c r="A3061" t="s">
        <v>264</v>
      </c>
      <c r="B3061" t="s">
        <v>258</v>
      </c>
      <c r="C3061" t="s">
        <v>779</v>
      </c>
      <c r="D3061" s="1">
        <v>45079</v>
      </c>
      <c r="E3061" t="s">
        <v>414</v>
      </c>
      <c r="F3061">
        <v>5.67</v>
      </c>
      <c r="G3061" t="s">
        <v>79</v>
      </c>
      <c r="H3061" t="s">
        <v>402</v>
      </c>
      <c r="I3061" t="s">
        <v>262</v>
      </c>
    </row>
    <row r="3062" spans="1:9" x14ac:dyDescent="0.25">
      <c r="A3062" t="s">
        <v>264</v>
      </c>
      <c r="B3062" t="s">
        <v>258</v>
      </c>
      <c r="C3062" t="s">
        <v>779</v>
      </c>
      <c r="D3062" s="1">
        <v>45079</v>
      </c>
      <c r="E3062" t="s">
        <v>406</v>
      </c>
      <c r="F3062">
        <v>-389.27</v>
      </c>
      <c r="G3062" t="s">
        <v>79</v>
      </c>
      <c r="H3062" t="s">
        <v>402</v>
      </c>
      <c r="I3062" t="s">
        <v>263</v>
      </c>
    </row>
    <row r="3063" spans="1:9" x14ac:dyDescent="0.25">
      <c r="A3063" t="s">
        <v>264</v>
      </c>
      <c r="B3063" t="s">
        <v>258</v>
      </c>
      <c r="C3063" t="s">
        <v>779</v>
      </c>
      <c r="D3063" s="1">
        <v>45093</v>
      </c>
      <c r="E3063" t="s">
        <v>414</v>
      </c>
      <c r="F3063">
        <v>474.45</v>
      </c>
      <c r="G3063" t="s">
        <v>79</v>
      </c>
      <c r="H3063" t="s">
        <v>402</v>
      </c>
      <c r="I3063" t="s">
        <v>262</v>
      </c>
    </row>
    <row r="3064" spans="1:9" x14ac:dyDescent="0.25">
      <c r="A3064" t="s">
        <v>264</v>
      </c>
      <c r="B3064" t="s">
        <v>258</v>
      </c>
      <c r="C3064" t="s">
        <v>779</v>
      </c>
      <c r="D3064" s="1">
        <v>45093</v>
      </c>
      <c r="E3064" t="s">
        <v>406</v>
      </c>
      <c r="F3064">
        <v>-227.99</v>
      </c>
      <c r="G3064" t="s">
        <v>79</v>
      </c>
      <c r="H3064" t="s">
        <v>402</v>
      </c>
      <c r="I3064" t="s">
        <v>263</v>
      </c>
    </row>
    <row r="3065" spans="1:9" x14ac:dyDescent="0.25">
      <c r="A3065" t="s">
        <v>264</v>
      </c>
      <c r="B3065" t="s">
        <v>258</v>
      </c>
      <c r="C3065" t="s">
        <v>779</v>
      </c>
      <c r="D3065" s="1">
        <v>45107</v>
      </c>
      <c r="E3065" t="s">
        <v>414</v>
      </c>
      <c r="F3065">
        <v>303.69</v>
      </c>
      <c r="G3065" t="s">
        <v>79</v>
      </c>
      <c r="H3065" t="s">
        <v>402</v>
      </c>
      <c r="I3065" t="s">
        <v>262</v>
      </c>
    </row>
    <row r="3066" spans="1:9" x14ac:dyDescent="0.25">
      <c r="A3066" t="s">
        <v>264</v>
      </c>
      <c r="B3066" t="s">
        <v>258</v>
      </c>
      <c r="C3066" t="s">
        <v>779</v>
      </c>
      <c r="D3066" s="1">
        <v>45107</v>
      </c>
      <c r="E3066" t="s">
        <v>406</v>
      </c>
      <c r="F3066">
        <v>-14.58</v>
      </c>
      <c r="G3066" t="s">
        <v>79</v>
      </c>
      <c r="H3066" t="s">
        <v>402</v>
      </c>
      <c r="I3066" t="s">
        <v>263</v>
      </c>
    </row>
    <row r="3067" spans="1:9" x14ac:dyDescent="0.25">
      <c r="A3067" t="s">
        <v>264</v>
      </c>
      <c r="B3067" t="s">
        <v>258</v>
      </c>
      <c r="C3067" t="s">
        <v>779</v>
      </c>
      <c r="D3067" s="1">
        <v>45121</v>
      </c>
      <c r="E3067" t="s">
        <v>414</v>
      </c>
      <c r="F3067">
        <v>450.43</v>
      </c>
      <c r="G3067" t="s">
        <v>79</v>
      </c>
      <c r="H3067" t="s">
        <v>402</v>
      </c>
      <c r="I3067" t="s">
        <v>262</v>
      </c>
    </row>
    <row r="3068" spans="1:9" x14ac:dyDescent="0.25">
      <c r="A3068" t="s">
        <v>264</v>
      </c>
      <c r="B3068" t="s">
        <v>258</v>
      </c>
      <c r="C3068" t="s">
        <v>779</v>
      </c>
      <c r="D3068" s="1">
        <v>45121</v>
      </c>
      <c r="E3068" t="s">
        <v>406</v>
      </c>
      <c r="F3068">
        <v>-123.55</v>
      </c>
      <c r="G3068" t="s">
        <v>79</v>
      </c>
      <c r="H3068" t="s">
        <v>402</v>
      </c>
      <c r="I3068" t="s">
        <v>263</v>
      </c>
    </row>
    <row r="3069" spans="1:9" x14ac:dyDescent="0.25">
      <c r="A3069" t="s">
        <v>264</v>
      </c>
      <c r="B3069" t="s">
        <v>258</v>
      </c>
      <c r="C3069" t="s">
        <v>779</v>
      </c>
      <c r="D3069" s="1">
        <v>45135</v>
      </c>
      <c r="E3069" t="s">
        <v>414</v>
      </c>
      <c r="F3069">
        <v>321.18</v>
      </c>
      <c r="G3069" t="s">
        <v>79</v>
      </c>
      <c r="H3069" t="s">
        <v>402</v>
      </c>
      <c r="I3069" t="s">
        <v>262</v>
      </c>
    </row>
    <row r="3070" spans="1:9" x14ac:dyDescent="0.25">
      <c r="A3070" t="s">
        <v>264</v>
      </c>
      <c r="B3070" t="s">
        <v>258</v>
      </c>
      <c r="C3070" t="s">
        <v>779</v>
      </c>
      <c r="D3070" s="1">
        <v>45135</v>
      </c>
      <c r="E3070" t="s">
        <v>406</v>
      </c>
      <c r="F3070">
        <v>-420.55</v>
      </c>
      <c r="G3070" t="s">
        <v>79</v>
      </c>
      <c r="H3070" t="s">
        <v>402</v>
      </c>
      <c r="I3070" t="s">
        <v>263</v>
      </c>
    </row>
    <row r="3071" spans="1:9" x14ac:dyDescent="0.25">
      <c r="A3071" t="s">
        <v>264</v>
      </c>
      <c r="B3071" t="s">
        <v>258</v>
      </c>
      <c r="C3071" t="s">
        <v>779</v>
      </c>
      <c r="D3071" s="1">
        <v>45149</v>
      </c>
      <c r="E3071" t="s">
        <v>414</v>
      </c>
      <c r="F3071">
        <v>10.54</v>
      </c>
      <c r="G3071" t="s">
        <v>79</v>
      </c>
      <c r="H3071" t="s">
        <v>402</v>
      </c>
      <c r="I3071" t="s">
        <v>262</v>
      </c>
    </row>
    <row r="3072" spans="1:9" x14ac:dyDescent="0.25">
      <c r="A3072" t="s">
        <v>264</v>
      </c>
      <c r="B3072" t="s">
        <v>258</v>
      </c>
      <c r="C3072" t="s">
        <v>779</v>
      </c>
      <c r="D3072" s="1">
        <v>45149</v>
      </c>
      <c r="E3072" t="s">
        <v>406</v>
      </c>
      <c r="F3072">
        <v>-96.17</v>
      </c>
      <c r="G3072" t="s">
        <v>79</v>
      </c>
      <c r="H3072" t="s">
        <v>402</v>
      </c>
      <c r="I3072" t="s">
        <v>263</v>
      </c>
    </row>
    <row r="3073" spans="1:9" x14ac:dyDescent="0.25">
      <c r="A3073" t="s">
        <v>264</v>
      </c>
      <c r="B3073" t="s">
        <v>258</v>
      </c>
      <c r="C3073" t="s">
        <v>779</v>
      </c>
      <c r="D3073" s="1">
        <v>45163</v>
      </c>
      <c r="E3073" t="s">
        <v>414</v>
      </c>
      <c r="F3073">
        <v>323.13</v>
      </c>
      <c r="G3073" t="s">
        <v>79</v>
      </c>
      <c r="H3073" t="s">
        <v>402</v>
      </c>
      <c r="I3073" t="s">
        <v>262</v>
      </c>
    </row>
    <row r="3074" spans="1:9" x14ac:dyDescent="0.25">
      <c r="A3074" t="s">
        <v>264</v>
      </c>
      <c r="B3074" t="s">
        <v>258</v>
      </c>
      <c r="C3074" t="s">
        <v>779</v>
      </c>
      <c r="D3074" s="1">
        <v>45163</v>
      </c>
      <c r="E3074" t="s">
        <v>406</v>
      </c>
      <c r="F3074">
        <v>-67.42</v>
      </c>
      <c r="G3074" t="s">
        <v>79</v>
      </c>
      <c r="H3074" t="s">
        <v>402</v>
      </c>
      <c r="I3074" t="s">
        <v>263</v>
      </c>
    </row>
    <row r="3075" spans="1:9" x14ac:dyDescent="0.25">
      <c r="A3075" t="s">
        <v>264</v>
      </c>
      <c r="B3075" t="s">
        <v>258</v>
      </c>
      <c r="C3075" t="s">
        <v>779</v>
      </c>
      <c r="D3075" s="1">
        <v>45177</v>
      </c>
      <c r="E3075" t="s">
        <v>414</v>
      </c>
      <c r="F3075">
        <v>501.42</v>
      </c>
      <c r="G3075" t="s">
        <v>79</v>
      </c>
      <c r="H3075" t="s">
        <v>402</v>
      </c>
      <c r="I3075" t="s">
        <v>262</v>
      </c>
    </row>
    <row r="3076" spans="1:9" x14ac:dyDescent="0.25">
      <c r="A3076" t="s">
        <v>264</v>
      </c>
      <c r="B3076" t="s">
        <v>258</v>
      </c>
      <c r="C3076" t="s">
        <v>779</v>
      </c>
      <c r="D3076" s="1">
        <v>45177</v>
      </c>
      <c r="E3076" t="s">
        <v>406</v>
      </c>
      <c r="F3076">
        <v>-326.31</v>
      </c>
      <c r="G3076" t="s">
        <v>79</v>
      </c>
      <c r="H3076" t="s">
        <v>402</v>
      </c>
      <c r="I3076" t="s">
        <v>263</v>
      </c>
    </row>
    <row r="3077" spans="1:9" x14ac:dyDescent="0.25">
      <c r="A3077" t="s">
        <v>264</v>
      </c>
      <c r="B3077" t="s">
        <v>258</v>
      </c>
      <c r="C3077" t="s">
        <v>779</v>
      </c>
      <c r="D3077" s="1">
        <v>45191</v>
      </c>
      <c r="E3077" t="s">
        <v>414</v>
      </c>
      <c r="F3077">
        <v>266.64999999999998</v>
      </c>
      <c r="G3077" t="s">
        <v>79</v>
      </c>
      <c r="H3077" t="s">
        <v>402</v>
      </c>
      <c r="I3077" t="s">
        <v>262</v>
      </c>
    </row>
    <row r="3078" spans="1:9" x14ac:dyDescent="0.25">
      <c r="A3078" t="s">
        <v>264</v>
      </c>
      <c r="B3078" t="s">
        <v>258</v>
      </c>
      <c r="C3078" t="s">
        <v>779</v>
      </c>
      <c r="D3078" s="1">
        <v>45191</v>
      </c>
      <c r="E3078" t="s">
        <v>406</v>
      </c>
      <c r="F3078">
        <v>-86.15</v>
      </c>
      <c r="G3078" t="s">
        <v>79</v>
      </c>
      <c r="H3078" t="s">
        <v>402</v>
      </c>
      <c r="I3078" t="s">
        <v>263</v>
      </c>
    </row>
    <row r="3079" spans="1:9" x14ac:dyDescent="0.25">
      <c r="A3079" t="s">
        <v>264</v>
      </c>
      <c r="B3079" t="s">
        <v>258</v>
      </c>
      <c r="C3079" t="s">
        <v>779</v>
      </c>
      <c r="D3079" s="1">
        <v>45205</v>
      </c>
      <c r="E3079" t="s">
        <v>414</v>
      </c>
      <c r="F3079">
        <v>416.02</v>
      </c>
      <c r="G3079" t="s">
        <v>79</v>
      </c>
      <c r="H3079" t="s">
        <v>402</v>
      </c>
      <c r="I3079" t="s">
        <v>262</v>
      </c>
    </row>
    <row r="3080" spans="1:9" x14ac:dyDescent="0.25">
      <c r="A3080" t="s">
        <v>264</v>
      </c>
      <c r="B3080" t="s">
        <v>258</v>
      </c>
      <c r="C3080" t="s">
        <v>779</v>
      </c>
      <c r="D3080" s="1">
        <v>45205</v>
      </c>
      <c r="E3080" t="s">
        <v>406</v>
      </c>
      <c r="F3080">
        <v>-425.68</v>
      </c>
      <c r="G3080" t="s">
        <v>79</v>
      </c>
      <c r="H3080" t="s">
        <v>402</v>
      </c>
      <c r="I3080" t="s">
        <v>263</v>
      </c>
    </row>
    <row r="3081" spans="1:9" x14ac:dyDescent="0.25">
      <c r="A3081" t="s">
        <v>264</v>
      </c>
      <c r="B3081" t="s">
        <v>258</v>
      </c>
      <c r="C3081" t="s">
        <v>779</v>
      </c>
      <c r="D3081" s="1">
        <v>45219</v>
      </c>
      <c r="E3081" t="s">
        <v>414</v>
      </c>
      <c r="F3081">
        <v>283.98</v>
      </c>
      <c r="G3081" t="s">
        <v>79</v>
      </c>
      <c r="H3081" t="s">
        <v>402</v>
      </c>
      <c r="I3081" t="s">
        <v>262</v>
      </c>
    </row>
    <row r="3082" spans="1:9" x14ac:dyDescent="0.25">
      <c r="A3082" t="s">
        <v>264</v>
      </c>
      <c r="B3082" t="s">
        <v>258</v>
      </c>
      <c r="C3082" t="s">
        <v>779</v>
      </c>
      <c r="D3082" s="1">
        <v>45219</v>
      </c>
      <c r="E3082" t="s">
        <v>406</v>
      </c>
      <c r="F3082">
        <v>-344.95</v>
      </c>
      <c r="G3082" t="s">
        <v>79</v>
      </c>
      <c r="H3082" t="s">
        <v>402</v>
      </c>
      <c r="I3082" t="s">
        <v>263</v>
      </c>
    </row>
    <row r="3083" spans="1:9" x14ac:dyDescent="0.25">
      <c r="A3083" t="s">
        <v>264</v>
      </c>
      <c r="B3083" t="s">
        <v>258</v>
      </c>
      <c r="C3083" t="s">
        <v>779</v>
      </c>
      <c r="D3083" s="1">
        <v>45233</v>
      </c>
      <c r="E3083" t="s">
        <v>414</v>
      </c>
      <c r="F3083">
        <v>47.98</v>
      </c>
      <c r="G3083" t="s">
        <v>79</v>
      </c>
      <c r="H3083" t="s">
        <v>402</v>
      </c>
      <c r="I3083" t="s">
        <v>262</v>
      </c>
    </row>
    <row r="3084" spans="1:9" x14ac:dyDescent="0.25">
      <c r="A3084" t="s">
        <v>264</v>
      </c>
      <c r="B3084" t="s">
        <v>258</v>
      </c>
      <c r="C3084" t="s">
        <v>779</v>
      </c>
      <c r="D3084" s="1">
        <v>45233</v>
      </c>
      <c r="E3084" t="s">
        <v>406</v>
      </c>
      <c r="F3084">
        <v>-250.03</v>
      </c>
      <c r="G3084" t="s">
        <v>79</v>
      </c>
      <c r="H3084" t="s">
        <v>402</v>
      </c>
      <c r="I3084" t="s">
        <v>263</v>
      </c>
    </row>
    <row r="3085" spans="1:9" x14ac:dyDescent="0.25">
      <c r="A3085" t="s">
        <v>264</v>
      </c>
      <c r="B3085" t="s">
        <v>258</v>
      </c>
      <c r="C3085" t="s">
        <v>779</v>
      </c>
      <c r="D3085" s="1">
        <v>45247</v>
      </c>
      <c r="E3085" t="s">
        <v>414</v>
      </c>
      <c r="F3085">
        <v>447.22</v>
      </c>
      <c r="G3085" t="s">
        <v>79</v>
      </c>
      <c r="H3085" t="s">
        <v>402</v>
      </c>
      <c r="I3085" t="s">
        <v>262</v>
      </c>
    </row>
    <row r="3086" spans="1:9" x14ac:dyDescent="0.25">
      <c r="A3086" t="s">
        <v>264</v>
      </c>
      <c r="B3086" t="s">
        <v>258</v>
      </c>
      <c r="C3086" t="s">
        <v>779</v>
      </c>
      <c r="D3086" s="1">
        <v>45247</v>
      </c>
      <c r="E3086" t="s">
        <v>406</v>
      </c>
      <c r="F3086">
        <v>-423.68</v>
      </c>
      <c r="G3086" t="s">
        <v>79</v>
      </c>
      <c r="H3086" t="s">
        <v>402</v>
      </c>
      <c r="I3086" t="s">
        <v>263</v>
      </c>
    </row>
    <row r="3087" spans="1:9" x14ac:dyDescent="0.25">
      <c r="A3087" t="s">
        <v>264</v>
      </c>
      <c r="B3087" t="s">
        <v>258</v>
      </c>
      <c r="C3087" t="s">
        <v>779</v>
      </c>
      <c r="D3087" s="1">
        <v>45261</v>
      </c>
      <c r="E3087" t="s">
        <v>414</v>
      </c>
      <c r="F3087">
        <v>214.77</v>
      </c>
      <c r="G3087" t="s">
        <v>79</v>
      </c>
      <c r="H3087" t="s">
        <v>402</v>
      </c>
      <c r="I3087" t="s">
        <v>262</v>
      </c>
    </row>
    <row r="3088" spans="1:9" x14ac:dyDescent="0.25">
      <c r="A3088" t="s">
        <v>264</v>
      </c>
      <c r="B3088" t="s">
        <v>258</v>
      </c>
      <c r="C3088" t="s">
        <v>779</v>
      </c>
      <c r="D3088" s="1">
        <v>45261</v>
      </c>
      <c r="E3088" t="s">
        <v>406</v>
      </c>
      <c r="F3088">
        <v>-112.19</v>
      </c>
      <c r="G3088" t="s">
        <v>79</v>
      </c>
      <c r="H3088" t="s">
        <v>402</v>
      </c>
      <c r="I3088" t="s">
        <v>263</v>
      </c>
    </row>
    <row r="3089" spans="1:9" x14ac:dyDescent="0.25">
      <c r="A3089" t="s">
        <v>264</v>
      </c>
      <c r="B3089" t="s">
        <v>258</v>
      </c>
      <c r="C3089" t="s">
        <v>779</v>
      </c>
      <c r="D3089" s="1">
        <v>45275</v>
      </c>
      <c r="E3089" t="s">
        <v>414</v>
      </c>
      <c r="F3089">
        <v>408.46</v>
      </c>
      <c r="G3089" t="s">
        <v>79</v>
      </c>
      <c r="H3089" t="s">
        <v>402</v>
      </c>
      <c r="I3089" t="s">
        <v>262</v>
      </c>
    </row>
    <row r="3090" spans="1:9" x14ac:dyDescent="0.25">
      <c r="A3090" t="s">
        <v>264</v>
      </c>
      <c r="B3090" t="s">
        <v>258</v>
      </c>
      <c r="C3090" t="s">
        <v>779</v>
      </c>
      <c r="D3090" s="1">
        <v>45275</v>
      </c>
      <c r="E3090" t="s">
        <v>406</v>
      </c>
      <c r="F3090">
        <v>-249.67</v>
      </c>
      <c r="G3090" t="s">
        <v>79</v>
      </c>
      <c r="H3090" t="s">
        <v>402</v>
      </c>
      <c r="I3090" t="s">
        <v>263</v>
      </c>
    </row>
    <row r="3091" spans="1:9" x14ac:dyDescent="0.25">
      <c r="A3091" t="s">
        <v>264</v>
      </c>
      <c r="B3091" t="s">
        <v>258</v>
      </c>
      <c r="C3091" t="s">
        <v>779</v>
      </c>
      <c r="D3091" s="1">
        <v>45289</v>
      </c>
      <c r="E3091" t="s">
        <v>414</v>
      </c>
      <c r="F3091">
        <v>409.5</v>
      </c>
      <c r="G3091" t="s">
        <v>79</v>
      </c>
      <c r="H3091" t="s">
        <v>402</v>
      </c>
      <c r="I3091" t="s">
        <v>262</v>
      </c>
    </row>
    <row r="3092" spans="1:9" x14ac:dyDescent="0.25">
      <c r="A3092" t="s">
        <v>264</v>
      </c>
      <c r="B3092" t="s">
        <v>258</v>
      </c>
      <c r="C3092" t="s">
        <v>779</v>
      </c>
      <c r="D3092" s="1">
        <v>45289</v>
      </c>
      <c r="E3092" t="s">
        <v>406</v>
      </c>
      <c r="F3092">
        <v>-185.55</v>
      </c>
      <c r="G3092" t="s">
        <v>79</v>
      </c>
      <c r="H3092" t="s">
        <v>402</v>
      </c>
      <c r="I3092" t="s">
        <v>263</v>
      </c>
    </row>
    <row r="3093" spans="1:9" x14ac:dyDescent="0.25">
      <c r="A3093" t="s">
        <v>264</v>
      </c>
      <c r="B3093" t="s">
        <v>258</v>
      </c>
      <c r="C3093" t="s">
        <v>779</v>
      </c>
      <c r="D3093" s="1">
        <v>45303</v>
      </c>
      <c r="E3093" t="s">
        <v>414</v>
      </c>
      <c r="F3093">
        <v>337.63</v>
      </c>
      <c r="G3093" t="s">
        <v>79</v>
      </c>
      <c r="H3093" t="s">
        <v>402</v>
      </c>
      <c r="I3093" t="s">
        <v>262</v>
      </c>
    </row>
    <row r="3094" spans="1:9" x14ac:dyDescent="0.25">
      <c r="A3094" t="s">
        <v>264</v>
      </c>
      <c r="B3094" t="s">
        <v>258</v>
      </c>
      <c r="C3094" t="s">
        <v>779</v>
      </c>
      <c r="D3094" s="1">
        <v>45303</v>
      </c>
      <c r="E3094" t="s">
        <v>406</v>
      </c>
      <c r="F3094">
        <v>-189.97</v>
      </c>
      <c r="G3094" t="s">
        <v>79</v>
      </c>
      <c r="H3094" t="s">
        <v>402</v>
      </c>
      <c r="I3094" t="s">
        <v>263</v>
      </c>
    </row>
    <row r="3095" spans="1:9" x14ac:dyDescent="0.25">
      <c r="A3095" t="s">
        <v>264</v>
      </c>
      <c r="B3095" t="s">
        <v>258</v>
      </c>
      <c r="C3095" t="s">
        <v>779</v>
      </c>
      <c r="D3095" s="1">
        <v>45317</v>
      </c>
      <c r="E3095" t="s">
        <v>414</v>
      </c>
      <c r="F3095">
        <v>310.81</v>
      </c>
      <c r="G3095" t="s">
        <v>79</v>
      </c>
      <c r="H3095" t="s">
        <v>402</v>
      </c>
      <c r="I3095" t="s">
        <v>262</v>
      </c>
    </row>
    <row r="3096" spans="1:9" x14ac:dyDescent="0.25">
      <c r="A3096" t="s">
        <v>264</v>
      </c>
      <c r="B3096" t="s">
        <v>258</v>
      </c>
      <c r="C3096" t="s">
        <v>779</v>
      </c>
      <c r="D3096" s="1">
        <v>45317</v>
      </c>
      <c r="E3096" t="s">
        <v>406</v>
      </c>
      <c r="F3096">
        <v>-170.51</v>
      </c>
      <c r="G3096" t="s">
        <v>79</v>
      </c>
      <c r="H3096" t="s">
        <v>402</v>
      </c>
      <c r="I3096" t="s">
        <v>263</v>
      </c>
    </row>
    <row r="3097" spans="1:9" x14ac:dyDescent="0.25">
      <c r="A3097" t="s">
        <v>264</v>
      </c>
      <c r="B3097" t="s">
        <v>258</v>
      </c>
      <c r="C3097" t="s">
        <v>779</v>
      </c>
      <c r="D3097" s="1">
        <v>45331</v>
      </c>
      <c r="E3097" t="s">
        <v>414</v>
      </c>
      <c r="F3097">
        <v>515.19000000000005</v>
      </c>
      <c r="G3097" t="s">
        <v>79</v>
      </c>
      <c r="H3097" t="s">
        <v>402</v>
      </c>
      <c r="I3097" t="s">
        <v>262</v>
      </c>
    </row>
    <row r="3098" spans="1:9" x14ac:dyDescent="0.25">
      <c r="A3098" t="s">
        <v>264</v>
      </c>
      <c r="B3098" t="s">
        <v>258</v>
      </c>
      <c r="C3098" t="s">
        <v>779</v>
      </c>
      <c r="D3098" s="1">
        <v>45331</v>
      </c>
      <c r="E3098" t="s">
        <v>406</v>
      </c>
      <c r="F3098">
        <v>-151.81</v>
      </c>
      <c r="G3098" t="s">
        <v>79</v>
      </c>
      <c r="H3098" t="s">
        <v>402</v>
      </c>
      <c r="I3098" t="s">
        <v>263</v>
      </c>
    </row>
    <row r="3099" spans="1:9" x14ac:dyDescent="0.25">
      <c r="A3099" t="s">
        <v>264</v>
      </c>
      <c r="B3099" t="s">
        <v>258</v>
      </c>
      <c r="C3099" t="s">
        <v>779</v>
      </c>
      <c r="D3099" s="1">
        <v>45345</v>
      </c>
      <c r="E3099" t="s">
        <v>414</v>
      </c>
      <c r="F3099">
        <v>429.27</v>
      </c>
      <c r="G3099" t="s">
        <v>79</v>
      </c>
      <c r="H3099" t="s">
        <v>402</v>
      </c>
      <c r="I3099" t="s">
        <v>262</v>
      </c>
    </row>
    <row r="3100" spans="1:9" x14ac:dyDescent="0.25">
      <c r="A3100" t="s">
        <v>264</v>
      </c>
      <c r="B3100" t="s">
        <v>258</v>
      </c>
      <c r="C3100" t="s">
        <v>779</v>
      </c>
      <c r="D3100" s="1">
        <v>45345</v>
      </c>
      <c r="E3100" t="s">
        <v>406</v>
      </c>
      <c r="F3100">
        <v>-285.14999999999998</v>
      </c>
      <c r="G3100" t="s">
        <v>79</v>
      </c>
      <c r="H3100" t="s">
        <v>402</v>
      </c>
      <c r="I3100" t="s">
        <v>263</v>
      </c>
    </row>
    <row r="3101" spans="1:9" x14ac:dyDescent="0.25">
      <c r="A3101" t="s">
        <v>264</v>
      </c>
      <c r="B3101" t="s">
        <v>258</v>
      </c>
      <c r="C3101" t="s">
        <v>779</v>
      </c>
      <c r="D3101" s="1">
        <v>45359</v>
      </c>
      <c r="E3101" t="s">
        <v>414</v>
      </c>
      <c r="F3101">
        <v>221.79</v>
      </c>
      <c r="G3101" t="s">
        <v>79</v>
      </c>
      <c r="H3101" t="s">
        <v>402</v>
      </c>
      <c r="I3101" t="s">
        <v>262</v>
      </c>
    </row>
    <row r="3102" spans="1:9" x14ac:dyDescent="0.25">
      <c r="A3102" t="s">
        <v>264</v>
      </c>
      <c r="B3102" t="s">
        <v>258</v>
      </c>
      <c r="C3102" t="s">
        <v>779</v>
      </c>
      <c r="D3102" s="1">
        <v>45359</v>
      </c>
      <c r="E3102" t="s">
        <v>406</v>
      </c>
      <c r="F3102">
        <v>-353.07</v>
      </c>
      <c r="G3102" t="s">
        <v>79</v>
      </c>
      <c r="H3102" t="s">
        <v>402</v>
      </c>
      <c r="I3102" t="s">
        <v>263</v>
      </c>
    </row>
    <row r="3103" spans="1:9" x14ac:dyDescent="0.25">
      <c r="A3103" t="s">
        <v>264</v>
      </c>
      <c r="B3103" t="s">
        <v>258</v>
      </c>
      <c r="C3103" t="s">
        <v>779</v>
      </c>
      <c r="D3103" s="1">
        <v>45373</v>
      </c>
      <c r="E3103" t="s">
        <v>414</v>
      </c>
      <c r="F3103">
        <v>311.17</v>
      </c>
      <c r="G3103" t="s">
        <v>79</v>
      </c>
      <c r="H3103" t="s">
        <v>402</v>
      </c>
      <c r="I3103" t="s">
        <v>262</v>
      </c>
    </row>
    <row r="3104" spans="1:9" x14ac:dyDescent="0.25">
      <c r="A3104" t="s">
        <v>264</v>
      </c>
      <c r="B3104" t="s">
        <v>258</v>
      </c>
      <c r="C3104" t="s">
        <v>779</v>
      </c>
      <c r="D3104" s="1">
        <v>45373</v>
      </c>
      <c r="E3104" t="s">
        <v>406</v>
      </c>
      <c r="F3104">
        <v>-70.36</v>
      </c>
      <c r="G3104" t="s">
        <v>79</v>
      </c>
      <c r="H3104" t="s">
        <v>402</v>
      </c>
      <c r="I3104" t="s">
        <v>263</v>
      </c>
    </row>
    <row r="3105" spans="1:9" x14ac:dyDescent="0.25">
      <c r="A3105" t="s">
        <v>264</v>
      </c>
      <c r="B3105" t="s">
        <v>258</v>
      </c>
      <c r="C3105" t="s">
        <v>780</v>
      </c>
      <c r="D3105" s="1">
        <v>45239</v>
      </c>
      <c r="E3105" t="s">
        <v>415</v>
      </c>
      <c r="F3105">
        <v>0</v>
      </c>
      <c r="G3105" t="s">
        <v>350</v>
      </c>
      <c r="H3105" t="s">
        <v>402</v>
      </c>
      <c r="I3105" t="s">
        <v>262</v>
      </c>
    </row>
    <row r="3106" spans="1:9" x14ac:dyDescent="0.25">
      <c r="A3106" t="s">
        <v>264</v>
      </c>
      <c r="B3106" t="s">
        <v>258</v>
      </c>
      <c r="C3106" t="s">
        <v>780</v>
      </c>
      <c r="D3106" s="1">
        <v>45239</v>
      </c>
      <c r="E3106" t="s">
        <v>416</v>
      </c>
      <c r="F3106">
        <v>-124799.81</v>
      </c>
      <c r="G3106" t="s">
        <v>418</v>
      </c>
      <c r="H3106" t="s">
        <v>419</v>
      </c>
      <c r="I3106" t="s">
        <v>419</v>
      </c>
    </row>
    <row r="3107" spans="1:9" x14ac:dyDescent="0.25">
      <c r="A3107" t="s">
        <v>264</v>
      </c>
      <c r="B3107" t="s">
        <v>258</v>
      </c>
      <c r="C3107" t="s">
        <v>780</v>
      </c>
      <c r="D3107" s="1">
        <v>45246</v>
      </c>
      <c r="E3107" t="s">
        <v>417</v>
      </c>
      <c r="F3107">
        <v>1167.69</v>
      </c>
      <c r="G3107" t="s">
        <v>350</v>
      </c>
      <c r="H3107" t="s">
        <v>402</v>
      </c>
      <c r="I3107" t="s">
        <v>262</v>
      </c>
    </row>
    <row r="3108" spans="1:9" x14ac:dyDescent="0.25">
      <c r="A3108" t="s">
        <v>264</v>
      </c>
      <c r="B3108" t="s">
        <v>258</v>
      </c>
      <c r="C3108" t="s">
        <v>780</v>
      </c>
      <c r="D3108" s="1">
        <v>45246</v>
      </c>
      <c r="E3108" t="s">
        <v>406</v>
      </c>
      <c r="F3108">
        <v>-831.09</v>
      </c>
      <c r="G3108" t="s">
        <v>350</v>
      </c>
      <c r="H3108" t="s">
        <v>402</v>
      </c>
      <c r="I3108" t="s">
        <v>263</v>
      </c>
    </row>
    <row r="3109" spans="1:9" x14ac:dyDescent="0.25">
      <c r="A3109" t="s">
        <v>264</v>
      </c>
      <c r="B3109" t="s">
        <v>258</v>
      </c>
      <c r="C3109" t="s">
        <v>780</v>
      </c>
      <c r="D3109" s="1">
        <v>45253</v>
      </c>
      <c r="E3109" t="s">
        <v>417</v>
      </c>
      <c r="F3109">
        <v>1136.3900000000001</v>
      </c>
      <c r="G3109" t="s">
        <v>350</v>
      </c>
      <c r="H3109" t="s">
        <v>402</v>
      </c>
      <c r="I3109" t="s">
        <v>262</v>
      </c>
    </row>
    <row r="3110" spans="1:9" x14ac:dyDescent="0.25">
      <c r="A3110" t="s">
        <v>264</v>
      </c>
      <c r="B3110" t="s">
        <v>258</v>
      </c>
      <c r="C3110" t="s">
        <v>780</v>
      </c>
      <c r="D3110" s="1">
        <v>45253</v>
      </c>
      <c r="E3110" t="s">
        <v>406</v>
      </c>
      <c r="F3110">
        <v>-288.88</v>
      </c>
      <c r="G3110" t="s">
        <v>350</v>
      </c>
      <c r="H3110" t="s">
        <v>402</v>
      </c>
      <c r="I3110" t="s">
        <v>263</v>
      </c>
    </row>
    <row r="3111" spans="1:9" x14ac:dyDescent="0.25">
      <c r="A3111" t="s">
        <v>264</v>
      </c>
      <c r="B3111" t="s">
        <v>258</v>
      </c>
      <c r="C3111" t="s">
        <v>780</v>
      </c>
      <c r="D3111" s="1">
        <v>45260</v>
      </c>
      <c r="E3111" t="s">
        <v>417</v>
      </c>
      <c r="F3111">
        <v>1264.27</v>
      </c>
      <c r="G3111" t="s">
        <v>350</v>
      </c>
      <c r="H3111" t="s">
        <v>402</v>
      </c>
      <c r="I3111" t="s">
        <v>262</v>
      </c>
    </row>
    <row r="3112" spans="1:9" x14ac:dyDescent="0.25">
      <c r="A3112" t="s">
        <v>264</v>
      </c>
      <c r="B3112" t="s">
        <v>258</v>
      </c>
      <c r="C3112" t="s">
        <v>780</v>
      </c>
      <c r="D3112" s="1">
        <v>45260</v>
      </c>
      <c r="E3112" t="s">
        <v>406</v>
      </c>
      <c r="F3112">
        <v>-498.46</v>
      </c>
      <c r="G3112" t="s">
        <v>350</v>
      </c>
      <c r="H3112" t="s">
        <v>402</v>
      </c>
      <c r="I3112" t="s">
        <v>263</v>
      </c>
    </row>
    <row r="3113" spans="1:9" x14ac:dyDescent="0.25">
      <c r="A3113" t="s">
        <v>264</v>
      </c>
      <c r="B3113" t="s">
        <v>258</v>
      </c>
      <c r="C3113" t="s">
        <v>780</v>
      </c>
      <c r="D3113" s="1">
        <v>45267</v>
      </c>
      <c r="E3113" t="s">
        <v>417</v>
      </c>
      <c r="F3113">
        <v>554.21</v>
      </c>
      <c r="G3113" t="s">
        <v>350</v>
      </c>
      <c r="H3113" t="s">
        <v>402</v>
      </c>
      <c r="I3113" t="s">
        <v>262</v>
      </c>
    </row>
    <row r="3114" spans="1:9" x14ac:dyDescent="0.25">
      <c r="A3114" t="s">
        <v>264</v>
      </c>
      <c r="B3114" t="s">
        <v>258</v>
      </c>
      <c r="C3114" t="s">
        <v>780</v>
      </c>
      <c r="D3114" s="1">
        <v>45267</v>
      </c>
      <c r="E3114" t="s">
        <v>406</v>
      </c>
      <c r="F3114">
        <v>-821.24</v>
      </c>
      <c r="G3114" t="s">
        <v>350</v>
      </c>
      <c r="H3114" t="s">
        <v>402</v>
      </c>
      <c r="I3114" t="s">
        <v>263</v>
      </c>
    </row>
    <row r="3115" spans="1:9" x14ac:dyDescent="0.25">
      <c r="A3115" t="s">
        <v>264</v>
      </c>
      <c r="B3115" t="s">
        <v>258</v>
      </c>
      <c r="C3115" t="s">
        <v>780</v>
      </c>
      <c r="D3115" s="1">
        <v>45274</v>
      </c>
      <c r="E3115" t="s">
        <v>417</v>
      </c>
      <c r="F3115">
        <v>496.39</v>
      </c>
      <c r="G3115" t="s">
        <v>350</v>
      </c>
      <c r="H3115" t="s">
        <v>402</v>
      </c>
      <c r="I3115" t="s">
        <v>262</v>
      </c>
    </row>
    <row r="3116" spans="1:9" x14ac:dyDescent="0.25">
      <c r="A3116" t="s">
        <v>264</v>
      </c>
      <c r="B3116" t="s">
        <v>258</v>
      </c>
      <c r="C3116" t="s">
        <v>780</v>
      </c>
      <c r="D3116" s="1">
        <v>45274</v>
      </c>
      <c r="E3116" t="s">
        <v>406</v>
      </c>
      <c r="F3116">
        <v>-517.39</v>
      </c>
      <c r="G3116" t="s">
        <v>350</v>
      </c>
      <c r="H3116" t="s">
        <v>402</v>
      </c>
      <c r="I3116" t="s">
        <v>263</v>
      </c>
    </row>
    <row r="3117" spans="1:9" x14ac:dyDescent="0.25">
      <c r="A3117" t="s">
        <v>264</v>
      </c>
      <c r="B3117" t="s">
        <v>258</v>
      </c>
      <c r="C3117" t="s">
        <v>780</v>
      </c>
      <c r="D3117" s="1">
        <v>45281</v>
      </c>
      <c r="E3117" t="s">
        <v>417</v>
      </c>
      <c r="F3117">
        <v>716.55</v>
      </c>
      <c r="G3117" t="s">
        <v>350</v>
      </c>
      <c r="H3117" t="s">
        <v>402</v>
      </c>
      <c r="I3117" t="s">
        <v>262</v>
      </c>
    </row>
    <row r="3118" spans="1:9" x14ac:dyDescent="0.25">
      <c r="A3118" t="s">
        <v>264</v>
      </c>
      <c r="B3118" t="s">
        <v>258</v>
      </c>
      <c r="C3118" t="s">
        <v>780</v>
      </c>
      <c r="D3118" s="1">
        <v>45281</v>
      </c>
      <c r="E3118" t="s">
        <v>406</v>
      </c>
      <c r="F3118">
        <v>-536.91999999999996</v>
      </c>
      <c r="G3118" t="s">
        <v>350</v>
      </c>
      <c r="H3118" t="s">
        <v>402</v>
      </c>
      <c r="I3118" t="s">
        <v>263</v>
      </c>
    </row>
    <row r="3119" spans="1:9" x14ac:dyDescent="0.25">
      <c r="A3119" t="s">
        <v>264</v>
      </c>
      <c r="B3119" t="s">
        <v>258</v>
      </c>
      <c r="C3119" t="s">
        <v>780</v>
      </c>
      <c r="D3119" s="1">
        <v>45288</v>
      </c>
      <c r="E3119" t="s">
        <v>417</v>
      </c>
      <c r="F3119">
        <v>216.65</v>
      </c>
      <c r="G3119" t="s">
        <v>350</v>
      </c>
      <c r="H3119" t="s">
        <v>402</v>
      </c>
      <c r="I3119" t="s">
        <v>262</v>
      </c>
    </row>
    <row r="3120" spans="1:9" x14ac:dyDescent="0.25">
      <c r="A3120" t="s">
        <v>264</v>
      </c>
      <c r="B3120" t="s">
        <v>258</v>
      </c>
      <c r="C3120" t="s">
        <v>780</v>
      </c>
      <c r="D3120" s="1">
        <v>45288</v>
      </c>
      <c r="E3120" t="s">
        <v>406</v>
      </c>
      <c r="F3120">
        <v>-639.14</v>
      </c>
      <c r="G3120" t="s">
        <v>350</v>
      </c>
      <c r="H3120" t="s">
        <v>402</v>
      </c>
      <c r="I3120" t="s">
        <v>263</v>
      </c>
    </row>
    <row r="3121" spans="1:9" x14ac:dyDescent="0.25">
      <c r="A3121" t="s">
        <v>264</v>
      </c>
      <c r="B3121" t="s">
        <v>258</v>
      </c>
      <c r="C3121" t="s">
        <v>780</v>
      </c>
      <c r="D3121" s="1">
        <v>45295</v>
      </c>
      <c r="E3121" t="s">
        <v>417</v>
      </c>
      <c r="F3121">
        <v>686.57</v>
      </c>
      <c r="G3121" t="s">
        <v>350</v>
      </c>
      <c r="H3121" t="s">
        <v>402</v>
      </c>
      <c r="I3121" t="s">
        <v>262</v>
      </c>
    </row>
    <row r="3122" spans="1:9" x14ac:dyDescent="0.25">
      <c r="A3122" t="s">
        <v>264</v>
      </c>
      <c r="B3122" t="s">
        <v>258</v>
      </c>
      <c r="C3122" t="s">
        <v>780</v>
      </c>
      <c r="D3122" s="1">
        <v>45295</v>
      </c>
      <c r="E3122" t="s">
        <v>406</v>
      </c>
      <c r="F3122">
        <v>-397.16</v>
      </c>
      <c r="G3122" t="s">
        <v>350</v>
      </c>
      <c r="H3122" t="s">
        <v>402</v>
      </c>
      <c r="I3122" t="s">
        <v>263</v>
      </c>
    </row>
    <row r="3123" spans="1:9" x14ac:dyDescent="0.25">
      <c r="A3123" t="s">
        <v>264</v>
      </c>
      <c r="B3123" t="s">
        <v>258</v>
      </c>
      <c r="C3123" t="s">
        <v>780</v>
      </c>
      <c r="D3123" s="1">
        <v>45302</v>
      </c>
      <c r="E3123" t="s">
        <v>417</v>
      </c>
      <c r="F3123">
        <v>856.32</v>
      </c>
      <c r="G3123" t="s">
        <v>350</v>
      </c>
      <c r="H3123" t="s">
        <v>402</v>
      </c>
      <c r="I3123" t="s">
        <v>262</v>
      </c>
    </row>
    <row r="3124" spans="1:9" x14ac:dyDescent="0.25">
      <c r="A3124" t="s">
        <v>264</v>
      </c>
      <c r="B3124" t="s">
        <v>258</v>
      </c>
      <c r="C3124" t="s">
        <v>780</v>
      </c>
      <c r="D3124" s="1">
        <v>45302</v>
      </c>
      <c r="E3124" t="s">
        <v>406</v>
      </c>
      <c r="F3124">
        <v>-850.74</v>
      </c>
      <c r="G3124" t="s">
        <v>350</v>
      </c>
      <c r="H3124" t="s">
        <v>402</v>
      </c>
      <c r="I3124" t="s">
        <v>263</v>
      </c>
    </row>
    <row r="3125" spans="1:9" x14ac:dyDescent="0.25">
      <c r="A3125" t="s">
        <v>264</v>
      </c>
      <c r="B3125" t="s">
        <v>258</v>
      </c>
      <c r="C3125" t="s">
        <v>780</v>
      </c>
      <c r="D3125" s="1">
        <v>45309</v>
      </c>
      <c r="E3125" t="s">
        <v>417</v>
      </c>
      <c r="F3125">
        <v>306.39999999999998</v>
      </c>
      <c r="G3125" t="s">
        <v>350</v>
      </c>
      <c r="H3125" t="s">
        <v>402</v>
      </c>
      <c r="I3125" t="s">
        <v>262</v>
      </c>
    </row>
    <row r="3126" spans="1:9" x14ac:dyDescent="0.25">
      <c r="A3126" t="s">
        <v>264</v>
      </c>
      <c r="B3126" t="s">
        <v>258</v>
      </c>
      <c r="C3126" t="s">
        <v>780</v>
      </c>
      <c r="D3126" s="1">
        <v>45309</v>
      </c>
      <c r="E3126" t="s">
        <v>406</v>
      </c>
      <c r="F3126">
        <v>-963.08</v>
      </c>
      <c r="G3126" t="s">
        <v>350</v>
      </c>
      <c r="H3126" t="s">
        <v>402</v>
      </c>
      <c r="I3126" t="s">
        <v>263</v>
      </c>
    </row>
    <row r="3127" spans="1:9" x14ac:dyDescent="0.25">
      <c r="A3127" t="s">
        <v>264</v>
      </c>
      <c r="B3127" t="s">
        <v>258</v>
      </c>
      <c r="C3127" t="s">
        <v>780</v>
      </c>
      <c r="D3127" s="1">
        <v>45316</v>
      </c>
      <c r="E3127" t="s">
        <v>417</v>
      </c>
      <c r="F3127">
        <v>848.38</v>
      </c>
      <c r="G3127" t="s">
        <v>350</v>
      </c>
      <c r="H3127" t="s">
        <v>402</v>
      </c>
      <c r="I3127" t="s">
        <v>262</v>
      </c>
    </row>
    <row r="3128" spans="1:9" x14ac:dyDescent="0.25">
      <c r="A3128" t="s">
        <v>264</v>
      </c>
      <c r="B3128" t="s">
        <v>258</v>
      </c>
      <c r="C3128" t="s">
        <v>780</v>
      </c>
      <c r="D3128" s="1">
        <v>45316</v>
      </c>
      <c r="E3128" t="s">
        <v>406</v>
      </c>
      <c r="F3128">
        <v>-155.41999999999999</v>
      </c>
      <c r="G3128" t="s">
        <v>350</v>
      </c>
      <c r="H3128" t="s">
        <v>402</v>
      </c>
      <c r="I3128" t="s">
        <v>263</v>
      </c>
    </row>
    <row r="3129" spans="1:9" x14ac:dyDescent="0.25">
      <c r="A3129" t="s">
        <v>264</v>
      </c>
      <c r="B3129" t="s">
        <v>258</v>
      </c>
      <c r="C3129" t="s">
        <v>780</v>
      </c>
      <c r="D3129" s="1">
        <v>45323</v>
      </c>
      <c r="E3129" t="s">
        <v>417</v>
      </c>
      <c r="F3129">
        <v>1021.13</v>
      </c>
      <c r="G3129" t="s">
        <v>350</v>
      </c>
      <c r="H3129" t="s">
        <v>402</v>
      </c>
      <c r="I3129" t="s">
        <v>262</v>
      </c>
    </row>
    <row r="3130" spans="1:9" x14ac:dyDescent="0.25">
      <c r="A3130" t="s">
        <v>264</v>
      </c>
      <c r="B3130" t="s">
        <v>258</v>
      </c>
      <c r="C3130" t="s">
        <v>780</v>
      </c>
      <c r="D3130" s="1">
        <v>45323</v>
      </c>
      <c r="E3130" t="s">
        <v>406</v>
      </c>
      <c r="F3130">
        <v>-393.13</v>
      </c>
      <c r="G3130" t="s">
        <v>350</v>
      </c>
      <c r="H3130" t="s">
        <v>402</v>
      </c>
      <c r="I3130" t="s">
        <v>263</v>
      </c>
    </row>
    <row r="3131" spans="1:9" x14ac:dyDescent="0.25">
      <c r="A3131" t="s">
        <v>264</v>
      </c>
      <c r="B3131" t="s">
        <v>258</v>
      </c>
      <c r="C3131" t="s">
        <v>780</v>
      </c>
      <c r="D3131" s="1">
        <v>45330</v>
      </c>
      <c r="E3131" t="s">
        <v>417</v>
      </c>
      <c r="F3131">
        <v>107.52</v>
      </c>
      <c r="G3131" t="s">
        <v>350</v>
      </c>
      <c r="H3131" t="s">
        <v>402</v>
      </c>
      <c r="I3131" t="s">
        <v>262</v>
      </c>
    </row>
    <row r="3132" spans="1:9" x14ac:dyDescent="0.25">
      <c r="A3132" t="s">
        <v>264</v>
      </c>
      <c r="B3132" t="s">
        <v>258</v>
      </c>
      <c r="C3132" t="s">
        <v>780</v>
      </c>
      <c r="D3132" s="1">
        <v>45330</v>
      </c>
      <c r="E3132" t="s">
        <v>406</v>
      </c>
      <c r="F3132">
        <v>-816.44</v>
      </c>
      <c r="G3132" t="s">
        <v>350</v>
      </c>
      <c r="H3132" t="s">
        <v>402</v>
      </c>
      <c r="I3132" t="s">
        <v>263</v>
      </c>
    </row>
    <row r="3133" spans="1:9" x14ac:dyDescent="0.25">
      <c r="A3133" t="s">
        <v>264</v>
      </c>
      <c r="B3133" t="s">
        <v>258</v>
      </c>
      <c r="C3133" t="s">
        <v>780</v>
      </c>
      <c r="D3133" s="1">
        <v>45337</v>
      </c>
      <c r="E3133" t="s">
        <v>417</v>
      </c>
      <c r="F3133">
        <v>802.64</v>
      </c>
      <c r="G3133" t="s">
        <v>350</v>
      </c>
      <c r="H3133" t="s">
        <v>402</v>
      </c>
      <c r="I3133" t="s">
        <v>262</v>
      </c>
    </row>
    <row r="3134" spans="1:9" x14ac:dyDescent="0.25">
      <c r="A3134" t="s">
        <v>264</v>
      </c>
      <c r="B3134" t="s">
        <v>258</v>
      </c>
      <c r="C3134" t="s">
        <v>780</v>
      </c>
      <c r="D3134" s="1">
        <v>45337</v>
      </c>
      <c r="E3134" t="s">
        <v>406</v>
      </c>
      <c r="F3134">
        <v>-79.930000000000007</v>
      </c>
      <c r="G3134" t="s">
        <v>350</v>
      </c>
      <c r="H3134" t="s">
        <v>402</v>
      </c>
      <c r="I3134" t="s">
        <v>263</v>
      </c>
    </row>
    <row r="3135" spans="1:9" x14ac:dyDescent="0.25">
      <c r="A3135" t="s">
        <v>264</v>
      </c>
      <c r="B3135" t="s">
        <v>258</v>
      </c>
      <c r="C3135" t="s">
        <v>780</v>
      </c>
      <c r="D3135" s="1">
        <v>45344</v>
      </c>
      <c r="E3135" t="s">
        <v>417</v>
      </c>
      <c r="F3135">
        <v>956.92</v>
      </c>
      <c r="G3135" t="s">
        <v>350</v>
      </c>
      <c r="H3135" t="s">
        <v>402</v>
      </c>
      <c r="I3135" t="s">
        <v>262</v>
      </c>
    </row>
    <row r="3136" spans="1:9" x14ac:dyDescent="0.25">
      <c r="A3136" t="s">
        <v>264</v>
      </c>
      <c r="B3136" t="s">
        <v>258</v>
      </c>
      <c r="C3136" t="s">
        <v>780</v>
      </c>
      <c r="D3136" s="1">
        <v>45344</v>
      </c>
      <c r="E3136" t="s">
        <v>406</v>
      </c>
      <c r="F3136">
        <v>-588.78</v>
      </c>
      <c r="G3136" t="s">
        <v>350</v>
      </c>
      <c r="H3136" t="s">
        <v>402</v>
      </c>
      <c r="I3136" t="s">
        <v>263</v>
      </c>
    </row>
    <row r="3137" spans="1:9" x14ac:dyDescent="0.25">
      <c r="A3137" t="s">
        <v>264</v>
      </c>
      <c r="B3137" t="s">
        <v>258</v>
      </c>
      <c r="C3137" t="s">
        <v>780</v>
      </c>
      <c r="D3137" s="1">
        <v>45351</v>
      </c>
      <c r="E3137" t="s">
        <v>417</v>
      </c>
      <c r="F3137">
        <v>493.92</v>
      </c>
      <c r="G3137" t="s">
        <v>350</v>
      </c>
      <c r="H3137" t="s">
        <v>402</v>
      </c>
      <c r="I3137" t="s">
        <v>262</v>
      </c>
    </row>
    <row r="3138" spans="1:9" x14ac:dyDescent="0.25">
      <c r="A3138" t="s">
        <v>264</v>
      </c>
      <c r="B3138" t="s">
        <v>258</v>
      </c>
      <c r="C3138" t="s">
        <v>780</v>
      </c>
      <c r="D3138" s="1">
        <v>45351</v>
      </c>
      <c r="E3138" t="s">
        <v>406</v>
      </c>
      <c r="F3138">
        <v>-809.43</v>
      </c>
      <c r="G3138" t="s">
        <v>350</v>
      </c>
      <c r="H3138" t="s">
        <v>402</v>
      </c>
      <c r="I3138" t="s">
        <v>263</v>
      </c>
    </row>
    <row r="3139" spans="1:9" x14ac:dyDescent="0.25">
      <c r="A3139" t="s">
        <v>264</v>
      </c>
      <c r="B3139" t="s">
        <v>258</v>
      </c>
      <c r="C3139" t="s">
        <v>780</v>
      </c>
      <c r="D3139" s="1">
        <v>45358</v>
      </c>
      <c r="E3139" t="s">
        <v>417</v>
      </c>
      <c r="F3139">
        <v>324.79000000000002</v>
      </c>
      <c r="G3139" t="s">
        <v>350</v>
      </c>
      <c r="H3139" t="s">
        <v>402</v>
      </c>
      <c r="I3139" t="s">
        <v>262</v>
      </c>
    </row>
    <row r="3140" spans="1:9" x14ac:dyDescent="0.25">
      <c r="A3140" t="s">
        <v>264</v>
      </c>
      <c r="B3140" t="s">
        <v>258</v>
      </c>
      <c r="C3140" t="s">
        <v>780</v>
      </c>
      <c r="D3140" s="1">
        <v>45358</v>
      </c>
      <c r="E3140" t="s">
        <v>406</v>
      </c>
      <c r="F3140">
        <v>-700.1</v>
      </c>
      <c r="G3140" t="s">
        <v>350</v>
      </c>
      <c r="H3140" t="s">
        <v>402</v>
      </c>
      <c r="I3140" t="s">
        <v>263</v>
      </c>
    </row>
    <row r="3141" spans="1:9" x14ac:dyDescent="0.25">
      <c r="A3141" t="s">
        <v>264</v>
      </c>
      <c r="B3141" t="s">
        <v>258</v>
      </c>
      <c r="C3141" t="s">
        <v>780</v>
      </c>
      <c r="D3141" s="1">
        <v>45365</v>
      </c>
      <c r="E3141" t="s">
        <v>417</v>
      </c>
      <c r="F3141">
        <v>193.25</v>
      </c>
      <c r="G3141" t="s">
        <v>350</v>
      </c>
      <c r="H3141" t="s">
        <v>402</v>
      </c>
      <c r="I3141" t="s">
        <v>262</v>
      </c>
    </row>
    <row r="3142" spans="1:9" x14ac:dyDescent="0.25">
      <c r="A3142" t="s">
        <v>264</v>
      </c>
      <c r="B3142" t="s">
        <v>258</v>
      </c>
      <c r="C3142" t="s">
        <v>780</v>
      </c>
      <c r="D3142" s="1">
        <v>45365</v>
      </c>
      <c r="E3142" t="s">
        <v>406</v>
      </c>
      <c r="F3142">
        <v>-390.68</v>
      </c>
      <c r="G3142" t="s">
        <v>350</v>
      </c>
      <c r="H3142" t="s">
        <v>402</v>
      </c>
      <c r="I3142" t="s">
        <v>263</v>
      </c>
    </row>
    <row r="3143" spans="1:9" x14ac:dyDescent="0.25">
      <c r="A3143" t="s">
        <v>264</v>
      </c>
      <c r="B3143" t="s">
        <v>258</v>
      </c>
      <c r="C3143" t="s">
        <v>780</v>
      </c>
      <c r="D3143" s="1">
        <v>45372</v>
      </c>
      <c r="E3143" t="s">
        <v>417</v>
      </c>
      <c r="F3143">
        <v>132.35</v>
      </c>
      <c r="G3143" t="s">
        <v>350</v>
      </c>
      <c r="H3143" t="s">
        <v>402</v>
      </c>
      <c r="I3143" t="s">
        <v>262</v>
      </c>
    </row>
    <row r="3144" spans="1:9" x14ac:dyDescent="0.25">
      <c r="A3144" t="s">
        <v>264</v>
      </c>
      <c r="B3144" t="s">
        <v>258</v>
      </c>
      <c r="C3144" t="s">
        <v>780</v>
      </c>
      <c r="D3144" s="1">
        <v>45372</v>
      </c>
      <c r="E3144" t="s">
        <v>406</v>
      </c>
      <c r="F3144">
        <v>-730.42</v>
      </c>
      <c r="G3144" t="s">
        <v>350</v>
      </c>
      <c r="H3144" t="s">
        <v>402</v>
      </c>
      <c r="I3144" t="s">
        <v>263</v>
      </c>
    </row>
    <row r="3145" spans="1:9" x14ac:dyDescent="0.25">
      <c r="A3145" t="s">
        <v>264</v>
      </c>
      <c r="B3145" t="s">
        <v>258</v>
      </c>
      <c r="C3145" t="s">
        <v>780</v>
      </c>
      <c r="D3145" s="1">
        <v>45379</v>
      </c>
      <c r="E3145" t="s">
        <v>417</v>
      </c>
      <c r="F3145">
        <v>673.49</v>
      </c>
      <c r="G3145" t="s">
        <v>350</v>
      </c>
      <c r="H3145" t="s">
        <v>402</v>
      </c>
      <c r="I3145" t="s">
        <v>262</v>
      </c>
    </row>
    <row r="3146" spans="1:9" x14ac:dyDescent="0.25">
      <c r="A3146" t="s">
        <v>264</v>
      </c>
      <c r="B3146" t="s">
        <v>258</v>
      </c>
      <c r="C3146" t="s">
        <v>780</v>
      </c>
      <c r="D3146" s="1">
        <v>45379</v>
      </c>
      <c r="E3146" t="s">
        <v>406</v>
      </c>
      <c r="F3146">
        <v>-190.16</v>
      </c>
      <c r="G3146" t="s">
        <v>350</v>
      </c>
      <c r="H3146" t="s">
        <v>402</v>
      </c>
      <c r="I3146" t="s">
        <v>263</v>
      </c>
    </row>
    <row r="3147" spans="1:9" x14ac:dyDescent="0.25">
      <c r="A3147" t="s">
        <v>264</v>
      </c>
      <c r="B3147" t="s">
        <v>230</v>
      </c>
      <c r="C3147" t="s">
        <v>420</v>
      </c>
      <c r="D3147" s="1">
        <v>45022</v>
      </c>
      <c r="E3147" t="s">
        <v>421</v>
      </c>
      <c r="F3147">
        <v>-3.83</v>
      </c>
      <c r="G3147" t="s">
        <v>68</v>
      </c>
      <c r="H3147" t="s">
        <v>69</v>
      </c>
      <c r="I3147" t="s">
        <v>69</v>
      </c>
    </row>
    <row r="3148" spans="1:9" x14ac:dyDescent="0.25">
      <c r="A3148" t="s">
        <v>264</v>
      </c>
      <c r="B3148" t="s">
        <v>230</v>
      </c>
      <c r="C3148" t="s">
        <v>420</v>
      </c>
      <c r="D3148" s="1">
        <v>45022</v>
      </c>
      <c r="E3148" t="s">
        <v>422</v>
      </c>
      <c r="F3148">
        <v>2.98</v>
      </c>
      <c r="G3148" t="s">
        <v>70</v>
      </c>
      <c r="H3148" t="s">
        <v>264</v>
      </c>
      <c r="I3148" t="s">
        <v>72</v>
      </c>
    </row>
    <row r="3149" spans="1:9" x14ac:dyDescent="0.25">
      <c r="A3149" t="s">
        <v>264</v>
      </c>
      <c r="B3149" t="s">
        <v>230</v>
      </c>
      <c r="C3149" t="s">
        <v>420</v>
      </c>
      <c r="D3149" s="1">
        <v>45054</v>
      </c>
      <c r="E3149" t="s">
        <v>422</v>
      </c>
      <c r="F3149">
        <v>35.26</v>
      </c>
      <c r="G3149" t="s">
        <v>70</v>
      </c>
      <c r="H3149" t="s">
        <v>264</v>
      </c>
      <c r="I3149" t="s">
        <v>72</v>
      </c>
    </row>
    <row r="3150" spans="1:9" x14ac:dyDescent="0.25">
      <c r="A3150" t="s">
        <v>264</v>
      </c>
      <c r="B3150" t="s">
        <v>230</v>
      </c>
      <c r="C3150" t="s">
        <v>420</v>
      </c>
      <c r="D3150" s="1">
        <v>45054</v>
      </c>
      <c r="E3150" t="s">
        <v>423</v>
      </c>
      <c r="F3150">
        <v>-27.75</v>
      </c>
      <c r="G3150" t="s">
        <v>76</v>
      </c>
      <c r="H3150" t="s">
        <v>87</v>
      </c>
      <c r="I3150" t="s">
        <v>88</v>
      </c>
    </row>
    <row r="3151" spans="1:9" x14ac:dyDescent="0.25">
      <c r="A3151" t="s">
        <v>264</v>
      </c>
      <c r="B3151" t="s">
        <v>230</v>
      </c>
      <c r="C3151" t="s">
        <v>420</v>
      </c>
      <c r="D3151" s="1">
        <v>45065</v>
      </c>
      <c r="E3151" t="s">
        <v>421</v>
      </c>
      <c r="F3151">
        <v>-15.42</v>
      </c>
      <c r="G3151" t="s">
        <v>68</v>
      </c>
      <c r="H3151" t="s">
        <v>69</v>
      </c>
      <c r="I3151" t="s">
        <v>69</v>
      </c>
    </row>
    <row r="3152" spans="1:9" x14ac:dyDescent="0.25">
      <c r="A3152" t="s">
        <v>264</v>
      </c>
      <c r="B3152" t="s">
        <v>230</v>
      </c>
      <c r="C3152" t="s">
        <v>420</v>
      </c>
      <c r="D3152" s="1">
        <v>45065</v>
      </c>
      <c r="E3152" t="s">
        <v>424</v>
      </c>
      <c r="F3152">
        <v>-31.68</v>
      </c>
      <c r="G3152" t="s">
        <v>68</v>
      </c>
      <c r="H3152" t="s">
        <v>69</v>
      </c>
      <c r="I3152" t="s">
        <v>69</v>
      </c>
    </row>
    <row r="3153" spans="1:9" x14ac:dyDescent="0.25">
      <c r="A3153" t="s">
        <v>264</v>
      </c>
      <c r="B3153" t="s">
        <v>230</v>
      </c>
      <c r="C3153" t="s">
        <v>420</v>
      </c>
      <c r="D3153" s="1">
        <v>45065</v>
      </c>
      <c r="E3153" t="s">
        <v>422</v>
      </c>
      <c r="F3153">
        <v>52.7</v>
      </c>
      <c r="G3153" t="s">
        <v>70</v>
      </c>
      <c r="H3153" t="s">
        <v>264</v>
      </c>
      <c r="I3153" t="s">
        <v>72</v>
      </c>
    </row>
    <row r="3154" spans="1:9" x14ac:dyDescent="0.25">
      <c r="A3154" t="s">
        <v>264</v>
      </c>
      <c r="B3154" t="s">
        <v>230</v>
      </c>
      <c r="C3154" t="s">
        <v>420</v>
      </c>
      <c r="D3154" s="1">
        <v>45154</v>
      </c>
      <c r="E3154" t="s">
        <v>422</v>
      </c>
      <c r="F3154">
        <v>4.38</v>
      </c>
      <c r="G3154" t="s">
        <v>70</v>
      </c>
      <c r="H3154" t="s">
        <v>264</v>
      </c>
      <c r="I3154" t="s">
        <v>72</v>
      </c>
    </row>
    <row r="3155" spans="1:9" x14ac:dyDescent="0.25">
      <c r="A3155" t="s">
        <v>264</v>
      </c>
      <c r="B3155" t="s">
        <v>230</v>
      </c>
      <c r="C3155" t="s">
        <v>420</v>
      </c>
      <c r="D3155" s="1">
        <v>45155</v>
      </c>
      <c r="E3155" t="s">
        <v>425</v>
      </c>
      <c r="F3155">
        <v>-13.41</v>
      </c>
      <c r="G3155" t="s">
        <v>76</v>
      </c>
      <c r="H3155" t="s">
        <v>87</v>
      </c>
      <c r="I3155" t="s">
        <v>88</v>
      </c>
    </row>
    <row r="3156" spans="1:9" x14ac:dyDescent="0.25">
      <c r="A3156" t="s">
        <v>264</v>
      </c>
      <c r="B3156" t="s">
        <v>230</v>
      </c>
      <c r="C3156" t="s">
        <v>420</v>
      </c>
      <c r="D3156" s="1">
        <v>45155</v>
      </c>
      <c r="E3156" t="s">
        <v>426</v>
      </c>
      <c r="F3156">
        <v>-1.43</v>
      </c>
      <c r="G3156" t="s">
        <v>68</v>
      </c>
      <c r="H3156" t="s">
        <v>69</v>
      </c>
      <c r="I3156" t="s">
        <v>69</v>
      </c>
    </row>
    <row r="3157" spans="1:9" x14ac:dyDescent="0.25">
      <c r="A3157" t="s">
        <v>264</v>
      </c>
      <c r="B3157" t="s">
        <v>230</v>
      </c>
      <c r="C3157" t="s">
        <v>427</v>
      </c>
      <c r="D3157" s="1">
        <v>45019</v>
      </c>
      <c r="E3157" t="s">
        <v>428</v>
      </c>
      <c r="F3157">
        <v>-358.26</v>
      </c>
      <c r="G3157" t="s">
        <v>68</v>
      </c>
      <c r="H3157" t="s">
        <v>69</v>
      </c>
      <c r="I3157" t="s">
        <v>69</v>
      </c>
    </row>
    <row r="3158" spans="1:9" x14ac:dyDescent="0.25">
      <c r="A3158" t="s">
        <v>264</v>
      </c>
      <c r="B3158" t="s">
        <v>230</v>
      </c>
      <c r="C3158" t="s">
        <v>427</v>
      </c>
      <c r="D3158" s="1">
        <v>45019</v>
      </c>
      <c r="E3158" t="s">
        <v>422</v>
      </c>
      <c r="F3158">
        <v>232.95</v>
      </c>
      <c r="G3158" t="s">
        <v>70</v>
      </c>
      <c r="H3158" t="s">
        <v>264</v>
      </c>
      <c r="I3158" t="s">
        <v>72</v>
      </c>
    </row>
    <row r="3159" spans="1:9" x14ac:dyDescent="0.25">
      <c r="A3159" t="s">
        <v>264</v>
      </c>
      <c r="B3159" t="s">
        <v>230</v>
      </c>
      <c r="C3159" t="s">
        <v>427</v>
      </c>
      <c r="D3159" s="1">
        <v>45019</v>
      </c>
      <c r="E3159" t="s">
        <v>422</v>
      </c>
      <c r="F3159">
        <v>5.33</v>
      </c>
      <c r="G3159" t="s">
        <v>70</v>
      </c>
      <c r="H3159" t="s">
        <v>264</v>
      </c>
      <c r="I3159" t="s">
        <v>72</v>
      </c>
    </row>
    <row r="3160" spans="1:9" x14ac:dyDescent="0.25">
      <c r="A3160" t="s">
        <v>264</v>
      </c>
      <c r="B3160" t="s">
        <v>230</v>
      </c>
      <c r="C3160" t="s">
        <v>427</v>
      </c>
      <c r="D3160" s="1">
        <v>45019</v>
      </c>
      <c r="E3160" t="s">
        <v>429</v>
      </c>
      <c r="F3160">
        <v>-2.5</v>
      </c>
      <c r="G3160" t="s">
        <v>76</v>
      </c>
      <c r="H3160" t="s">
        <v>87</v>
      </c>
      <c r="I3160" t="s">
        <v>88</v>
      </c>
    </row>
    <row r="3161" spans="1:9" x14ac:dyDescent="0.25">
      <c r="A3161" t="s">
        <v>264</v>
      </c>
      <c r="B3161" t="s">
        <v>230</v>
      </c>
      <c r="C3161" t="s">
        <v>427</v>
      </c>
      <c r="D3161" s="1">
        <v>45019</v>
      </c>
      <c r="E3161" t="s">
        <v>422</v>
      </c>
      <c r="F3161">
        <v>16.43</v>
      </c>
      <c r="G3161" t="s">
        <v>70</v>
      </c>
      <c r="H3161" t="s">
        <v>264</v>
      </c>
      <c r="I3161" t="s">
        <v>72</v>
      </c>
    </row>
    <row r="3162" spans="1:9" x14ac:dyDescent="0.25">
      <c r="A3162" t="s">
        <v>264</v>
      </c>
      <c r="B3162" t="s">
        <v>230</v>
      </c>
      <c r="C3162" t="s">
        <v>427</v>
      </c>
      <c r="D3162" s="1">
        <v>45019</v>
      </c>
      <c r="E3162" t="s">
        <v>430</v>
      </c>
      <c r="F3162">
        <v>-1.95</v>
      </c>
      <c r="G3162" t="s">
        <v>89</v>
      </c>
      <c r="H3162" t="s">
        <v>90</v>
      </c>
      <c r="I3162" t="s">
        <v>128</v>
      </c>
    </row>
    <row r="3163" spans="1:9" x14ac:dyDescent="0.25">
      <c r="A3163" t="s">
        <v>264</v>
      </c>
      <c r="B3163" t="s">
        <v>230</v>
      </c>
      <c r="C3163" t="s">
        <v>427</v>
      </c>
      <c r="D3163" s="1">
        <v>45019</v>
      </c>
      <c r="E3163" t="s">
        <v>431</v>
      </c>
      <c r="F3163">
        <v>-5.57</v>
      </c>
      <c r="G3163" t="s">
        <v>76</v>
      </c>
      <c r="H3163" t="s">
        <v>87</v>
      </c>
      <c r="I3163" t="s">
        <v>88</v>
      </c>
    </row>
    <row r="3164" spans="1:9" x14ac:dyDescent="0.25">
      <c r="A3164" t="s">
        <v>264</v>
      </c>
      <c r="B3164" t="s">
        <v>230</v>
      </c>
      <c r="C3164" t="s">
        <v>427</v>
      </c>
      <c r="D3164" s="1">
        <v>45022</v>
      </c>
      <c r="E3164" t="s">
        <v>432</v>
      </c>
      <c r="F3164">
        <v>-52.36</v>
      </c>
      <c r="G3164" t="s">
        <v>68</v>
      </c>
      <c r="H3164" t="s">
        <v>69</v>
      </c>
      <c r="I3164" t="s">
        <v>69</v>
      </c>
    </row>
    <row r="3165" spans="1:9" x14ac:dyDescent="0.25">
      <c r="A3165" t="s">
        <v>264</v>
      </c>
      <c r="B3165" t="s">
        <v>230</v>
      </c>
      <c r="C3165" t="s">
        <v>427</v>
      </c>
      <c r="D3165" s="1">
        <v>45022</v>
      </c>
      <c r="E3165" t="s">
        <v>424</v>
      </c>
      <c r="F3165">
        <v>-29.61</v>
      </c>
      <c r="G3165" t="s">
        <v>68</v>
      </c>
      <c r="H3165" t="s">
        <v>69</v>
      </c>
      <c r="I3165" t="s">
        <v>69</v>
      </c>
    </row>
    <row r="3166" spans="1:9" x14ac:dyDescent="0.25">
      <c r="A3166" t="s">
        <v>264</v>
      </c>
      <c r="B3166" t="s">
        <v>230</v>
      </c>
      <c r="C3166" t="s">
        <v>427</v>
      </c>
      <c r="D3166" s="1">
        <v>45022</v>
      </c>
      <c r="E3166" t="s">
        <v>433</v>
      </c>
      <c r="F3166">
        <v>-65.77</v>
      </c>
      <c r="G3166" t="s">
        <v>68</v>
      </c>
      <c r="H3166" t="s">
        <v>69</v>
      </c>
      <c r="I3166" t="s">
        <v>69</v>
      </c>
    </row>
    <row r="3167" spans="1:9" x14ac:dyDescent="0.25">
      <c r="A3167" t="s">
        <v>264</v>
      </c>
      <c r="B3167" t="s">
        <v>230</v>
      </c>
      <c r="C3167" t="s">
        <v>427</v>
      </c>
      <c r="D3167" s="1">
        <v>45022</v>
      </c>
      <c r="E3167" t="s">
        <v>422</v>
      </c>
      <c r="F3167">
        <v>282.47000000000003</v>
      </c>
      <c r="G3167" t="s">
        <v>70</v>
      </c>
      <c r="H3167" t="s">
        <v>264</v>
      </c>
      <c r="I3167" t="s">
        <v>72</v>
      </c>
    </row>
    <row r="3168" spans="1:9" x14ac:dyDescent="0.25">
      <c r="A3168" t="s">
        <v>264</v>
      </c>
      <c r="B3168" t="s">
        <v>230</v>
      </c>
      <c r="C3168" t="s">
        <v>427</v>
      </c>
      <c r="D3168" s="1">
        <v>45027</v>
      </c>
      <c r="E3168" t="s">
        <v>434</v>
      </c>
      <c r="F3168">
        <v>-54.25</v>
      </c>
      <c r="G3168" t="s">
        <v>76</v>
      </c>
      <c r="H3168" t="s">
        <v>77</v>
      </c>
      <c r="I3168" t="s">
        <v>435</v>
      </c>
    </row>
    <row r="3169" spans="1:9" x14ac:dyDescent="0.25">
      <c r="A3169" t="s">
        <v>264</v>
      </c>
      <c r="B3169" t="s">
        <v>230</v>
      </c>
      <c r="C3169" t="s">
        <v>427</v>
      </c>
      <c r="D3169" s="1">
        <v>45027</v>
      </c>
      <c r="E3169" t="s">
        <v>422</v>
      </c>
      <c r="F3169">
        <v>66.45</v>
      </c>
      <c r="G3169" t="s">
        <v>70</v>
      </c>
      <c r="H3169" t="s">
        <v>264</v>
      </c>
      <c r="I3169" t="s">
        <v>72</v>
      </c>
    </row>
    <row r="3170" spans="1:9" x14ac:dyDescent="0.25">
      <c r="A3170" t="s">
        <v>264</v>
      </c>
      <c r="B3170" t="s">
        <v>230</v>
      </c>
      <c r="C3170" t="s">
        <v>427</v>
      </c>
      <c r="D3170" s="1">
        <v>45027</v>
      </c>
      <c r="E3170" t="s">
        <v>436</v>
      </c>
      <c r="F3170">
        <v>-20.329999999999998</v>
      </c>
      <c r="G3170" t="s">
        <v>68</v>
      </c>
      <c r="H3170" t="s">
        <v>69</v>
      </c>
      <c r="I3170" t="s">
        <v>69</v>
      </c>
    </row>
    <row r="3171" spans="1:9" x14ac:dyDescent="0.25">
      <c r="A3171" t="s">
        <v>264</v>
      </c>
      <c r="B3171" t="s">
        <v>230</v>
      </c>
      <c r="C3171" t="s">
        <v>427</v>
      </c>
      <c r="D3171" s="1">
        <v>45027</v>
      </c>
      <c r="E3171" t="s">
        <v>432</v>
      </c>
      <c r="F3171">
        <v>-16.899999999999999</v>
      </c>
      <c r="G3171" t="s">
        <v>68</v>
      </c>
      <c r="H3171" t="s">
        <v>69</v>
      </c>
      <c r="I3171" t="s">
        <v>69</v>
      </c>
    </row>
    <row r="3172" spans="1:9" x14ac:dyDescent="0.25">
      <c r="A3172" t="s">
        <v>264</v>
      </c>
      <c r="B3172" t="s">
        <v>230</v>
      </c>
      <c r="C3172" t="s">
        <v>427</v>
      </c>
      <c r="D3172" s="1">
        <v>45027</v>
      </c>
      <c r="E3172" t="s">
        <v>433</v>
      </c>
      <c r="F3172">
        <v>-7.65</v>
      </c>
      <c r="G3172" t="s">
        <v>68</v>
      </c>
      <c r="H3172" t="s">
        <v>69</v>
      </c>
      <c r="I3172" t="s">
        <v>69</v>
      </c>
    </row>
    <row r="3173" spans="1:9" x14ac:dyDescent="0.25">
      <c r="A3173" t="s">
        <v>264</v>
      </c>
      <c r="B3173" t="s">
        <v>230</v>
      </c>
      <c r="C3173" t="s">
        <v>427</v>
      </c>
      <c r="D3173" s="1">
        <v>45027</v>
      </c>
      <c r="E3173" t="s">
        <v>437</v>
      </c>
      <c r="F3173">
        <v>-15.5</v>
      </c>
      <c r="G3173" t="s">
        <v>76</v>
      </c>
      <c r="H3173" t="s">
        <v>77</v>
      </c>
      <c r="I3173" t="s">
        <v>78</v>
      </c>
    </row>
    <row r="3174" spans="1:9" x14ac:dyDescent="0.25">
      <c r="A3174" t="s">
        <v>264</v>
      </c>
      <c r="B3174" t="s">
        <v>230</v>
      </c>
      <c r="C3174" t="s">
        <v>427</v>
      </c>
      <c r="D3174" s="1">
        <v>45027</v>
      </c>
      <c r="E3174" t="s">
        <v>438</v>
      </c>
      <c r="F3174">
        <v>-10.3</v>
      </c>
      <c r="G3174" t="s">
        <v>68</v>
      </c>
      <c r="H3174" t="s">
        <v>69</v>
      </c>
      <c r="I3174" t="s">
        <v>69</v>
      </c>
    </row>
    <row r="3175" spans="1:9" x14ac:dyDescent="0.25">
      <c r="A3175" t="s">
        <v>264</v>
      </c>
      <c r="B3175" t="s">
        <v>230</v>
      </c>
      <c r="C3175" t="s">
        <v>427</v>
      </c>
      <c r="D3175" s="1">
        <v>45027</v>
      </c>
      <c r="E3175" t="s">
        <v>439</v>
      </c>
      <c r="F3175">
        <v>-37.9</v>
      </c>
      <c r="G3175" t="s">
        <v>79</v>
      </c>
      <c r="H3175" t="s">
        <v>96</v>
      </c>
      <c r="I3175" t="s">
        <v>96</v>
      </c>
    </row>
    <row r="3176" spans="1:9" x14ac:dyDescent="0.25">
      <c r="A3176" t="s">
        <v>264</v>
      </c>
      <c r="B3176" t="s">
        <v>230</v>
      </c>
      <c r="C3176" t="s">
        <v>427</v>
      </c>
      <c r="D3176" s="1">
        <v>45028</v>
      </c>
      <c r="E3176" t="s">
        <v>422</v>
      </c>
      <c r="F3176">
        <v>17.850000000000001</v>
      </c>
      <c r="G3176" t="s">
        <v>70</v>
      </c>
      <c r="H3176" t="s">
        <v>264</v>
      </c>
      <c r="I3176" t="s">
        <v>72</v>
      </c>
    </row>
    <row r="3177" spans="1:9" x14ac:dyDescent="0.25">
      <c r="A3177" t="s">
        <v>264</v>
      </c>
      <c r="B3177" t="s">
        <v>230</v>
      </c>
      <c r="C3177" t="s">
        <v>427</v>
      </c>
      <c r="D3177" s="1">
        <v>45030</v>
      </c>
      <c r="E3177" t="s">
        <v>428</v>
      </c>
      <c r="F3177">
        <v>-181.58</v>
      </c>
      <c r="G3177" t="s">
        <v>68</v>
      </c>
      <c r="H3177" t="s">
        <v>69</v>
      </c>
      <c r="I3177" t="s">
        <v>69</v>
      </c>
    </row>
    <row r="3178" spans="1:9" x14ac:dyDescent="0.25">
      <c r="A3178" t="s">
        <v>264</v>
      </c>
      <c r="B3178" t="s">
        <v>230</v>
      </c>
      <c r="C3178" t="s">
        <v>427</v>
      </c>
      <c r="D3178" s="1">
        <v>45033</v>
      </c>
      <c r="E3178" t="s">
        <v>422</v>
      </c>
      <c r="F3178">
        <v>280.16000000000003</v>
      </c>
      <c r="G3178" t="s">
        <v>70</v>
      </c>
      <c r="H3178" t="s">
        <v>264</v>
      </c>
      <c r="I3178" t="s">
        <v>72</v>
      </c>
    </row>
    <row r="3179" spans="1:9" x14ac:dyDescent="0.25">
      <c r="A3179" t="s">
        <v>264</v>
      </c>
      <c r="B3179" t="s">
        <v>230</v>
      </c>
      <c r="C3179" t="s">
        <v>427</v>
      </c>
      <c r="D3179" s="1">
        <v>45033</v>
      </c>
      <c r="E3179" t="s">
        <v>422</v>
      </c>
      <c r="F3179">
        <v>68.36</v>
      </c>
      <c r="G3179" t="s">
        <v>70</v>
      </c>
      <c r="H3179" t="s">
        <v>264</v>
      </c>
      <c r="I3179" t="s">
        <v>72</v>
      </c>
    </row>
    <row r="3180" spans="1:9" x14ac:dyDescent="0.25">
      <c r="A3180" t="s">
        <v>264</v>
      </c>
      <c r="B3180" t="s">
        <v>230</v>
      </c>
      <c r="C3180" t="s">
        <v>427</v>
      </c>
      <c r="D3180" s="1">
        <v>45033</v>
      </c>
      <c r="E3180" t="s">
        <v>440</v>
      </c>
      <c r="F3180">
        <v>-127.63</v>
      </c>
      <c r="G3180" t="s">
        <v>89</v>
      </c>
      <c r="H3180" t="s">
        <v>90</v>
      </c>
      <c r="I3180" t="s">
        <v>98</v>
      </c>
    </row>
    <row r="3181" spans="1:9" x14ac:dyDescent="0.25">
      <c r="A3181" t="s">
        <v>264</v>
      </c>
      <c r="B3181" t="s">
        <v>230</v>
      </c>
      <c r="C3181" t="s">
        <v>427</v>
      </c>
      <c r="D3181" s="1">
        <v>45033</v>
      </c>
      <c r="E3181" t="s">
        <v>441</v>
      </c>
      <c r="F3181">
        <v>-13.64</v>
      </c>
      <c r="G3181" t="s">
        <v>79</v>
      </c>
      <c r="H3181" t="s">
        <v>96</v>
      </c>
      <c r="I3181" t="s">
        <v>96</v>
      </c>
    </row>
    <row r="3182" spans="1:9" x14ac:dyDescent="0.25">
      <c r="A3182" t="s">
        <v>264</v>
      </c>
      <c r="B3182" t="s">
        <v>230</v>
      </c>
      <c r="C3182" t="s">
        <v>427</v>
      </c>
      <c r="D3182" s="1">
        <v>45033</v>
      </c>
      <c r="E3182" t="s">
        <v>432</v>
      </c>
      <c r="F3182">
        <v>-38.06</v>
      </c>
      <c r="G3182" t="s">
        <v>68</v>
      </c>
      <c r="H3182" t="s">
        <v>69</v>
      </c>
      <c r="I3182" t="s">
        <v>69</v>
      </c>
    </row>
    <row r="3183" spans="1:9" x14ac:dyDescent="0.25">
      <c r="A3183" t="s">
        <v>264</v>
      </c>
      <c r="B3183" t="s">
        <v>230</v>
      </c>
      <c r="C3183" t="s">
        <v>427</v>
      </c>
      <c r="D3183" s="1">
        <v>45033</v>
      </c>
      <c r="E3183" t="s">
        <v>442</v>
      </c>
      <c r="F3183">
        <v>-16.95</v>
      </c>
      <c r="G3183" t="s">
        <v>212</v>
      </c>
      <c r="H3183" t="s">
        <v>212</v>
      </c>
      <c r="I3183" t="s">
        <v>353</v>
      </c>
    </row>
    <row r="3184" spans="1:9" x14ac:dyDescent="0.25">
      <c r="A3184" t="s">
        <v>264</v>
      </c>
      <c r="B3184" t="s">
        <v>230</v>
      </c>
      <c r="C3184" t="s">
        <v>427</v>
      </c>
      <c r="D3184" s="1">
        <v>45033</v>
      </c>
      <c r="E3184" t="s">
        <v>438</v>
      </c>
      <c r="F3184">
        <v>-41.04</v>
      </c>
      <c r="G3184" t="s">
        <v>68</v>
      </c>
      <c r="H3184" t="s">
        <v>69</v>
      </c>
      <c r="I3184" t="s">
        <v>69</v>
      </c>
    </row>
    <row r="3185" spans="1:9" x14ac:dyDescent="0.25">
      <c r="A3185" t="s">
        <v>264</v>
      </c>
      <c r="B3185" t="s">
        <v>230</v>
      </c>
      <c r="C3185" t="s">
        <v>427</v>
      </c>
      <c r="D3185" s="1">
        <v>45033</v>
      </c>
      <c r="E3185" t="s">
        <v>443</v>
      </c>
      <c r="F3185">
        <v>-4.21</v>
      </c>
      <c r="G3185" t="s">
        <v>79</v>
      </c>
      <c r="H3185" t="s">
        <v>96</v>
      </c>
      <c r="I3185" t="s">
        <v>96</v>
      </c>
    </row>
    <row r="3186" spans="1:9" x14ac:dyDescent="0.25">
      <c r="A3186" t="s">
        <v>264</v>
      </c>
      <c r="B3186" t="s">
        <v>230</v>
      </c>
      <c r="C3186" t="s">
        <v>427</v>
      </c>
      <c r="D3186" s="1">
        <v>45034</v>
      </c>
      <c r="E3186" t="s">
        <v>425</v>
      </c>
      <c r="F3186">
        <v>-4.57</v>
      </c>
      <c r="G3186" t="s">
        <v>68</v>
      </c>
      <c r="H3186" t="s">
        <v>69</v>
      </c>
      <c r="I3186" t="s">
        <v>69</v>
      </c>
    </row>
    <row r="3187" spans="1:9" x14ac:dyDescent="0.25">
      <c r="A3187" t="s">
        <v>264</v>
      </c>
      <c r="B3187" t="s">
        <v>230</v>
      </c>
      <c r="C3187" t="s">
        <v>427</v>
      </c>
      <c r="D3187" s="1">
        <v>45035</v>
      </c>
      <c r="E3187" t="s">
        <v>428</v>
      </c>
      <c r="F3187">
        <v>-13.5</v>
      </c>
      <c r="G3187" t="s">
        <v>68</v>
      </c>
      <c r="H3187" t="s">
        <v>69</v>
      </c>
      <c r="I3187" t="s">
        <v>69</v>
      </c>
    </row>
    <row r="3188" spans="1:9" x14ac:dyDescent="0.25">
      <c r="A3188" t="s">
        <v>264</v>
      </c>
      <c r="B3188" t="s">
        <v>230</v>
      </c>
      <c r="C3188" t="s">
        <v>427</v>
      </c>
      <c r="D3188" s="1">
        <v>45035</v>
      </c>
      <c r="E3188" t="s">
        <v>444</v>
      </c>
      <c r="F3188">
        <v>-2.3199999999999998</v>
      </c>
      <c r="G3188" t="s">
        <v>68</v>
      </c>
      <c r="H3188" t="s">
        <v>69</v>
      </c>
      <c r="I3188" t="s">
        <v>69</v>
      </c>
    </row>
    <row r="3189" spans="1:9" x14ac:dyDescent="0.25">
      <c r="A3189" t="s">
        <v>264</v>
      </c>
      <c r="B3189" t="s">
        <v>230</v>
      </c>
      <c r="C3189" t="s">
        <v>427</v>
      </c>
      <c r="D3189" s="1">
        <v>45035</v>
      </c>
      <c r="E3189" t="s">
        <v>422</v>
      </c>
      <c r="F3189">
        <v>12.06</v>
      </c>
      <c r="G3189" t="s">
        <v>70</v>
      </c>
      <c r="H3189" t="s">
        <v>264</v>
      </c>
      <c r="I3189" t="s">
        <v>72</v>
      </c>
    </row>
    <row r="3190" spans="1:9" x14ac:dyDescent="0.25">
      <c r="A3190" t="s">
        <v>264</v>
      </c>
      <c r="B3190" t="s">
        <v>230</v>
      </c>
      <c r="C3190" t="s">
        <v>427</v>
      </c>
      <c r="D3190" s="1">
        <v>45035</v>
      </c>
      <c r="E3190" t="s">
        <v>422</v>
      </c>
      <c r="F3190">
        <v>16.29</v>
      </c>
      <c r="G3190" t="s">
        <v>70</v>
      </c>
      <c r="H3190" t="s">
        <v>264</v>
      </c>
      <c r="I3190" t="s">
        <v>72</v>
      </c>
    </row>
    <row r="3191" spans="1:9" x14ac:dyDescent="0.25">
      <c r="A3191" t="s">
        <v>264</v>
      </c>
      <c r="B3191" t="s">
        <v>230</v>
      </c>
      <c r="C3191" t="s">
        <v>427</v>
      </c>
      <c r="D3191" s="1">
        <v>45042</v>
      </c>
      <c r="E3191" t="s">
        <v>432</v>
      </c>
      <c r="F3191">
        <v>-38.39</v>
      </c>
      <c r="G3191" t="s">
        <v>68</v>
      </c>
      <c r="H3191" t="s">
        <v>69</v>
      </c>
      <c r="I3191" t="s">
        <v>69</v>
      </c>
    </row>
    <row r="3192" spans="1:9" x14ac:dyDescent="0.25">
      <c r="A3192" t="s">
        <v>264</v>
      </c>
      <c r="B3192" t="s">
        <v>230</v>
      </c>
      <c r="C3192" t="s">
        <v>427</v>
      </c>
      <c r="D3192" s="1">
        <v>45042</v>
      </c>
      <c r="E3192" t="s">
        <v>424</v>
      </c>
      <c r="F3192">
        <v>-17.63</v>
      </c>
      <c r="G3192" t="s">
        <v>68</v>
      </c>
      <c r="H3192" t="s">
        <v>69</v>
      </c>
      <c r="I3192" t="s">
        <v>69</v>
      </c>
    </row>
    <row r="3193" spans="1:9" x14ac:dyDescent="0.25">
      <c r="A3193" t="s">
        <v>264</v>
      </c>
      <c r="B3193" t="s">
        <v>230</v>
      </c>
      <c r="C3193" t="s">
        <v>427</v>
      </c>
      <c r="D3193" s="1">
        <v>45042</v>
      </c>
      <c r="E3193" t="s">
        <v>433</v>
      </c>
      <c r="F3193">
        <v>-14.99</v>
      </c>
      <c r="G3193" t="s">
        <v>68</v>
      </c>
      <c r="H3193" t="s">
        <v>69</v>
      </c>
      <c r="I3193" t="s">
        <v>69</v>
      </c>
    </row>
    <row r="3194" spans="1:9" x14ac:dyDescent="0.25">
      <c r="A3194" t="s">
        <v>264</v>
      </c>
      <c r="B3194" t="s">
        <v>230</v>
      </c>
      <c r="C3194" t="s">
        <v>427</v>
      </c>
      <c r="D3194" s="1">
        <v>45047</v>
      </c>
      <c r="E3194" t="s">
        <v>445</v>
      </c>
      <c r="F3194">
        <v>-6.24</v>
      </c>
      <c r="G3194" t="s">
        <v>84</v>
      </c>
      <c r="H3194" t="s">
        <v>85</v>
      </c>
      <c r="I3194" t="s">
        <v>86</v>
      </c>
    </row>
    <row r="3195" spans="1:9" x14ac:dyDescent="0.25">
      <c r="A3195" t="s">
        <v>264</v>
      </c>
      <c r="B3195" t="s">
        <v>230</v>
      </c>
      <c r="C3195" t="s">
        <v>427</v>
      </c>
      <c r="D3195" s="1">
        <v>45047</v>
      </c>
      <c r="E3195" t="s">
        <v>446</v>
      </c>
      <c r="F3195">
        <v>-1.93</v>
      </c>
      <c r="G3195" t="s">
        <v>84</v>
      </c>
      <c r="H3195" t="s">
        <v>85</v>
      </c>
      <c r="I3195" t="s">
        <v>86</v>
      </c>
    </row>
    <row r="3196" spans="1:9" x14ac:dyDescent="0.25">
      <c r="A3196" t="s">
        <v>264</v>
      </c>
      <c r="B3196" t="s">
        <v>230</v>
      </c>
      <c r="C3196" t="s">
        <v>427</v>
      </c>
      <c r="D3196" s="1">
        <v>45047</v>
      </c>
      <c r="E3196" t="s">
        <v>447</v>
      </c>
      <c r="F3196">
        <v>-468.44</v>
      </c>
      <c r="G3196" t="s">
        <v>76</v>
      </c>
      <c r="H3196" t="s">
        <v>82</v>
      </c>
      <c r="I3196" t="s">
        <v>83</v>
      </c>
    </row>
    <row r="3197" spans="1:9" x14ac:dyDescent="0.25">
      <c r="A3197" t="s">
        <v>264</v>
      </c>
      <c r="B3197" t="s">
        <v>230</v>
      </c>
      <c r="C3197" t="s">
        <v>427</v>
      </c>
      <c r="D3197" s="1">
        <v>45047</v>
      </c>
      <c r="E3197" t="s">
        <v>445</v>
      </c>
      <c r="F3197">
        <v>-3.89</v>
      </c>
      <c r="G3197" t="s">
        <v>84</v>
      </c>
      <c r="H3197" t="s">
        <v>85</v>
      </c>
      <c r="I3197" t="s">
        <v>86</v>
      </c>
    </row>
    <row r="3198" spans="1:9" x14ac:dyDescent="0.25">
      <c r="A3198" t="s">
        <v>264</v>
      </c>
      <c r="B3198" t="s">
        <v>230</v>
      </c>
      <c r="C3198" t="s">
        <v>427</v>
      </c>
      <c r="D3198" s="1">
        <v>45047</v>
      </c>
      <c r="E3198" t="s">
        <v>446</v>
      </c>
      <c r="F3198">
        <v>-9.51</v>
      </c>
      <c r="G3198" t="s">
        <v>84</v>
      </c>
      <c r="H3198" t="s">
        <v>85</v>
      </c>
      <c r="I3198" t="s">
        <v>86</v>
      </c>
    </row>
    <row r="3199" spans="1:9" x14ac:dyDescent="0.25">
      <c r="A3199" t="s">
        <v>264</v>
      </c>
      <c r="B3199" t="s">
        <v>230</v>
      </c>
      <c r="C3199" t="s">
        <v>427</v>
      </c>
      <c r="D3199" s="1">
        <v>45047</v>
      </c>
      <c r="E3199" t="s">
        <v>448</v>
      </c>
      <c r="F3199">
        <v>-425.41</v>
      </c>
      <c r="G3199" t="s">
        <v>76</v>
      </c>
      <c r="H3199" t="s">
        <v>82</v>
      </c>
      <c r="I3199" t="s">
        <v>83</v>
      </c>
    </row>
    <row r="3200" spans="1:9" x14ac:dyDescent="0.25">
      <c r="A3200" t="s">
        <v>264</v>
      </c>
      <c r="B3200" t="s">
        <v>230</v>
      </c>
      <c r="C3200" t="s">
        <v>427</v>
      </c>
      <c r="D3200" s="1">
        <v>45042</v>
      </c>
      <c r="E3200" t="s">
        <v>422</v>
      </c>
      <c r="F3200">
        <v>26.4</v>
      </c>
      <c r="G3200" t="s">
        <v>70</v>
      </c>
      <c r="H3200" t="s">
        <v>264</v>
      </c>
      <c r="I3200" t="s">
        <v>72</v>
      </c>
    </row>
    <row r="3201" spans="1:9" x14ac:dyDescent="0.25">
      <c r="A3201" t="s">
        <v>264</v>
      </c>
      <c r="B3201" t="s">
        <v>230</v>
      </c>
      <c r="C3201" t="s">
        <v>427</v>
      </c>
      <c r="D3201" s="1">
        <v>45042</v>
      </c>
      <c r="E3201" t="s">
        <v>422</v>
      </c>
      <c r="F3201">
        <v>3.53</v>
      </c>
      <c r="G3201" t="s">
        <v>70</v>
      </c>
      <c r="H3201" t="s">
        <v>264</v>
      </c>
      <c r="I3201" t="s">
        <v>72</v>
      </c>
    </row>
    <row r="3202" spans="1:9" x14ac:dyDescent="0.25">
      <c r="A3202" t="s">
        <v>264</v>
      </c>
      <c r="B3202" t="s">
        <v>230</v>
      </c>
      <c r="C3202" t="s">
        <v>427</v>
      </c>
      <c r="D3202" s="1">
        <v>45042</v>
      </c>
      <c r="E3202" t="s">
        <v>449</v>
      </c>
      <c r="F3202">
        <v>-28.91</v>
      </c>
      <c r="G3202" t="s">
        <v>76</v>
      </c>
      <c r="H3202" t="s">
        <v>87</v>
      </c>
      <c r="I3202" t="s">
        <v>88</v>
      </c>
    </row>
    <row r="3203" spans="1:9" x14ac:dyDescent="0.25">
      <c r="A3203" t="s">
        <v>264</v>
      </c>
      <c r="B3203" t="s">
        <v>230</v>
      </c>
      <c r="C3203" t="s">
        <v>427</v>
      </c>
      <c r="D3203" s="1">
        <v>45043</v>
      </c>
      <c r="E3203" t="s">
        <v>450</v>
      </c>
      <c r="F3203">
        <v>-57.86</v>
      </c>
      <c r="G3203" t="s">
        <v>68</v>
      </c>
      <c r="H3203" t="s">
        <v>69</v>
      </c>
      <c r="I3203" t="s">
        <v>69</v>
      </c>
    </row>
    <row r="3204" spans="1:9" x14ac:dyDescent="0.25">
      <c r="A3204" t="s">
        <v>264</v>
      </c>
      <c r="B3204" t="s">
        <v>230</v>
      </c>
      <c r="C3204" t="s">
        <v>427</v>
      </c>
      <c r="D3204" s="1">
        <v>45044</v>
      </c>
      <c r="E3204" t="s">
        <v>451</v>
      </c>
      <c r="F3204">
        <v>-8.2799999999999994</v>
      </c>
      <c r="G3204" t="s">
        <v>76</v>
      </c>
      <c r="H3204" t="s">
        <v>87</v>
      </c>
      <c r="I3204" t="s">
        <v>88</v>
      </c>
    </row>
    <row r="3205" spans="1:9" x14ac:dyDescent="0.25">
      <c r="A3205" t="s">
        <v>264</v>
      </c>
      <c r="B3205" t="s">
        <v>230</v>
      </c>
      <c r="C3205" t="s">
        <v>427</v>
      </c>
      <c r="D3205" s="1">
        <v>45044</v>
      </c>
      <c r="E3205" t="s">
        <v>452</v>
      </c>
      <c r="F3205">
        <v>-0.3</v>
      </c>
      <c r="G3205" t="s">
        <v>76</v>
      </c>
      <c r="H3205" t="s">
        <v>87</v>
      </c>
      <c r="I3205" t="s">
        <v>88</v>
      </c>
    </row>
    <row r="3206" spans="1:9" x14ac:dyDescent="0.25">
      <c r="A3206" t="s">
        <v>264</v>
      </c>
      <c r="B3206" t="s">
        <v>230</v>
      </c>
      <c r="C3206" t="s">
        <v>427</v>
      </c>
      <c r="D3206" s="1">
        <v>45044</v>
      </c>
      <c r="E3206" t="s">
        <v>452</v>
      </c>
      <c r="F3206">
        <v>-1.76</v>
      </c>
      <c r="G3206" t="s">
        <v>76</v>
      </c>
      <c r="H3206" t="s">
        <v>87</v>
      </c>
      <c r="I3206" t="s">
        <v>88</v>
      </c>
    </row>
    <row r="3207" spans="1:9" x14ac:dyDescent="0.25">
      <c r="A3207" t="s">
        <v>264</v>
      </c>
      <c r="B3207" t="s">
        <v>230</v>
      </c>
      <c r="C3207" t="s">
        <v>427</v>
      </c>
      <c r="D3207" s="1">
        <v>45043</v>
      </c>
      <c r="E3207" t="s">
        <v>422</v>
      </c>
      <c r="F3207">
        <v>118.48</v>
      </c>
      <c r="G3207" t="s">
        <v>70</v>
      </c>
      <c r="H3207" t="s">
        <v>264</v>
      </c>
      <c r="I3207" t="s">
        <v>72</v>
      </c>
    </row>
    <row r="3208" spans="1:9" x14ac:dyDescent="0.25">
      <c r="A3208" t="s">
        <v>264</v>
      </c>
      <c r="B3208" t="s">
        <v>230</v>
      </c>
      <c r="C3208" t="s">
        <v>427</v>
      </c>
      <c r="D3208" s="1">
        <v>45043</v>
      </c>
      <c r="E3208" t="s">
        <v>422</v>
      </c>
      <c r="F3208">
        <v>107.64</v>
      </c>
      <c r="G3208" t="s">
        <v>70</v>
      </c>
      <c r="H3208" t="s">
        <v>264</v>
      </c>
      <c r="I3208" t="s">
        <v>72</v>
      </c>
    </row>
    <row r="3209" spans="1:9" x14ac:dyDescent="0.25">
      <c r="A3209" t="s">
        <v>264</v>
      </c>
      <c r="B3209" t="s">
        <v>230</v>
      </c>
      <c r="C3209" t="s">
        <v>427</v>
      </c>
      <c r="D3209" s="1">
        <v>45043</v>
      </c>
      <c r="E3209" t="s">
        <v>422</v>
      </c>
      <c r="F3209">
        <v>1766.39</v>
      </c>
      <c r="G3209" t="s">
        <v>70</v>
      </c>
      <c r="H3209" t="s">
        <v>264</v>
      </c>
      <c r="I3209" t="s">
        <v>72</v>
      </c>
    </row>
    <row r="3210" spans="1:9" x14ac:dyDescent="0.25">
      <c r="A3210" t="s">
        <v>264</v>
      </c>
      <c r="B3210" t="s">
        <v>230</v>
      </c>
      <c r="C3210" t="s">
        <v>427</v>
      </c>
      <c r="D3210" s="1">
        <v>45043</v>
      </c>
      <c r="E3210" t="s">
        <v>422</v>
      </c>
      <c r="F3210">
        <v>33.049999999999997</v>
      </c>
      <c r="G3210" t="s">
        <v>70</v>
      </c>
      <c r="H3210" t="s">
        <v>264</v>
      </c>
      <c r="I3210" t="s">
        <v>72</v>
      </c>
    </row>
    <row r="3211" spans="1:9" x14ac:dyDescent="0.25">
      <c r="A3211" t="s">
        <v>264</v>
      </c>
      <c r="B3211" t="s">
        <v>230</v>
      </c>
      <c r="C3211" t="s">
        <v>427</v>
      </c>
      <c r="D3211" s="1">
        <v>45047</v>
      </c>
      <c r="E3211" t="s">
        <v>422</v>
      </c>
      <c r="F3211">
        <v>77.39</v>
      </c>
      <c r="G3211" t="s">
        <v>70</v>
      </c>
      <c r="H3211" t="s">
        <v>264</v>
      </c>
      <c r="I3211" t="s">
        <v>72</v>
      </c>
    </row>
    <row r="3212" spans="1:9" x14ac:dyDescent="0.25">
      <c r="A3212" t="s">
        <v>264</v>
      </c>
      <c r="B3212" t="s">
        <v>230</v>
      </c>
      <c r="C3212" t="s">
        <v>427</v>
      </c>
      <c r="D3212" s="1">
        <v>45047</v>
      </c>
      <c r="E3212" t="s">
        <v>453</v>
      </c>
      <c r="F3212">
        <v>-58.31</v>
      </c>
      <c r="G3212" t="s">
        <v>76</v>
      </c>
      <c r="H3212" t="s">
        <v>87</v>
      </c>
      <c r="I3212" t="s">
        <v>88</v>
      </c>
    </row>
    <row r="3213" spans="1:9" x14ac:dyDescent="0.25">
      <c r="A3213" t="s">
        <v>264</v>
      </c>
      <c r="B3213" t="s">
        <v>230</v>
      </c>
      <c r="C3213" t="s">
        <v>427</v>
      </c>
      <c r="D3213" s="1">
        <v>45047</v>
      </c>
      <c r="E3213" t="s">
        <v>454</v>
      </c>
      <c r="F3213">
        <v>-11.66</v>
      </c>
      <c r="G3213" t="s">
        <v>76</v>
      </c>
      <c r="H3213" t="s">
        <v>87</v>
      </c>
      <c r="I3213" t="s">
        <v>88</v>
      </c>
    </row>
    <row r="3214" spans="1:9" x14ac:dyDescent="0.25">
      <c r="A3214" t="s">
        <v>264</v>
      </c>
      <c r="B3214" t="s">
        <v>230</v>
      </c>
      <c r="C3214" t="s">
        <v>427</v>
      </c>
      <c r="D3214" s="1">
        <v>45047</v>
      </c>
      <c r="E3214" t="s">
        <v>452</v>
      </c>
      <c r="F3214">
        <v>-1.79</v>
      </c>
      <c r="G3214" t="s">
        <v>76</v>
      </c>
      <c r="H3214" t="s">
        <v>87</v>
      </c>
      <c r="I3214" t="s">
        <v>88</v>
      </c>
    </row>
    <row r="3215" spans="1:9" x14ac:dyDescent="0.25">
      <c r="A3215" t="s">
        <v>264</v>
      </c>
      <c r="B3215" t="s">
        <v>230</v>
      </c>
      <c r="C3215" t="s">
        <v>427</v>
      </c>
      <c r="D3215" s="1">
        <v>45047</v>
      </c>
      <c r="E3215" t="s">
        <v>451</v>
      </c>
      <c r="F3215">
        <v>-7.44</v>
      </c>
      <c r="G3215" t="s">
        <v>76</v>
      </c>
      <c r="H3215" t="s">
        <v>87</v>
      </c>
      <c r="I3215" t="s">
        <v>88</v>
      </c>
    </row>
    <row r="3216" spans="1:9" x14ac:dyDescent="0.25">
      <c r="A3216" t="s">
        <v>264</v>
      </c>
      <c r="B3216" t="s">
        <v>230</v>
      </c>
      <c r="C3216" t="s">
        <v>427</v>
      </c>
      <c r="D3216" s="1">
        <v>45047</v>
      </c>
      <c r="E3216" t="s">
        <v>455</v>
      </c>
      <c r="F3216">
        <v>7.22</v>
      </c>
      <c r="G3216" t="s">
        <v>84</v>
      </c>
      <c r="H3216" t="s">
        <v>85</v>
      </c>
      <c r="I3216" t="s">
        <v>86</v>
      </c>
    </row>
    <row r="3217" spans="1:9" x14ac:dyDescent="0.25">
      <c r="A3217" t="s">
        <v>264</v>
      </c>
      <c r="B3217" t="s">
        <v>230</v>
      </c>
      <c r="C3217" t="s">
        <v>427</v>
      </c>
      <c r="D3217" s="1">
        <v>45047</v>
      </c>
      <c r="E3217" t="s">
        <v>456</v>
      </c>
      <c r="F3217">
        <v>-31.95</v>
      </c>
      <c r="G3217" t="s">
        <v>84</v>
      </c>
      <c r="H3217" t="s">
        <v>85</v>
      </c>
      <c r="I3217" t="s">
        <v>86</v>
      </c>
    </row>
    <row r="3218" spans="1:9" x14ac:dyDescent="0.25">
      <c r="A3218" t="s">
        <v>264</v>
      </c>
      <c r="B3218" t="s">
        <v>230</v>
      </c>
      <c r="C3218" t="s">
        <v>427</v>
      </c>
      <c r="D3218" s="1">
        <v>45047</v>
      </c>
      <c r="E3218" t="s">
        <v>422</v>
      </c>
      <c r="F3218">
        <v>36.18</v>
      </c>
      <c r="G3218" t="s">
        <v>70</v>
      </c>
      <c r="H3218" t="s">
        <v>264</v>
      </c>
      <c r="I3218" t="s">
        <v>72</v>
      </c>
    </row>
    <row r="3219" spans="1:9" x14ac:dyDescent="0.25">
      <c r="A3219" t="s">
        <v>264</v>
      </c>
      <c r="B3219" t="s">
        <v>230</v>
      </c>
      <c r="C3219" t="s">
        <v>427</v>
      </c>
      <c r="D3219" s="1">
        <v>45047</v>
      </c>
      <c r="E3219" t="s">
        <v>422</v>
      </c>
      <c r="F3219">
        <v>2.78</v>
      </c>
      <c r="G3219" t="s">
        <v>70</v>
      </c>
      <c r="H3219" t="s">
        <v>264</v>
      </c>
      <c r="I3219" t="s">
        <v>72</v>
      </c>
    </row>
    <row r="3220" spans="1:9" x14ac:dyDescent="0.25">
      <c r="A3220" t="s">
        <v>264</v>
      </c>
      <c r="B3220" t="s">
        <v>230</v>
      </c>
      <c r="C3220" t="s">
        <v>427</v>
      </c>
      <c r="D3220" s="1">
        <v>45047</v>
      </c>
      <c r="E3220" t="s">
        <v>422</v>
      </c>
      <c r="F3220">
        <v>21.24</v>
      </c>
      <c r="G3220" t="s">
        <v>70</v>
      </c>
      <c r="H3220" t="s">
        <v>264</v>
      </c>
      <c r="I3220" t="s">
        <v>72</v>
      </c>
    </row>
    <row r="3221" spans="1:9" x14ac:dyDescent="0.25">
      <c r="A3221" t="s">
        <v>264</v>
      </c>
      <c r="B3221" t="s">
        <v>230</v>
      </c>
      <c r="C3221" t="s">
        <v>427</v>
      </c>
      <c r="D3221" s="1">
        <v>45047</v>
      </c>
      <c r="E3221" t="s">
        <v>457</v>
      </c>
      <c r="F3221">
        <v>-4.3899999999999997</v>
      </c>
      <c r="G3221" t="s">
        <v>212</v>
      </c>
      <c r="H3221" t="s">
        <v>213</v>
      </c>
      <c r="I3221" t="s">
        <v>214</v>
      </c>
    </row>
    <row r="3222" spans="1:9" x14ac:dyDescent="0.25">
      <c r="A3222" t="s">
        <v>264</v>
      </c>
      <c r="B3222" t="s">
        <v>230</v>
      </c>
      <c r="C3222" t="s">
        <v>427</v>
      </c>
      <c r="D3222" s="1">
        <v>45047</v>
      </c>
      <c r="E3222" t="s">
        <v>450</v>
      </c>
      <c r="F3222">
        <v>-13.77</v>
      </c>
      <c r="G3222" t="s">
        <v>68</v>
      </c>
      <c r="H3222" t="s">
        <v>69</v>
      </c>
      <c r="I3222" t="s">
        <v>69</v>
      </c>
    </row>
    <row r="3223" spans="1:9" x14ac:dyDescent="0.25">
      <c r="A3223" t="s">
        <v>264</v>
      </c>
      <c r="B3223" t="s">
        <v>230</v>
      </c>
      <c r="C3223" t="s">
        <v>427</v>
      </c>
      <c r="D3223" s="1">
        <v>45047</v>
      </c>
      <c r="E3223" t="s">
        <v>451</v>
      </c>
      <c r="F3223">
        <v>-19.260000000000002</v>
      </c>
      <c r="G3223" t="s">
        <v>76</v>
      </c>
      <c r="H3223" t="s">
        <v>87</v>
      </c>
      <c r="I3223" t="s">
        <v>88</v>
      </c>
    </row>
    <row r="3224" spans="1:9" x14ac:dyDescent="0.25">
      <c r="A3224" t="s">
        <v>264</v>
      </c>
      <c r="B3224" t="s">
        <v>230</v>
      </c>
      <c r="C3224" t="s">
        <v>427</v>
      </c>
      <c r="D3224" s="1">
        <v>45047</v>
      </c>
      <c r="E3224" t="s">
        <v>458</v>
      </c>
      <c r="F3224">
        <v>-0.05</v>
      </c>
      <c r="G3224" t="s">
        <v>76</v>
      </c>
      <c r="H3224" t="s">
        <v>87</v>
      </c>
      <c r="I3224" t="s">
        <v>88</v>
      </c>
    </row>
    <row r="3225" spans="1:9" x14ac:dyDescent="0.25">
      <c r="A3225" t="s">
        <v>264</v>
      </c>
      <c r="B3225" t="s">
        <v>230</v>
      </c>
      <c r="C3225" t="s">
        <v>427</v>
      </c>
      <c r="D3225" s="1">
        <v>45047</v>
      </c>
      <c r="E3225" t="s">
        <v>459</v>
      </c>
      <c r="F3225">
        <v>-2.48</v>
      </c>
      <c r="G3225" t="s">
        <v>76</v>
      </c>
      <c r="H3225" t="s">
        <v>87</v>
      </c>
      <c r="I3225" t="s">
        <v>88</v>
      </c>
    </row>
    <row r="3226" spans="1:9" x14ac:dyDescent="0.25">
      <c r="A3226" t="s">
        <v>264</v>
      </c>
      <c r="B3226" t="s">
        <v>230</v>
      </c>
      <c r="C3226" t="s">
        <v>427</v>
      </c>
      <c r="D3226" s="1">
        <v>45048</v>
      </c>
      <c r="E3226" t="s">
        <v>460</v>
      </c>
      <c r="F3226">
        <v>-18.739999999999998</v>
      </c>
      <c r="G3226" t="s">
        <v>212</v>
      </c>
      <c r="H3226" t="s">
        <v>213</v>
      </c>
      <c r="I3226" t="s">
        <v>214</v>
      </c>
    </row>
    <row r="3227" spans="1:9" x14ac:dyDescent="0.25">
      <c r="A3227" t="s">
        <v>264</v>
      </c>
      <c r="B3227" t="s">
        <v>230</v>
      </c>
      <c r="C3227" t="s">
        <v>427</v>
      </c>
      <c r="D3227" s="1">
        <v>45047</v>
      </c>
      <c r="E3227" t="s">
        <v>422</v>
      </c>
      <c r="F3227">
        <v>8.42</v>
      </c>
      <c r="G3227" t="s">
        <v>70</v>
      </c>
      <c r="H3227" t="s">
        <v>264</v>
      </c>
      <c r="I3227" t="s">
        <v>72</v>
      </c>
    </row>
    <row r="3228" spans="1:9" x14ac:dyDescent="0.25">
      <c r="A3228" t="s">
        <v>264</v>
      </c>
      <c r="B3228" t="s">
        <v>230</v>
      </c>
      <c r="C3228" t="s">
        <v>427</v>
      </c>
      <c r="D3228" s="1">
        <v>45047</v>
      </c>
      <c r="E3228" t="s">
        <v>461</v>
      </c>
      <c r="F3228">
        <v>-30.9</v>
      </c>
      <c r="G3228" t="s">
        <v>89</v>
      </c>
      <c r="H3228" t="s">
        <v>90</v>
      </c>
      <c r="I3228" t="s">
        <v>98</v>
      </c>
    </row>
    <row r="3229" spans="1:9" x14ac:dyDescent="0.25">
      <c r="A3229" t="s">
        <v>264</v>
      </c>
      <c r="B3229" t="s">
        <v>230</v>
      </c>
      <c r="C3229" t="s">
        <v>427</v>
      </c>
      <c r="D3229" s="1">
        <v>45047</v>
      </c>
      <c r="E3229" t="s">
        <v>462</v>
      </c>
      <c r="F3229">
        <v>-5.27</v>
      </c>
      <c r="G3229" t="s">
        <v>76</v>
      </c>
      <c r="H3229" t="s">
        <v>87</v>
      </c>
      <c r="I3229" t="s">
        <v>88</v>
      </c>
    </row>
    <row r="3230" spans="1:9" x14ac:dyDescent="0.25">
      <c r="A3230" t="s">
        <v>264</v>
      </c>
      <c r="B3230" t="s">
        <v>230</v>
      </c>
      <c r="C3230" t="s">
        <v>427</v>
      </c>
      <c r="D3230" s="1">
        <v>45047</v>
      </c>
      <c r="E3230" t="s">
        <v>463</v>
      </c>
      <c r="F3230">
        <v>-6.16</v>
      </c>
      <c r="G3230" t="s">
        <v>89</v>
      </c>
      <c r="H3230" t="s">
        <v>90</v>
      </c>
      <c r="I3230" t="s">
        <v>128</v>
      </c>
    </row>
    <row r="3231" spans="1:9" x14ac:dyDescent="0.25">
      <c r="A3231" t="s">
        <v>264</v>
      </c>
      <c r="B3231" t="s">
        <v>230</v>
      </c>
      <c r="C3231" t="s">
        <v>427</v>
      </c>
      <c r="D3231" s="1">
        <v>45047</v>
      </c>
      <c r="E3231" t="s">
        <v>464</v>
      </c>
      <c r="F3231">
        <v>-3.61</v>
      </c>
      <c r="G3231" t="s">
        <v>76</v>
      </c>
      <c r="H3231" t="s">
        <v>87</v>
      </c>
      <c r="I3231" t="s">
        <v>88</v>
      </c>
    </row>
    <row r="3232" spans="1:9" x14ac:dyDescent="0.25">
      <c r="A3232" t="s">
        <v>264</v>
      </c>
      <c r="B3232" t="s">
        <v>230</v>
      </c>
      <c r="C3232" t="s">
        <v>427</v>
      </c>
      <c r="D3232" s="1">
        <v>45047</v>
      </c>
      <c r="E3232" t="s">
        <v>464</v>
      </c>
      <c r="F3232">
        <v>-5.69</v>
      </c>
      <c r="G3232" t="s">
        <v>76</v>
      </c>
      <c r="H3232" t="s">
        <v>87</v>
      </c>
      <c r="I3232" t="s">
        <v>88</v>
      </c>
    </row>
    <row r="3233" spans="1:9" x14ac:dyDescent="0.25">
      <c r="A3233" t="s">
        <v>264</v>
      </c>
      <c r="B3233" t="s">
        <v>230</v>
      </c>
      <c r="C3233" t="s">
        <v>427</v>
      </c>
      <c r="D3233" s="1">
        <v>45049</v>
      </c>
      <c r="E3233" t="s">
        <v>465</v>
      </c>
      <c r="F3233">
        <v>-10.66</v>
      </c>
      <c r="G3233" t="s">
        <v>212</v>
      </c>
      <c r="H3233" t="s">
        <v>213</v>
      </c>
      <c r="I3233" t="s">
        <v>214</v>
      </c>
    </row>
    <row r="3234" spans="1:9" x14ac:dyDescent="0.25">
      <c r="A3234" t="s">
        <v>264</v>
      </c>
      <c r="B3234" t="s">
        <v>230</v>
      </c>
      <c r="C3234" t="s">
        <v>427</v>
      </c>
      <c r="D3234" s="1">
        <v>45048</v>
      </c>
      <c r="E3234" t="s">
        <v>422</v>
      </c>
      <c r="F3234">
        <v>21.75</v>
      </c>
      <c r="G3234" t="s">
        <v>70</v>
      </c>
      <c r="H3234" t="s">
        <v>264</v>
      </c>
      <c r="I3234" t="s">
        <v>72</v>
      </c>
    </row>
    <row r="3235" spans="1:9" x14ac:dyDescent="0.25">
      <c r="A3235" t="s">
        <v>264</v>
      </c>
      <c r="B3235" t="s">
        <v>230</v>
      </c>
      <c r="C3235" t="s">
        <v>427</v>
      </c>
      <c r="D3235" s="1">
        <v>45050</v>
      </c>
      <c r="E3235" t="s">
        <v>424</v>
      </c>
      <c r="F3235">
        <v>-20.100000000000001</v>
      </c>
      <c r="G3235" t="s">
        <v>68</v>
      </c>
      <c r="H3235" t="s">
        <v>69</v>
      </c>
      <c r="I3235" t="s">
        <v>69</v>
      </c>
    </row>
    <row r="3236" spans="1:9" x14ac:dyDescent="0.25">
      <c r="A3236" t="s">
        <v>264</v>
      </c>
      <c r="B3236" t="s">
        <v>230</v>
      </c>
      <c r="C3236" t="s">
        <v>427</v>
      </c>
      <c r="D3236" s="1">
        <v>45049</v>
      </c>
      <c r="E3236" t="s">
        <v>422</v>
      </c>
      <c r="F3236">
        <v>164.37</v>
      </c>
      <c r="G3236" t="s">
        <v>70</v>
      </c>
      <c r="H3236" t="s">
        <v>264</v>
      </c>
      <c r="I3236" t="s">
        <v>72</v>
      </c>
    </row>
    <row r="3237" spans="1:9" x14ac:dyDescent="0.25">
      <c r="A3237" t="s">
        <v>264</v>
      </c>
      <c r="B3237" t="s">
        <v>230</v>
      </c>
      <c r="C3237" t="s">
        <v>427</v>
      </c>
      <c r="D3237" s="1">
        <v>45054</v>
      </c>
      <c r="E3237" t="s">
        <v>433</v>
      </c>
      <c r="F3237">
        <v>-10.88</v>
      </c>
      <c r="G3237" t="s">
        <v>68</v>
      </c>
      <c r="H3237" t="s">
        <v>69</v>
      </c>
      <c r="I3237" t="s">
        <v>69</v>
      </c>
    </row>
    <row r="3238" spans="1:9" x14ac:dyDescent="0.25">
      <c r="A3238" t="s">
        <v>264</v>
      </c>
      <c r="B3238" t="s">
        <v>230</v>
      </c>
      <c r="C3238" t="s">
        <v>427</v>
      </c>
      <c r="D3238" s="1">
        <v>45051</v>
      </c>
      <c r="E3238" t="s">
        <v>422</v>
      </c>
      <c r="F3238">
        <v>237.38</v>
      </c>
      <c r="G3238" t="s">
        <v>70</v>
      </c>
      <c r="H3238" t="s">
        <v>264</v>
      </c>
      <c r="I3238" t="s">
        <v>72</v>
      </c>
    </row>
    <row r="3239" spans="1:9" x14ac:dyDescent="0.25">
      <c r="A3239" t="s">
        <v>264</v>
      </c>
      <c r="B3239" t="s">
        <v>230</v>
      </c>
      <c r="C3239" t="s">
        <v>427</v>
      </c>
      <c r="D3239" s="1">
        <v>45051</v>
      </c>
      <c r="E3239" t="s">
        <v>466</v>
      </c>
      <c r="F3239">
        <v>-134.12</v>
      </c>
      <c r="G3239" t="s">
        <v>467</v>
      </c>
      <c r="H3239" t="s">
        <v>468</v>
      </c>
      <c r="I3239" t="s">
        <v>467</v>
      </c>
    </row>
    <row r="3240" spans="1:9" x14ac:dyDescent="0.25">
      <c r="A3240" t="s">
        <v>264</v>
      </c>
      <c r="B3240" t="s">
        <v>230</v>
      </c>
      <c r="C3240" t="s">
        <v>427</v>
      </c>
      <c r="D3240" s="1">
        <v>45051</v>
      </c>
      <c r="E3240" t="s">
        <v>432</v>
      </c>
      <c r="F3240">
        <v>-1.99</v>
      </c>
      <c r="G3240" t="s">
        <v>68</v>
      </c>
      <c r="H3240" t="s">
        <v>69</v>
      </c>
      <c r="I3240" t="s">
        <v>69</v>
      </c>
    </row>
    <row r="3241" spans="1:9" x14ac:dyDescent="0.25">
      <c r="A3241" t="s">
        <v>264</v>
      </c>
      <c r="B3241" t="s">
        <v>230</v>
      </c>
      <c r="C3241" t="s">
        <v>427</v>
      </c>
      <c r="D3241" s="1">
        <v>45054</v>
      </c>
      <c r="E3241" t="s">
        <v>469</v>
      </c>
      <c r="F3241">
        <v>-4.72</v>
      </c>
      <c r="G3241" t="s">
        <v>76</v>
      </c>
      <c r="H3241" t="s">
        <v>87</v>
      </c>
      <c r="I3241" t="s">
        <v>88</v>
      </c>
    </row>
    <row r="3242" spans="1:9" x14ac:dyDescent="0.25">
      <c r="A3242" t="s">
        <v>264</v>
      </c>
      <c r="B3242" t="s">
        <v>230</v>
      </c>
      <c r="C3242" t="s">
        <v>427</v>
      </c>
      <c r="D3242" s="1">
        <v>45056</v>
      </c>
      <c r="E3242" t="s">
        <v>470</v>
      </c>
      <c r="F3242">
        <v>-1784.39</v>
      </c>
      <c r="G3242" t="s">
        <v>84</v>
      </c>
      <c r="H3242" t="s">
        <v>85</v>
      </c>
      <c r="I3242" t="s">
        <v>97</v>
      </c>
    </row>
    <row r="3243" spans="1:9" x14ac:dyDescent="0.25">
      <c r="A3243" t="s">
        <v>264</v>
      </c>
      <c r="B3243" t="s">
        <v>230</v>
      </c>
      <c r="C3243" t="s">
        <v>427</v>
      </c>
      <c r="D3243" s="1">
        <v>45056</v>
      </c>
      <c r="E3243" t="s">
        <v>471</v>
      </c>
      <c r="F3243">
        <v>-16.559999999999999</v>
      </c>
      <c r="G3243" t="s">
        <v>84</v>
      </c>
      <c r="H3243" t="s">
        <v>85</v>
      </c>
      <c r="I3243" t="s">
        <v>97</v>
      </c>
    </row>
    <row r="3244" spans="1:9" x14ac:dyDescent="0.25">
      <c r="A3244" t="s">
        <v>264</v>
      </c>
      <c r="B3244" t="s">
        <v>230</v>
      </c>
      <c r="C3244" t="s">
        <v>427</v>
      </c>
      <c r="D3244" s="1">
        <v>45054</v>
      </c>
      <c r="E3244" t="s">
        <v>438</v>
      </c>
      <c r="F3244">
        <v>-45</v>
      </c>
      <c r="G3244" t="s">
        <v>68</v>
      </c>
      <c r="H3244" t="s">
        <v>69</v>
      </c>
      <c r="I3244" t="s">
        <v>69</v>
      </c>
    </row>
    <row r="3245" spans="1:9" x14ac:dyDescent="0.25">
      <c r="A3245" t="s">
        <v>264</v>
      </c>
      <c r="B3245" t="s">
        <v>230</v>
      </c>
      <c r="C3245" t="s">
        <v>427</v>
      </c>
      <c r="D3245" s="1">
        <v>45055</v>
      </c>
      <c r="E3245" t="s">
        <v>422</v>
      </c>
      <c r="F3245">
        <v>6.36</v>
      </c>
      <c r="G3245" t="s">
        <v>70</v>
      </c>
      <c r="H3245" t="s">
        <v>264</v>
      </c>
      <c r="I3245" t="s">
        <v>72</v>
      </c>
    </row>
    <row r="3246" spans="1:9" x14ac:dyDescent="0.25">
      <c r="A3246" t="s">
        <v>264</v>
      </c>
      <c r="B3246" t="s">
        <v>230</v>
      </c>
      <c r="C3246" t="s">
        <v>427</v>
      </c>
      <c r="D3246" s="1">
        <v>45054</v>
      </c>
      <c r="E3246" t="s">
        <v>422</v>
      </c>
      <c r="F3246">
        <v>43.37</v>
      </c>
      <c r="G3246" t="s">
        <v>70</v>
      </c>
      <c r="H3246" t="s">
        <v>264</v>
      </c>
      <c r="I3246" t="s">
        <v>72</v>
      </c>
    </row>
    <row r="3247" spans="1:9" x14ac:dyDescent="0.25">
      <c r="A3247" t="s">
        <v>264</v>
      </c>
      <c r="B3247" t="s">
        <v>230</v>
      </c>
      <c r="C3247" t="s">
        <v>427</v>
      </c>
      <c r="D3247" s="1">
        <v>45054</v>
      </c>
      <c r="E3247" t="s">
        <v>422</v>
      </c>
      <c r="F3247">
        <v>2757.42</v>
      </c>
      <c r="G3247" t="s">
        <v>70</v>
      </c>
      <c r="H3247" t="s">
        <v>264</v>
      </c>
      <c r="I3247" t="s">
        <v>72</v>
      </c>
    </row>
    <row r="3248" spans="1:9" x14ac:dyDescent="0.25">
      <c r="A3248" t="s">
        <v>264</v>
      </c>
      <c r="B3248" t="s">
        <v>230</v>
      </c>
      <c r="C3248" t="s">
        <v>427</v>
      </c>
      <c r="D3248" s="1">
        <v>45054</v>
      </c>
      <c r="E3248" t="s">
        <v>472</v>
      </c>
      <c r="F3248">
        <v>-0.86</v>
      </c>
      <c r="G3248" t="s">
        <v>212</v>
      </c>
      <c r="H3248" t="s">
        <v>213</v>
      </c>
      <c r="I3248" t="s">
        <v>214</v>
      </c>
    </row>
    <row r="3249" spans="1:9" x14ac:dyDescent="0.25">
      <c r="A3249" t="s">
        <v>264</v>
      </c>
      <c r="B3249" t="s">
        <v>230</v>
      </c>
      <c r="C3249" t="s">
        <v>427</v>
      </c>
      <c r="D3249" s="1">
        <v>45055</v>
      </c>
      <c r="E3249" t="s">
        <v>422</v>
      </c>
      <c r="F3249">
        <v>15.25</v>
      </c>
      <c r="G3249" t="s">
        <v>70</v>
      </c>
      <c r="H3249" t="s">
        <v>264</v>
      </c>
      <c r="I3249" t="s">
        <v>72</v>
      </c>
    </row>
    <row r="3250" spans="1:9" x14ac:dyDescent="0.25">
      <c r="A3250" t="s">
        <v>264</v>
      </c>
      <c r="B3250" t="s">
        <v>230</v>
      </c>
      <c r="C3250" t="s">
        <v>427</v>
      </c>
      <c r="D3250" s="1">
        <v>45055</v>
      </c>
      <c r="E3250" t="s">
        <v>473</v>
      </c>
      <c r="F3250">
        <v>-14.11</v>
      </c>
      <c r="G3250" t="s">
        <v>89</v>
      </c>
      <c r="H3250" t="s">
        <v>90</v>
      </c>
      <c r="I3250" t="s">
        <v>474</v>
      </c>
    </row>
    <row r="3251" spans="1:9" x14ac:dyDescent="0.25">
      <c r="A3251" t="s">
        <v>264</v>
      </c>
      <c r="B3251" t="s">
        <v>230</v>
      </c>
      <c r="C3251" t="s">
        <v>427</v>
      </c>
      <c r="D3251" s="1">
        <v>45058</v>
      </c>
      <c r="E3251" t="s">
        <v>422</v>
      </c>
      <c r="F3251">
        <v>12.88</v>
      </c>
      <c r="G3251" t="s">
        <v>70</v>
      </c>
      <c r="H3251" t="s">
        <v>264</v>
      </c>
      <c r="I3251" t="s">
        <v>72</v>
      </c>
    </row>
    <row r="3252" spans="1:9" x14ac:dyDescent="0.25">
      <c r="A3252" t="s">
        <v>264</v>
      </c>
      <c r="B3252" t="s">
        <v>230</v>
      </c>
      <c r="C3252" t="s">
        <v>427</v>
      </c>
      <c r="D3252" s="1">
        <v>45058</v>
      </c>
      <c r="E3252" t="s">
        <v>422</v>
      </c>
      <c r="F3252">
        <v>7.43</v>
      </c>
      <c r="G3252" t="s">
        <v>70</v>
      </c>
      <c r="H3252" t="s">
        <v>264</v>
      </c>
      <c r="I3252" t="s">
        <v>72</v>
      </c>
    </row>
    <row r="3253" spans="1:9" x14ac:dyDescent="0.25">
      <c r="A3253" t="s">
        <v>264</v>
      </c>
      <c r="B3253" t="s">
        <v>230</v>
      </c>
      <c r="C3253" t="s">
        <v>427</v>
      </c>
      <c r="D3253" s="1">
        <v>45058</v>
      </c>
      <c r="E3253" t="s">
        <v>475</v>
      </c>
      <c r="F3253">
        <v>-0.54</v>
      </c>
      <c r="G3253" t="s">
        <v>92</v>
      </c>
      <c r="H3253" t="s">
        <v>93</v>
      </c>
      <c r="I3253" t="s">
        <v>94</v>
      </c>
    </row>
    <row r="3254" spans="1:9" x14ac:dyDescent="0.25">
      <c r="A3254" t="s">
        <v>264</v>
      </c>
      <c r="B3254" t="s">
        <v>230</v>
      </c>
      <c r="C3254" t="s">
        <v>427</v>
      </c>
      <c r="D3254" s="1">
        <v>45058</v>
      </c>
      <c r="E3254" t="s">
        <v>475</v>
      </c>
      <c r="F3254">
        <v>-7.68</v>
      </c>
      <c r="G3254" t="s">
        <v>92</v>
      </c>
      <c r="H3254" t="s">
        <v>93</v>
      </c>
      <c r="I3254" t="s">
        <v>94</v>
      </c>
    </row>
    <row r="3255" spans="1:9" x14ac:dyDescent="0.25">
      <c r="A3255" t="s">
        <v>264</v>
      </c>
      <c r="B3255" t="s">
        <v>230</v>
      </c>
      <c r="C3255" t="s">
        <v>427</v>
      </c>
      <c r="D3255" s="1">
        <v>45058</v>
      </c>
      <c r="E3255" t="s">
        <v>445</v>
      </c>
      <c r="F3255">
        <v>-7.0000000000000007E-2</v>
      </c>
      <c r="G3255" t="s">
        <v>84</v>
      </c>
      <c r="H3255" t="s">
        <v>85</v>
      </c>
      <c r="I3255" t="s">
        <v>86</v>
      </c>
    </row>
    <row r="3256" spans="1:9" x14ac:dyDescent="0.25">
      <c r="A3256" t="s">
        <v>264</v>
      </c>
      <c r="B3256" t="s">
        <v>230</v>
      </c>
      <c r="C3256" t="s">
        <v>427</v>
      </c>
      <c r="D3256" s="1">
        <v>45058</v>
      </c>
      <c r="E3256" t="s">
        <v>446</v>
      </c>
      <c r="F3256">
        <v>-7.0000000000000007E-2</v>
      </c>
      <c r="G3256" t="s">
        <v>84</v>
      </c>
      <c r="H3256" t="s">
        <v>85</v>
      </c>
      <c r="I3256" t="s">
        <v>86</v>
      </c>
    </row>
    <row r="3257" spans="1:9" x14ac:dyDescent="0.25">
      <c r="A3257" t="s">
        <v>264</v>
      </c>
      <c r="B3257" t="s">
        <v>230</v>
      </c>
      <c r="C3257" t="s">
        <v>427</v>
      </c>
      <c r="D3257" s="1">
        <v>45058</v>
      </c>
      <c r="E3257" t="s">
        <v>476</v>
      </c>
      <c r="F3257">
        <v>-7.42</v>
      </c>
      <c r="G3257" t="s">
        <v>92</v>
      </c>
      <c r="H3257" t="s">
        <v>104</v>
      </c>
      <c r="I3257" t="s">
        <v>104</v>
      </c>
    </row>
    <row r="3258" spans="1:9" x14ac:dyDescent="0.25">
      <c r="A3258" t="s">
        <v>264</v>
      </c>
      <c r="B3258" t="s">
        <v>230</v>
      </c>
      <c r="C3258" t="s">
        <v>427</v>
      </c>
      <c r="D3258" s="1">
        <v>45057</v>
      </c>
      <c r="E3258" t="s">
        <v>422</v>
      </c>
      <c r="F3258">
        <v>1.86</v>
      </c>
      <c r="G3258" t="s">
        <v>70</v>
      </c>
      <c r="H3258" t="s">
        <v>264</v>
      </c>
      <c r="I3258" t="s">
        <v>72</v>
      </c>
    </row>
    <row r="3259" spans="1:9" x14ac:dyDescent="0.25">
      <c r="A3259" t="s">
        <v>264</v>
      </c>
      <c r="B3259" t="s">
        <v>230</v>
      </c>
      <c r="C3259" t="s">
        <v>427</v>
      </c>
      <c r="D3259" s="1">
        <v>45057</v>
      </c>
      <c r="E3259" t="s">
        <v>422</v>
      </c>
      <c r="F3259">
        <v>3.59</v>
      </c>
      <c r="G3259" t="s">
        <v>70</v>
      </c>
      <c r="H3259" t="s">
        <v>264</v>
      </c>
      <c r="I3259" t="s">
        <v>72</v>
      </c>
    </row>
    <row r="3260" spans="1:9" x14ac:dyDescent="0.25">
      <c r="A3260" t="s">
        <v>264</v>
      </c>
      <c r="B3260" t="s">
        <v>230</v>
      </c>
      <c r="C3260" t="s">
        <v>427</v>
      </c>
      <c r="D3260" s="1">
        <v>45061</v>
      </c>
      <c r="E3260" t="s">
        <v>422</v>
      </c>
      <c r="F3260">
        <v>0.04</v>
      </c>
      <c r="G3260" t="s">
        <v>70</v>
      </c>
      <c r="H3260" t="s">
        <v>264</v>
      </c>
      <c r="I3260" t="s">
        <v>72</v>
      </c>
    </row>
    <row r="3261" spans="1:9" x14ac:dyDescent="0.25">
      <c r="A3261" t="s">
        <v>264</v>
      </c>
      <c r="B3261" t="s">
        <v>230</v>
      </c>
      <c r="C3261" t="s">
        <v>427</v>
      </c>
      <c r="D3261" s="1">
        <v>45061</v>
      </c>
      <c r="E3261" t="s">
        <v>477</v>
      </c>
      <c r="F3261">
        <v>-4.96</v>
      </c>
      <c r="G3261" t="s">
        <v>212</v>
      </c>
      <c r="H3261" t="s">
        <v>212</v>
      </c>
      <c r="I3261" t="s">
        <v>478</v>
      </c>
    </row>
    <row r="3262" spans="1:9" x14ac:dyDescent="0.25">
      <c r="A3262" t="s">
        <v>264</v>
      </c>
      <c r="B3262" t="s">
        <v>230</v>
      </c>
      <c r="C3262" t="s">
        <v>427</v>
      </c>
      <c r="D3262" s="1">
        <v>45061</v>
      </c>
      <c r="E3262" t="s">
        <v>432</v>
      </c>
      <c r="F3262">
        <v>-19.53</v>
      </c>
      <c r="G3262" t="s">
        <v>68</v>
      </c>
      <c r="H3262" t="s">
        <v>69</v>
      </c>
      <c r="I3262" t="s">
        <v>69</v>
      </c>
    </row>
    <row r="3263" spans="1:9" x14ac:dyDescent="0.25">
      <c r="A3263" t="s">
        <v>264</v>
      </c>
      <c r="B3263" t="s">
        <v>230</v>
      </c>
      <c r="C3263" t="s">
        <v>427</v>
      </c>
      <c r="D3263" s="1">
        <v>45061</v>
      </c>
      <c r="E3263" t="s">
        <v>433</v>
      </c>
      <c r="F3263">
        <v>-13.28</v>
      </c>
      <c r="G3263" t="s">
        <v>68</v>
      </c>
      <c r="H3263" t="s">
        <v>69</v>
      </c>
      <c r="I3263" t="s">
        <v>69</v>
      </c>
    </row>
    <row r="3264" spans="1:9" x14ac:dyDescent="0.25">
      <c r="A3264" t="s">
        <v>264</v>
      </c>
      <c r="B3264" t="s">
        <v>230</v>
      </c>
      <c r="C3264" t="s">
        <v>427</v>
      </c>
      <c r="D3264" s="1">
        <v>45061</v>
      </c>
      <c r="E3264" t="s">
        <v>479</v>
      </c>
      <c r="F3264">
        <v>-5.91</v>
      </c>
      <c r="G3264" t="s">
        <v>89</v>
      </c>
      <c r="H3264" t="s">
        <v>90</v>
      </c>
      <c r="I3264" t="s">
        <v>128</v>
      </c>
    </row>
    <row r="3265" spans="1:9" x14ac:dyDescent="0.25">
      <c r="A3265" t="s">
        <v>264</v>
      </c>
      <c r="B3265" t="s">
        <v>230</v>
      </c>
      <c r="C3265" t="s">
        <v>427</v>
      </c>
      <c r="D3265" s="1">
        <v>45063</v>
      </c>
      <c r="E3265" t="s">
        <v>480</v>
      </c>
      <c r="F3265">
        <v>-36.119999999999997</v>
      </c>
      <c r="G3265" t="s">
        <v>76</v>
      </c>
      <c r="H3265" t="s">
        <v>82</v>
      </c>
      <c r="I3265" t="s">
        <v>83</v>
      </c>
    </row>
    <row r="3266" spans="1:9" x14ac:dyDescent="0.25">
      <c r="A3266" t="s">
        <v>264</v>
      </c>
      <c r="B3266" t="s">
        <v>230</v>
      </c>
      <c r="C3266" t="s">
        <v>427</v>
      </c>
      <c r="D3266" s="1">
        <v>45062</v>
      </c>
      <c r="E3266" t="s">
        <v>425</v>
      </c>
      <c r="F3266">
        <v>-9.9600000000000009</v>
      </c>
      <c r="G3266" t="s">
        <v>68</v>
      </c>
      <c r="H3266" t="s">
        <v>69</v>
      </c>
      <c r="I3266" t="s">
        <v>69</v>
      </c>
    </row>
    <row r="3267" spans="1:9" x14ac:dyDescent="0.25">
      <c r="A3267" t="s">
        <v>264</v>
      </c>
      <c r="B3267" t="s">
        <v>230</v>
      </c>
      <c r="C3267" t="s">
        <v>427</v>
      </c>
      <c r="D3267" s="1">
        <v>45061</v>
      </c>
      <c r="E3267" t="s">
        <v>422</v>
      </c>
      <c r="F3267">
        <v>84.74</v>
      </c>
      <c r="G3267" t="s">
        <v>70</v>
      </c>
      <c r="H3267" t="s">
        <v>264</v>
      </c>
      <c r="I3267" t="s">
        <v>72</v>
      </c>
    </row>
    <row r="3268" spans="1:9" x14ac:dyDescent="0.25">
      <c r="A3268" t="s">
        <v>264</v>
      </c>
      <c r="B3268" t="s">
        <v>230</v>
      </c>
      <c r="C3268" t="s">
        <v>427</v>
      </c>
      <c r="D3268" s="1">
        <v>45061</v>
      </c>
      <c r="E3268" t="s">
        <v>422</v>
      </c>
      <c r="F3268">
        <v>5.94</v>
      </c>
      <c r="G3268" t="s">
        <v>70</v>
      </c>
      <c r="H3268" t="s">
        <v>264</v>
      </c>
      <c r="I3268" t="s">
        <v>72</v>
      </c>
    </row>
    <row r="3269" spans="1:9" x14ac:dyDescent="0.25">
      <c r="A3269" t="s">
        <v>264</v>
      </c>
      <c r="B3269" t="s">
        <v>230</v>
      </c>
      <c r="C3269" t="s">
        <v>427</v>
      </c>
      <c r="D3269" s="1">
        <v>45062</v>
      </c>
      <c r="E3269" t="s">
        <v>422</v>
      </c>
      <c r="F3269">
        <v>89.15</v>
      </c>
      <c r="G3269" t="s">
        <v>70</v>
      </c>
      <c r="H3269" t="s">
        <v>264</v>
      </c>
      <c r="I3269" t="s">
        <v>72</v>
      </c>
    </row>
    <row r="3270" spans="1:9" x14ac:dyDescent="0.25">
      <c r="A3270" t="s">
        <v>264</v>
      </c>
      <c r="B3270" t="s">
        <v>230</v>
      </c>
      <c r="C3270" t="s">
        <v>427</v>
      </c>
      <c r="D3270" s="1">
        <v>45064</v>
      </c>
      <c r="E3270" t="s">
        <v>472</v>
      </c>
      <c r="F3270">
        <v>-13.33</v>
      </c>
      <c r="G3270" t="s">
        <v>212</v>
      </c>
      <c r="H3270" t="s">
        <v>213</v>
      </c>
      <c r="I3270" t="s">
        <v>214</v>
      </c>
    </row>
    <row r="3271" spans="1:9" x14ac:dyDescent="0.25">
      <c r="A3271" t="s">
        <v>264</v>
      </c>
      <c r="B3271" t="s">
        <v>230</v>
      </c>
      <c r="C3271" t="s">
        <v>427</v>
      </c>
      <c r="D3271" s="1">
        <v>45064</v>
      </c>
      <c r="E3271" t="s">
        <v>481</v>
      </c>
      <c r="F3271">
        <v>-2.4</v>
      </c>
      <c r="G3271" t="s">
        <v>76</v>
      </c>
      <c r="H3271" t="s">
        <v>87</v>
      </c>
      <c r="I3271" t="s">
        <v>88</v>
      </c>
    </row>
    <row r="3272" spans="1:9" x14ac:dyDescent="0.25">
      <c r="A3272" t="s">
        <v>264</v>
      </c>
      <c r="B3272" t="s">
        <v>230</v>
      </c>
      <c r="C3272" t="s">
        <v>427</v>
      </c>
      <c r="D3272" s="1">
        <v>45064</v>
      </c>
      <c r="E3272" t="s">
        <v>482</v>
      </c>
      <c r="F3272">
        <v>-21.22</v>
      </c>
      <c r="G3272" t="s">
        <v>68</v>
      </c>
      <c r="H3272" t="s">
        <v>69</v>
      </c>
      <c r="I3272" t="s">
        <v>69</v>
      </c>
    </row>
    <row r="3273" spans="1:9" x14ac:dyDescent="0.25">
      <c r="A3273" t="s">
        <v>264</v>
      </c>
      <c r="B3273" t="s">
        <v>230</v>
      </c>
      <c r="C3273" t="s">
        <v>427</v>
      </c>
      <c r="D3273" s="1">
        <v>45068</v>
      </c>
      <c r="E3273" t="s">
        <v>483</v>
      </c>
      <c r="F3273">
        <v>-7.87</v>
      </c>
      <c r="G3273" t="s">
        <v>76</v>
      </c>
      <c r="H3273" t="s">
        <v>484</v>
      </c>
      <c r="I3273" t="s">
        <v>485</v>
      </c>
    </row>
    <row r="3274" spans="1:9" x14ac:dyDescent="0.25">
      <c r="A3274" t="s">
        <v>264</v>
      </c>
      <c r="B3274" t="s">
        <v>230</v>
      </c>
      <c r="C3274" t="s">
        <v>427</v>
      </c>
      <c r="D3274" s="1">
        <v>45065</v>
      </c>
      <c r="E3274" t="s">
        <v>428</v>
      </c>
      <c r="F3274">
        <v>-89.66</v>
      </c>
      <c r="G3274" t="s">
        <v>68</v>
      </c>
      <c r="H3274" t="s">
        <v>69</v>
      </c>
      <c r="I3274" t="s">
        <v>69</v>
      </c>
    </row>
    <row r="3275" spans="1:9" x14ac:dyDescent="0.25">
      <c r="A3275" t="s">
        <v>264</v>
      </c>
      <c r="B3275" t="s">
        <v>230</v>
      </c>
      <c r="C3275" t="s">
        <v>427</v>
      </c>
      <c r="D3275" s="1">
        <v>45065</v>
      </c>
      <c r="E3275" t="s">
        <v>465</v>
      </c>
      <c r="F3275">
        <v>-60.13</v>
      </c>
      <c r="G3275" t="s">
        <v>212</v>
      </c>
      <c r="H3275" t="s">
        <v>213</v>
      </c>
      <c r="I3275" t="s">
        <v>214</v>
      </c>
    </row>
    <row r="3276" spans="1:9" x14ac:dyDescent="0.25">
      <c r="A3276" t="s">
        <v>264</v>
      </c>
      <c r="B3276" t="s">
        <v>230</v>
      </c>
      <c r="C3276" t="s">
        <v>427</v>
      </c>
      <c r="D3276" s="1">
        <v>45065</v>
      </c>
      <c r="E3276" t="s">
        <v>422</v>
      </c>
      <c r="F3276">
        <v>116.29</v>
      </c>
      <c r="G3276" t="s">
        <v>70</v>
      </c>
      <c r="H3276" t="s">
        <v>264</v>
      </c>
      <c r="I3276" t="s">
        <v>72</v>
      </c>
    </row>
    <row r="3277" spans="1:9" x14ac:dyDescent="0.25">
      <c r="A3277" t="s">
        <v>264</v>
      </c>
      <c r="B3277" t="s">
        <v>230</v>
      </c>
      <c r="C3277" t="s">
        <v>427</v>
      </c>
      <c r="D3277" s="1">
        <v>45068</v>
      </c>
      <c r="E3277" t="s">
        <v>422</v>
      </c>
      <c r="F3277">
        <v>293.60000000000002</v>
      </c>
      <c r="G3277" t="s">
        <v>70</v>
      </c>
      <c r="H3277" t="s">
        <v>264</v>
      </c>
      <c r="I3277" t="s">
        <v>72</v>
      </c>
    </row>
    <row r="3278" spans="1:9" x14ac:dyDescent="0.25">
      <c r="A3278" t="s">
        <v>264</v>
      </c>
      <c r="B3278" t="s">
        <v>230</v>
      </c>
      <c r="C3278" t="s">
        <v>427</v>
      </c>
      <c r="D3278" s="1">
        <v>45068</v>
      </c>
      <c r="E3278" t="s">
        <v>486</v>
      </c>
      <c r="F3278">
        <v>-165.59</v>
      </c>
      <c r="G3278" t="s">
        <v>79</v>
      </c>
      <c r="H3278" t="s">
        <v>95</v>
      </c>
      <c r="I3278" t="s">
        <v>95</v>
      </c>
    </row>
    <row r="3279" spans="1:9" x14ac:dyDescent="0.25">
      <c r="A3279" t="s">
        <v>264</v>
      </c>
      <c r="B3279" t="s">
        <v>230</v>
      </c>
      <c r="C3279" t="s">
        <v>427</v>
      </c>
      <c r="D3279" s="1">
        <v>45068</v>
      </c>
      <c r="E3279" t="s">
        <v>486</v>
      </c>
      <c r="F3279">
        <v>-36.630000000000003</v>
      </c>
      <c r="G3279" t="s">
        <v>73</v>
      </c>
      <c r="H3279" t="s">
        <v>487</v>
      </c>
      <c r="I3279" t="s">
        <v>487</v>
      </c>
    </row>
    <row r="3280" spans="1:9" x14ac:dyDescent="0.25">
      <c r="A3280" t="s">
        <v>264</v>
      </c>
      <c r="B3280" t="s">
        <v>230</v>
      </c>
      <c r="C3280" t="s">
        <v>427</v>
      </c>
      <c r="D3280" s="1">
        <v>45068</v>
      </c>
      <c r="E3280" t="s">
        <v>486</v>
      </c>
      <c r="F3280">
        <v>-106.6</v>
      </c>
      <c r="G3280" t="s">
        <v>350</v>
      </c>
      <c r="H3280" t="s">
        <v>487</v>
      </c>
      <c r="I3280" t="s">
        <v>487</v>
      </c>
    </row>
    <row r="3281" spans="1:9" x14ac:dyDescent="0.25">
      <c r="A3281" t="s">
        <v>264</v>
      </c>
      <c r="B3281" t="s">
        <v>230</v>
      </c>
      <c r="C3281" t="s">
        <v>427</v>
      </c>
      <c r="D3281" s="1">
        <v>45068</v>
      </c>
      <c r="E3281" t="s">
        <v>422</v>
      </c>
      <c r="F3281">
        <v>36.92</v>
      </c>
      <c r="G3281" t="s">
        <v>70</v>
      </c>
      <c r="H3281" t="s">
        <v>264</v>
      </c>
      <c r="I3281" t="s">
        <v>72</v>
      </c>
    </row>
    <row r="3282" spans="1:9" x14ac:dyDescent="0.25">
      <c r="A3282" t="s">
        <v>264</v>
      </c>
      <c r="B3282" t="s">
        <v>230</v>
      </c>
      <c r="C3282" t="s">
        <v>427</v>
      </c>
      <c r="D3282" s="1">
        <v>45068</v>
      </c>
      <c r="E3282" t="s">
        <v>488</v>
      </c>
      <c r="F3282">
        <v>-111.38</v>
      </c>
      <c r="G3282" t="s">
        <v>79</v>
      </c>
      <c r="H3282" t="s">
        <v>96</v>
      </c>
      <c r="I3282" t="s">
        <v>96</v>
      </c>
    </row>
    <row r="3283" spans="1:9" x14ac:dyDescent="0.25">
      <c r="A3283" t="s">
        <v>264</v>
      </c>
      <c r="B3283" t="s">
        <v>230</v>
      </c>
      <c r="C3283" t="s">
        <v>427</v>
      </c>
      <c r="D3283" s="1">
        <v>45071</v>
      </c>
      <c r="E3283" t="s">
        <v>432</v>
      </c>
      <c r="F3283">
        <v>-56.14</v>
      </c>
      <c r="G3283" t="s">
        <v>68</v>
      </c>
      <c r="H3283" t="s">
        <v>69</v>
      </c>
      <c r="I3283" t="s">
        <v>69</v>
      </c>
    </row>
    <row r="3284" spans="1:9" x14ac:dyDescent="0.25">
      <c r="A3284" t="s">
        <v>264</v>
      </c>
      <c r="B3284" t="s">
        <v>230</v>
      </c>
      <c r="C3284" t="s">
        <v>427</v>
      </c>
      <c r="D3284" s="1">
        <v>45071</v>
      </c>
      <c r="E3284" t="s">
        <v>424</v>
      </c>
      <c r="F3284">
        <v>-55.14</v>
      </c>
      <c r="G3284" t="s">
        <v>68</v>
      </c>
      <c r="H3284" t="s">
        <v>69</v>
      </c>
      <c r="I3284" t="s">
        <v>69</v>
      </c>
    </row>
    <row r="3285" spans="1:9" x14ac:dyDescent="0.25">
      <c r="A3285" t="s">
        <v>264</v>
      </c>
      <c r="B3285" t="s">
        <v>230</v>
      </c>
      <c r="C3285" t="s">
        <v>427</v>
      </c>
      <c r="D3285" s="1">
        <v>45072</v>
      </c>
      <c r="E3285" t="s">
        <v>483</v>
      </c>
      <c r="F3285">
        <v>-1.18</v>
      </c>
      <c r="G3285" t="s">
        <v>76</v>
      </c>
      <c r="H3285" t="s">
        <v>484</v>
      </c>
      <c r="I3285" t="s">
        <v>485</v>
      </c>
    </row>
    <row r="3286" spans="1:9" x14ac:dyDescent="0.25">
      <c r="A3286" t="s">
        <v>264</v>
      </c>
      <c r="B3286" t="s">
        <v>230</v>
      </c>
      <c r="C3286" t="s">
        <v>427</v>
      </c>
      <c r="D3286" s="1">
        <v>45072</v>
      </c>
      <c r="E3286" t="s">
        <v>489</v>
      </c>
      <c r="F3286">
        <v>-15.32</v>
      </c>
      <c r="G3286" t="s">
        <v>212</v>
      </c>
      <c r="H3286" t="s">
        <v>213</v>
      </c>
      <c r="I3286" t="s">
        <v>214</v>
      </c>
    </row>
    <row r="3287" spans="1:9" x14ac:dyDescent="0.25">
      <c r="A3287" t="s">
        <v>264</v>
      </c>
      <c r="B3287" t="s">
        <v>230</v>
      </c>
      <c r="C3287" t="s">
        <v>427</v>
      </c>
      <c r="D3287" s="1">
        <v>45075</v>
      </c>
      <c r="E3287" t="s">
        <v>490</v>
      </c>
      <c r="F3287">
        <v>-1918.2</v>
      </c>
      <c r="G3287" t="s">
        <v>79</v>
      </c>
      <c r="H3287" t="s">
        <v>352</v>
      </c>
      <c r="I3287" t="s">
        <v>352</v>
      </c>
    </row>
    <row r="3288" spans="1:9" x14ac:dyDescent="0.25">
      <c r="A3288" t="s">
        <v>264</v>
      </c>
      <c r="B3288" t="s">
        <v>230</v>
      </c>
      <c r="C3288" t="s">
        <v>427</v>
      </c>
      <c r="D3288" s="1">
        <v>45075</v>
      </c>
      <c r="E3288" t="s">
        <v>491</v>
      </c>
      <c r="F3288">
        <v>-55.18</v>
      </c>
      <c r="G3288" t="s">
        <v>350</v>
      </c>
      <c r="H3288" t="s">
        <v>352</v>
      </c>
      <c r="I3288" t="s">
        <v>352</v>
      </c>
    </row>
    <row r="3289" spans="1:9" x14ac:dyDescent="0.25">
      <c r="A3289" t="s">
        <v>264</v>
      </c>
      <c r="B3289" t="s">
        <v>230</v>
      </c>
      <c r="C3289" t="s">
        <v>427</v>
      </c>
      <c r="D3289" s="1">
        <v>45075</v>
      </c>
      <c r="E3289" t="s">
        <v>475</v>
      </c>
      <c r="F3289">
        <v>-6.11</v>
      </c>
      <c r="G3289" t="s">
        <v>92</v>
      </c>
      <c r="H3289" t="s">
        <v>93</v>
      </c>
      <c r="I3289" t="s">
        <v>94</v>
      </c>
    </row>
    <row r="3290" spans="1:9" x14ac:dyDescent="0.25">
      <c r="A3290" t="s">
        <v>264</v>
      </c>
      <c r="B3290" t="s">
        <v>230</v>
      </c>
      <c r="C3290" t="s">
        <v>427</v>
      </c>
      <c r="D3290" s="1">
        <v>45072</v>
      </c>
      <c r="E3290" t="s">
        <v>422</v>
      </c>
      <c r="F3290">
        <v>98.78</v>
      </c>
      <c r="G3290" t="s">
        <v>70</v>
      </c>
      <c r="H3290" t="s">
        <v>264</v>
      </c>
      <c r="I3290" t="s">
        <v>72</v>
      </c>
    </row>
    <row r="3291" spans="1:9" x14ac:dyDescent="0.25">
      <c r="A3291" t="s">
        <v>264</v>
      </c>
      <c r="B3291" t="s">
        <v>230</v>
      </c>
      <c r="C3291" t="s">
        <v>427</v>
      </c>
      <c r="D3291" s="1">
        <v>45075</v>
      </c>
      <c r="E3291" t="s">
        <v>422</v>
      </c>
      <c r="F3291">
        <v>2411.77</v>
      </c>
      <c r="G3291" t="s">
        <v>70</v>
      </c>
      <c r="H3291" t="s">
        <v>264</v>
      </c>
      <c r="I3291" t="s">
        <v>72</v>
      </c>
    </row>
    <row r="3292" spans="1:9" x14ac:dyDescent="0.25">
      <c r="A3292" t="s">
        <v>264</v>
      </c>
      <c r="B3292" t="s">
        <v>230</v>
      </c>
      <c r="C3292" t="s">
        <v>427</v>
      </c>
      <c r="D3292" s="1">
        <v>45075</v>
      </c>
      <c r="E3292" t="s">
        <v>422</v>
      </c>
      <c r="F3292">
        <v>295.75</v>
      </c>
      <c r="G3292" t="s">
        <v>70</v>
      </c>
      <c r="H3292" t="s">
        <v>264</v>
      </c>
      <c r="I3292" t="s">
        <v>72</v>
      </c>
    </row>
    <row r="3293" spans="1:9" x14ac:dyDescent="0.25">
      <c r="A3293" t="s">
        <v>264</v>
      </c>
      <c r="B3293" t="s">
        <v>230</v>
      </c>
      <c r="C3293" t="s">
        <v>427</v>
      </c>
      <c r="D3293" s="1">
        <v>45075</v>
      </c>
      <c r="E3293" t="s">
        <v>492</v>
      </c>
      <c r="F3293">
        <v>-136.78</v>
      </c>
      <c r="G3293" t="s">
        <v>68</v>
      </c>
      <c r="H3293" t="s">
        <v>69</v>
      </c>
      <c r="I3293" t="s">
        <v>69</v>
      </c>
    </row>
    <row r="3294" spans="1:9" x14ac:dyDescent="0.25">
      <c r="A3294" t="s">
        <v>264</v>
      </c>
      <c r="B3294" t="s">
        <v>230</v>
      </c>
      <c r="C3294" t="s">
        <v>427</v>
      </c>
      <c r="D3294" s="1">
        <v>45075</v>
      </c>
      <c r="E3294" t="s">
        <v>493</v>
      </c>
      <c r="F3294">
        <v>-97.59</v>
      </c>
      <c r="G3294" t="s">
        <v>68</v>
      </c>
      <c r="H3294" t="s">
        <v>69</v>
      </c>
      <c r="I3294" t="s">
        <v>69</v>
      </c>
    </row>
    <row r="3295" spans="1:9" x14ac:dyDescent="0.25">
      <c r="A3295" t="s">
        <v>264</v>
      </c>
      <c r="B3295" t="s">
        <v>230</v>
      </c>
      <c r="C3295" t="s">
        <v>427</v>
      </c>
      <c r="D3295" s="1">
        <v>45075</v>
      </c>
      <c r="E3295" t="s">
        <v>494</v>
      </c>
      <c r="F3295">
        <v>-32.229999999999997</v>
      </c>
      <c r="G3295" t="s">
        <v>76</v>
      </c>
      <c r="H3295" t="s">
        <v>87</v>
      </c>
      <c r="I3295" t="s">
        <v>88</v>
      </c>
    </row>
    <row r="3296" spans="1:9" x14ac:dyDescent="0.25">
      <c r="A3296" t="s">
        <v>264</v>
      </c>
      <c r="B3296" t="s">
        <v>230</v>
      </c>
      <c r="C3296" t="s">
        <v>427</v>
      </c>
      <c r="D3296" s="1">
        <v>45075</v>
      </c>
      <c r="E3296" t="s">
        <v>494</v>
      </c>
      <c r="F3296">
        <v>-51.98</v>
      </c>
      <c r="G3296" t="s">
        <v>76</v>
      </c>
      <c r="H3296" t="s">
        <v>87</v>
      </c>
      <c r="I3296" t="s">
        <v>88</v>
      </c>
    </row>
    <row r="3297" spans="1:9" x14ac:dyDescent="0.25">
      <c r="A3297" t="s">
        <v>264</v>
      </c>
      <c r="B3297" t="s">
        <v>230</v>
      </c>
      <c r="C3297" t="s">
        <v>427</v>
      </c>
      <c r="D3297" s="1">
        <v>45075</v>
      </c>
      <c r="E3297" t="s">
        <v>475</v>
      </c>
      <c r="F3297">
        <v>-10.46</v>
      </c>
      <c r="G3297" t="s">
        <v>92</v>
      </c>
      <c r="H3297" t="s">
        <v>93</v>
      </c>
      <c r="I3297" t="s">
        <v>94</v>
      </c>
    </row>
    <row r="3298" spans="1:9" x14ac:dyDescent="0.25">
      <c r="A3298" t="s">
        <v>264</v>
      </c>
      <c r="B3298" t="s">
        <v>230</v>
      </c>
      <c r="C3298" t="s">
        <v>427</v>
      </c>
      <c r="D3298" s="1">
        <v>45076</v>
      </c>
      <c r="E3298" t="s">
        <v>495</v>
      </c>
      <c r="F3298">
        <v>-25.44</v>
      </c>
      <c r="G3298" t="s">
        <v>84</v>
      </c>
      <c r="H3298" t="s">
        <v>85</v>
      </c>
      <c r="I3298" t="s">
        <v>496</v>
      </c>
    </row>
    <row r="3299" spans="1:9" x14ac:dyDescent="0.25">
      <c r="A3299" t="s">
        <v>264</v>
      </c>
      <c r="B3299" t="s">
        <v>230</v>
      </c>
      <c r="C3299" t="s">
        <v>427</v>
      </c>
      <c r="D3299" s="1">
        <v>45076</v>
      </c>
      <c r="E3299" t="s">
        <v>425</v>
      </c>
      <c r="F3299">
        <v>-4.1399999999999997</v>
      </c>
      <c r="G3299" t="s">
        <v>68</v>
      </c>
      <c r="H3299" t="s">
        <v>69</v>
      </c>
      <c r="I3299" t="s">
        <v>69</v>
      </c>
    </row>
    <row r="3300" spans="1:9" x14ac:dyDescent="0.25">
      <c r="A3300" t="s">
        <v>264</v>
      </c>
      <c r="B3300" t="s">
        <v>230</v>
      </c>
      <c r="C3300" t="s">
        <v>427</v>
      </c>
      <c r="D3300" s="1">
        <v>45078</v>
      </c>
      <c r="E3300" t="s">
        <v>445</v>
      </c>
      <c r="F3300">
        <v>-0.15</v>
      </c>
      <c r="G3300" t="s">
        <v>84</v>
      </c>
      <c r="H3300" t="s">
        <v>85</v>
      </c>
      <c r="I3300" t="s">
        <v>86</v>
      </c>
    </row>
    <row r="3301" spans="1:9" x14ac:dyDescent="0.25">
      <c r="A3301" t="s">
        <v>264</v>
      </c>
      <c r="B3301" t="s">
        <v>230</v>
      </c>
      <c r="C3301" t="s">
        <v>427</v>
      </c>
      <c r="D3301" s="1">
        <v>45078</v>
      </c>
      <c r="E3301" t="s">
        <v>446</v>
      </c>
      <c r="F3301">
        <v>-0.17</v>
      </c>
      <c r="G3301" t="s">
        <v>84</v>
      </c>
      <c r="H3301" t="s">
        <v>85</v>
      </c>
      <c r="I3301" t="s">
        <v>86</v>
      </c>
    </row>
    <row r="3302" spans="1:9" x14ac:dyDescent="0.25">
      <c r="A3302" t="s">
        <v>264</v>
      </c>
      <c r="B3302" t="s">
        <v>230</v>
      </c>
      <c r="C3302" t="s">
        <v>427</v>
      </c>
      <c r="D3302" s="1">
        <v>45078</v>
      </c>
      <c r="E3302" t="s">
        <v>497</v>
      </c>
      <c r="F3302">
        <v>-3.58</v>
      </c>
      <c r="G3302" t="s">
        <v>92</v>
      </c>
      <c r="H3302" t="s">
        <v>104</v>
      </c>
      <c r="I3302" t="s">
        <v>104</v>
      </c>
    </row>
    <row r="3303" spans="1:9" x14ac:dyDescent="0.25">
      <c r="A3303" t="s">
        <v>264</v>
      </c>
      <c r="B3303" t="s">
        <v>230</v>
      </c>
      <c r="C3303" t="s">
        <v>427</v>
      </c>
      <c r="D3303" s="1">
        <v>45077</v>
      </c>
      <c r="E3303" t="s">
        <v>498</v>
      </c>
      <c r="F3303">
        <v>-104.29</v>
      </c>
      <c r="G3303" t="s">
        <v>212</v>
      </c>
      <c r="H3303" t="s">
        <v>212</v>
      </c>
      <c r="I3303" t="s">
        <v>353</v>
      </c>
    </row>
    <row r="3304" spans="1:9" x14ac:dyDescent="0.25">
      <c r="A3304" t="s">
        <v>264</v>
      </c>
      <c r="B3304" t="s">
        <v>230</v>
      </c>
      <c r="C3304" t="s">
        <v>427</v>
      </c>
      <c r="D3304" s="1">
        <v>45077</v>
      </c>
      <c r="E3304" t="s">
        <v>499</v>
      </c>
      <c r="F3304">
        <v>-10.71</v>
      </c>
      <c r="G3304" t="s">
        <v>76</v>
      </c>
      <c r="H3304" t="s">
        <v>87</v>
      </c>
      <c r="I3304" t="s">
        <v>88</v>
      </c>
    </row>
    <row r="3305" spans="1:9" x14ac:dyDescent="0.25">
      <c r="A3305" t="s">
        <v>264</v>
      </c>
      <c r="B3305" t="s">
        <v>230</v>
      </c>
      <c r="C3305" t="s">
        <v>427</v>
      </c>
      <c r="D3305" s="1">
        <v>45076</v>
      </c>
      <c r="E3305" t="s">
        <v>421</v>
      </c>
      <c r="F3305">
        <v>-27.89</v>
      </c>
      <c r="G3305" t="s">
        <v>68</v>
      </c>
      <c r="H3305" t="s">
        <v>69</v>
      </c>
      <c r="I3305" t="s">
        <v>69</v>
      </c>
    </row>
    <row r="3306" spans="1:9" x14ac:dyDescent="0.25">
      <c r="A3306" t="s">
        <v>264</v>
      </c>
      <c r="B3306" t="s">
        <v>230</v>
      </c>
      <c r="C3306" t="s">
        <v>427</v>
      </c>
      <c r="D3306" s="1">
        <v>45078</v>
      </c>
      <c r="E3306" t="s">
        <v>424</v>
      </c>
      <c r="F3306">
        <v>-7.09</v>
      </c>
      <c r="G3306" t="s">
        <v>68</v>
      </c>
      <c r="H3306" t="s">
        <v>69</v>
      </c>
      <c r="I3306" t="s">
        <v>69</v>
      </c>
    </row>
    <row r="3307" spans="1:9" x14ac:dyDescent="0.25">
      <c r="A3307" t="s">
        <v>264</v>
      </c>
      <c r="B3307" t="s">
        <v>230</v>
      </c>
      <c r="C3307" t="s">
        <v>427</v>
      </c>
      <c r="D3307" s="1">
        <v>45077</v>
      </c>
      <c r="E3307" t="s">
        <v>422</v>
      </c>
      <c r="F3307">
        <v>369.37</v>
      </c>
      <c r="G3307" t="s">
        <v>70</v>
      </c>
      <c r="H3307" t="s">
        <v>264</v>
      </c>
      <c r="I3307" t="s">
        <v>72</v>
      </c>
    </row>
    <row r="3308" spans="1:9" x14ac:dyDescent="0.25">
      <c r="A3308" t="s">
        <v>264</v>
      </c>
      <c r="B3308" t="s">
        <v>230</v>
      </c>
      <c r="C3308" t="s">
        <v>427</v>
      </c>
      <c r="D3308" s="1">
        <v>45077</v>
      </c>
      <c r="E3308" t="s">
        <v>500</v>
      </c>
      <c r="F3308">
        <v>-24.99</v>
      </c>
      <c r="G3308" t="s">
        <v>467</v>
      </c>
      <c r="H3308" t="s">
        <v>468</v>
      </c>
      <c r="I3308" t="s">
        <v>467</v>
      </c>
    </row>
    <row r="3309" spans="1:9" x14ac:dyDescent="0.25">
      <c r="A3309" t="s">
        <v>264</v>
      </c>
      <c r="B3309" t="s">
        <v>230</v>
      </c>
      <c r="C3309" t="s">
        <v>427</v>
      </c>
      <c r="D3309" s="1">
        <v>45079</v>
      </c>
      <c r="E3309" t="s">
        <v>428</v>
      </c>
      <c r="F3309">
        <v>-41.97</v>
      </c>
      <c r="G3309" t="s">
        <v>68</v>
      </c>
      <c r="H3309" t="s">
        <v>69</v>
      </c>
      <c r="I3309" t="s">
        <v>69</v>
      </c>
    </row>
    <row r="3310" spans="1:9" x14ac:dyDescent="0.25">
      <c r="A3310" t="s">
        <v>264</v>
      </c>
      <c r="B3310" t="s">
        <v>230</v>
      </c>
      <c r="C3310" t="s">
        <v>427</v>
      </c>
      <c r="D3310" s="1">
        <v>45079</v>
      </c>
      <c r="E3310" t="s">
        <v>501</v>
      </c>
      <c r="F3310">
        <v>-5.28</v>
      </c>
      <c r="G3310" t="s">
        <v>212</v>
      </c>
      <c r="H3310" t="s">
        <v>212</v>
      </c>
      <c r="I3310" t="s">
        <v>478</v>
      </c>
    </row>
    <row r="3311" spans="1:9" x14ac:dyDescent="0.25">
      <c r="A3311" t="s">
        <v>264</v>
      </c>
      <c r="B3311" t="s">
        <v>230</v>
      </c>
      <c r="C3311" t="s">
        <v>427</v>
      </c>
      <c r="D3311" s="1">
        <v>45079</v>
      </c>
      <c r="E3311" t="s">
        <v>483</v>
      </c>
      <c r="F3311">
        <v>-4.78</v>
      </c>
      <c r="G3311" t="s">
        <v>76</v>
      </c>
      <c r="H3311" t="s">
        <v>484</v>
      </c>
      <c r="I3311" t="s">
        <v>485</v>
      </c>
    </row>
    <row r="3312" spans="1:9" x14ac:dyDescent="0.25">
      <c r="A3312" t="s">
        <v>264</v>
      </c>
      <c r="B3312" t="s">
        <v>230</v>
      </c>
      <c r="C3312" t="s">
        <v>427</v>
      </c>
      <c r="D3312" s="1">
        <v>45079</v>
      </c>
      <c r="E3312" t="s">
        <v>465</v>
      </c>
      <c r="F3312">
        <v>-0.1</v>
      </c>
      <c r="G3312" t="s">
        <v>212</v>
      </c>
      <c r="H3312" t="s">
        <v>213</v>
      </c>
      <c r="I3312" t="s">
        <v>214</v>
      </c>
    </row>
    <row r="3313" spans="1:9" x14ac:dyDescent="0.25">
      <c r="A3313" t="s">
        <v>264</v>
      </c>
      <c r="B3313" t="s">
        <v>230</v>
      </c>
      <c r="C3313" t="s">
        <v>427</v>
      </c>
      <c r="D3313" s="1">
        <v>45079</v>
      </c>
      <c r="E3313" t="s">
        <v>502</v>
      </c>
      <c r="F3313">
        <v>-4.83</v>
      </c>
      <c r="G3313" t="s">
        <v>76</v>
      </c>
      <c r="H3313" t="s">
        <v>87</v>
      </c>
      <c r="I3313" t="s">
        <v>88</v>
      </c>
    </row>
    <row r="3314" spans="1:9" x14ac:dyDescent="0.25">
      <c r="A3314" t="s">
        <v>264</v>
      </c>
      <c r="B3314" t="s">
        <v>230</v>
      </c>
      <c r="C3314" t="s">
        <v>427</v>
      </c>
      <c r="D3314" s="1">
        <v>45079</v>
      </c>
      <c r="E3314" t="s">
        <v>422</v>
      </c>
      <c r="F3314">
        <v>166.71</v>
      </c>
      <c r="G3314" t="s">
        <v>70</v>
      </c>
      <c r="H3314" t="s">
        <v>264</v>
      </c>
      <c r="I3314" t="s">
        <v>72</v>
      </c>
    </row>
    <row r="3315" spans="1:9" x14ac:dyDescent="0.25">
      <c r="A3315" t="s">
        <v>264</v>
      </c>
      <c r="B3315" t="s">
        <v>230</v>
      </c>
      <c r="C3315" t="s">
        <v>427</v>
      </c>
      <c r="D3315" s="1">
        <v>45083</v>
      </c>
      <c r="E3315" t="s">
        <v>422</v>
      </c>
      <c r="F3315">
        <v>87.07</v>
      </c>
      <c r="G3315" t="s">
        <v>70</v>
      </c>
      <c r="H3315" t="s">
        <v>264</v>
      </c>
      <c r="I3315" t="s">
        <v>72</v>
      </c>
    </row>
    <row r="3316" spans="1:9" x14ac:dyDescent="0.25">
      <c r="A3316" t="s">
        <v>264</v>
      </c>
      <c r="B3316" t="s">
        <v>230</v>
      </c>
      <c r="C3316" t="s">
        <v>427</v>
      </c>
      <c r="D3316" s="1">
        <v>45083</v>
      </c>
      <c r="E3316" t="s">
        <v>422</v>
      </c>
      <c r="F3316">
        <v>78.989999999999995</v>
      </c>
      <c r="G3316" t="s">
        <v>70</v>
      </c>
      <c r="H3316" t="s">
        <v>264</v>
      </c>
      <c r="I3316" t="s">
        <v>72</v>
      </c>
    </row>
    <row r="3317" spans="1:9" x14ac:dyDescent="0.25">
      <c r="A3317" t="s">
        <v>264</v>
      </c>
      <c r="B3317" t="s">
        <v>230</v>
      </c>
      <c r="C3317" t="s">
        <v>427</v>
      </c>
      <c r="D3317" s="1">
        <v>45083</v>
      </c>
      <c r="E3317" t="s">
        <v>503</v>
      </c>
      <c r="F3317">
        <v>-44.13</v>
      </c>
      <c r="G3317" t="s">
        <v>76</v>
      </c>
      <c r="H3317" t="s">
        <v>82</v>
      </c>
      <c r="I3317" t="s">
        <v>83</v>
      </c>
    </row>
    <row r="3318" spans="1:9" x14ac:dyDescent="0.25">
      <c r="A3318" t="s">
        <v>264</v>
      </c>
      <c r="B3318" t="s">
        <v>230</v>
      </c>
      <c r="C3318" t="s">
        <v>427</v>
      </c>
      <c r="D3318" s="1">
        <v>45083</v>
      </c>
      <c r="E3318" t="s">
        <v>504</v>
      </c>
      <c r="F3318">
        <v>-29.76</v>
      </c>
      <c r="G3318" t="s">
        <v>76</v>
      </c>
      <c r="H3318" t="s">
        <v>87</v>
      </c>
      <c r="I3318" t="s">
        <v>88</v>
      </c>
    </row>
    <row r="3319" spans="1:9" x14ac:dyDescent="0.25">
      <c r="A3319" t="s">
        <v>264</v>
      </c>
      <c r="B3319" t="s">
        <v>230</v>
      </c>
      <c r="C3319" t="s">
        <v>427</v>
      </c>
      <c r="D3319" s="1">
        <v>45083</v>
      </c>
      <c r="E3319" t="s">
        <v>503</v>
      </c>
      <c r="F3319">
        <v>-12.23</v>
      </c>
      <c r="G3319" t="s">
        <v>76</v>
      </c>
      <c r="H3319" t="s">
        <v>82</v>
      </c>
      <c r="I3319" t="s">
        <v>83</v>
      </c>
    </row>
    <row r="3320" spans="1:9" x14ac:dyDescent="0.25">
      <c r="A3320" t="s">
        <v>264</v>
      </c>
      <c r="B3320" t="s">
        <v>230</v>
      </c>
      <c r="C3320" t="s">
        <v>427</v>
      </c>
      <c r="D3320" s="1">
        <v>45083</v>
      </c>
      <c r="E3320" t="s">
        <v>475</v>
      </c>
      <c r="F3320">
        <v>-1.24</v>
      </c>
      <c r="G3320" t="s">
        <v>92</v>
      </c>
      <c r="H3320" t="s">
        <v>93</v>
      </c>
      <c r="I3320" t="s">
        <v>94</v>
      </c>
    </row>
    <row r="3321" spans="1:9" x14ac:dyDescent="0.25">
      <c r="A3321" t="s">
        <v>264</v>
      </c>
      <c r="B3321" t="s">
        <v>230</v>
      </c>
      <c r="C3321" t="s">
        <v>427</v>
      </c>
      <c r="D3321" s="1">
        <v>45083</v>
      </c>
      <c r="E3321" t="s">
        <v>505</v>
      </c>
      <c r="F3321">
        <v>-32.33</v>
      </c>
      <c r="G3321" t="s">
        <v>89</v>
      </c>
      <c r="H3321" t="s">
        <v>90</v>
      </c>
      <c r="I3321" t="s">
        <v>474</v>
      </c>
    </row>
    <row r="3322" spans="1:9" x14ac:dyDescent="0.25">
      <c r="A3322" t="s">
        <v>264</v>
      </c>
      <c r="B3322" t="s">
        <v>230</v>
      </c>
      <c r="C3322" t="s">
        <v>427</v>
      </c>
      <c r="D3322" s="1">
        <v>45083</v>
      </c>
      <c r="E3322" t="s">
        <v>506</v>
      </c>
      <c r="F3322">
        <v>-28.36</v>
      </c>
      <c r="G3322" t="s">
        <v>89</v>
      </c>
      <c r="H3322" t="s">
        <v>90</v>
      </c>
      <c r="I3322" t="s">
        <v>474</v>
      </c>
    </row>
    <row r="3323" spans="1:9" x14ac:dyDescent="0.25">
      <c r="A3323" t="s">
        <v>264</v>
      </c>
      <c r="B3323" t="s">
        <v>230</v>
      </c>
      <c r="C3323" t="s">
        <v>427</v>
      </c>
      <c r="D3323" s="1">
        <v>45083</v>
      </c>
      <c r="E3323" t="s">
        <v>445</v>
      </c>
      <c r="F3323">
        <v>-0.33</v>
      </c>
      <c r="G3323" t="s">
        <v>84</v>
      </c>
      <c r="H3323" t="s">
        <v>85</v>
      </c>
      <c r="I3323" t="s">
        <v>86</v>
      </c>
    </row>
    <row r="3324" spans="1:9" x14ac:dyDescent="0.25">
      <c r="A3324" t="s">
        <v>264</v>
      </c>
      <c r="B3324" t="s">
        <v>230</v>
      </c>
      <c r="C3324" t="s">
        <v>427</v>
      </c>
      <c r="D3324" s="1">
        <v>45083</v>
      </c>
      <c r="E3324" t="s">
        <v>446</v>
      </c>
      <c r="F3324">
        <v>-0.21</v>
      </c>
      <c r="G3324" t="s">
        <v>84</v>
      </c>
      <c r="H3324" t="s">
        <v>85</v>
      </c>
      <c r="I3324" t="s">
        <v>86</v>
      </c>
    </row>
    <row r="3325" spans="1:9" x14ac:dyDescent="0.25">
      <c r="A3325" t="s">
        <v>264</v>
      </c>
      <c r="B3325" t="s">
        <v>230</v>
      </c>
      <c r="C3325" t="s">
        <v>427</v>
      </c>
      <c r="D3325" s="1">
        <v>45083</v>
      </c>
      <c r="E3325" t="s">
        <v>507</v>
      </c>
      <c r="F3325">
        <v>-2.75</v>
      </c>
      <c r="G3325" t="s">
        <v>68</v>
      </c>
      <c r="H3325" t="s">
        <v>69</v>
      </c>
      <c r="I3325" t="s">
        <v>69</v>
      </c>
    </row>
    <row r="3326" spans="1:9" x14ac:dyDescent="0.25">
      <c r="A3326" t="s">
        <v>264</v>
      </c>
      <c r="B3326" t="s">
        <v>230</v>
      </c>
      <c r="C3326" t="s">
        <v>427</v>
      </c>
      <c r="D3326" s="1">
        <v>45083</v>
      </c>
      <c r="E3326" t="s">
        <v>508</v>
      </c>
      <c r="F3326">
        <v>-7.84</v>
      </c>
      <c r="G3326" t="s">
        <v>76</v>
      </c>
      <c r="H3326" t="s">
        <v>87</v>
      </c>
      <c r="I3326" t="s">
        <v>88</v>
      </c>
    </row>
    <row r="3327" spans="1:9" x14ac:dyDescent="0.25">
      <c r="A3327" t="s">
        <v>264</v>
      </c>
      <c r="B3327" t="s">
        <v>230</v>
      </c>
      <c r="C3327" t="s">
        <v>427</v>
      </c>
      <c r="D3327" s="1">
        <v>45083</v>
      </c>
      <c r="E3327" t="s">
        <v>475</v>
      </c>
      <c r="F3327">
        <v>-5.3</v>
      </c>
      <c r="G3327" t="s">
        <v>92</v>
      </c>
      <c r="H3327" t="s">
        <v>93</v>
      </c>
      <c r="I3327" t="s">
        <v>94</v>
      </c>
    </row>
    <row r="3328" spans="1:9" x14ac:dyDescent="0.25">
      <c r="A3328" t="s">
        <v>264</v>
      </c>
      <c r="B3328" t="s">
        <v>230</v>
      </c>
      <c r="C3328" t="s">
        <v>427</v>
      </c>
      <c r="D3328" s="1">
        <v>45084</v>
      </c>
      <c r="E3328" t="s">
        <v>509</v>
      </c>
      <c r="F3328">
        <v>-22.36</v>
      </c>
      <c r="G3328" t="s">
        <v>92</v>
      </c>
      <c r="H3328" t="s">
        <v>510</v>
      </c>
      <c r="I3328" t="s">
        <v>510</v>
      </c>
    </row>
    <row r="3329" spans="1:9" x14ac:dyDescent="0.25">
      <c r="A3329" t="s">
        <v>264</v>
      </c>
      <c r="B3329" t="s">
        <v>230</v>
      </c>
      <c r="C3329" t="s">
        <v>427</v>
      </c>
      <c r="D3329" s="1">
        <v>45085</v>
      </c>
      <c r="E3329" t="s">
        <v>445</v>
      </c>
      <c r="F3329">
        <v>-0.03</v>
      </c>
      <c r="G3329" t="s">
        <v>84</v>
      </c>
      <c r="H3329" t="s">
        <v>85</v>
      </c>
      <c r="I3329" t="s">
        <v>86</v>
      </c>
    </row>
    <row r="3330" spans="1:9" x14ac:dyDescent="0.25">
      <c r="A3330" t="s">
        <v>264</v>
      </c>
      <c r="B3330" t="s">
        <v>230</v>
      </c>
      <c r="C3330" t="s">
        <v>427</v>
      </c>
      <c r="D3330" s="1">
        <v>45085</v>
      </c>
      <c r="E3330" t="s">
        <v>446</v>
      </c>
      <c r="F3330">
        <v>-0.01</v>
      </c>
      <c r="G3330" t="s">
        <v>84</v>
      </c>
      <c r="H3330" t="s">
        <v>85</v>
      </c>
      <c r="I3330" t="s">
        <v>86</v>
      </c>
    </row>
    <row r="3331" spans="1:9" x14ac:dyDescent="0.25">
      <c r="A3331" t="s">
        <v>264</v>
      </c>
      <c r="B3331" t="s">
        <v>230</v>
      </c>
      <c r="C3331" t="s">
        <v>427</v>
      </c>
      <c r="D3331" s="1">
        <v>45085</v>
      </c>
      <c r="E3331" t="s">
        <v>511</v>
      </c>
      <c r="F3331">
        <v>-7.88</v>
      </c>
      <c r="G3331" t="s">
        <v>92</v>
      </c>
      <c r="H3331" t="s">
        <v>104</v>
      </c>
      <c r="I3331" t="s">
        <v>104</v>
      </c>
    </row>
    <row r="3332" spans="1:9" x14ac:dyDescent="0.25">
      <c r="A3332" t="s">
        <v>264</v>
      </c>
      <c r="B3332" t="s">
        <v>230</v>
      </c>
      <c r="C3332" t="s">
        <v>427</v>
      </c>
      <c r="D3332" s="1">
        <v>45084</v>
      </c>
      <c r="E3332" t="s">
        <v>486</v>
      </c>
      <c r="F3332">
        <v>-51.31</v>
      </c>
      <c r="G3332" t="s">
        <v>79</v>
      </c>
      <c r="H3332" t="s">
        <v>512</v>
      </c>
      <c r="I3332" t="s">
        <v>512</v>
      </c>
    </row>
    <row r="3333" spans="1:9" x14ac:dyDescent="0.25">
      <c r="A3333" t="s">
        <v>264</v>
      </c>
      <c r="B3333" t="s">
        <v>230</v>
      </c>
      <c r="C3333" t="s">
        <v>427</v>
      </c>
      <c r="D3333" s="1">
        <v>45084</v>
      </c>
      <c r="E3333" t="s">
        <v>422</v>
      </c>
      <c r="F3333">
        <v>52.92</v>
      </c>
      <c r="G3333" t="s">
        <v>70</v>
      </c>
      <c r="H3333" t="s">
        <v>264</v>
      </c>
      <c r="I3333" t="s">
        <v>72</v>
      </c>
    </row>
    <row r="3334" spans="1:9" x14ac:dyDescent="0.25">
      <c r="A3334" t="s">
        <v>264</v>
      </c>
      <c r="B3334" t="s">
        <v>230</v>
      </c>
      <c r="C3334" t="s">
        <v>427</v>
      </c>
      <c r="D3334" s="1">
        <v>45089</v>
      </c>
      <c r="E3334" t="s">
        <v>445</v>
      </c>
      <c r="F3334">
        <v>-0.08</v>
      </c>
      <c r="G3334" t="s">
        <v>84</v>
      </c>
      <c r="H3334" t="s">
        <v>85</v>
      </c>
      <c r="I3334" t="s">
        <v>86</v>
      </c>
    </row>
    <row r="3335" spans="1:9" x14ac:dyDescent="0.25">
      <c r="A3335" t="s">
        <v>264</v>
      </c>
      <c r="B3335" t="s">
        <v>230</v>
      </c>
      <c r="C3335" t="s">
        <v>427</v>
      </c>
      <c r="D3335" s="1">
        <v>45089</v>
      </c>
      <c r="E3335" t="s">
        <v>446</v>
      </c>
      <c r="F3335">
        <v>-0.04</v>
      </c>
      <c r="G3335" t="s">
        <v>84</v>
      </c>
      <c r="H3335" t="s">
        <v>85</v>
      </c>
      <c r="I3335" t="s">
        <v>86</v>
      </c>
    </row>
    <row r="3336" spans="1:9" x14ac:dyDescent="0.25">
      <c r="A3336" t="s">
        <v>264</v>
      </c>
      <c r="B3336" t="s">
        <v>230</v>
      </c>
      <c r="C3336" t="s">
        <v>427</v>
      </c>
      <c r="D3336" s="1">
        <v>45089</v>
      </c>
      <c r="E3336" t="s">
        <v>513</v>
      </c>
      <c r="F3336">
        <v>-7.26</v>
      </c>
      <c r="G3336" t="s">
        <v>89</v>
      </c>
      <c r="H3336" t="s">
        <v>90</v>
      </c>
      <c r="I3336" t="s">
        <v>474</v>
      </c>
    </row>
    <row r="3337" spans="1:9" x14ac:dyDescent="0.25">
      <c r="A3337" t="s">
        <v>264</v>
      </c>
      <c r="B3337" t="s">
        <v>230</v>
      </c>
      <c r="C3337" t="s">
        <v>427</v>
      </c>
      <c r="D3337" s="1">
        <v>45086</v>
      </c>
      <c r="E3337" t="s">
        <v>483</v>
      </c>
      <c r="F3337">
        <v>-7.29</v>
      </c>
      <c r="G3337" t="s">
        <v>76</v>
      </c>
      <c r="H3337" t="s">
        <v>484</v>
      </c>
      <c r="I3337" t="s">
        <v>485</v>
      </c>
    </row>
    <row r="3338" spans="1:9" x14ac:dyDescent="0.25">
      <c r="A3338" t="s">
        <v>264</v>
      </c>
      <c r="B3338" t="s">
        <v>230</v>
      </c>
      <c r="C3338" t="s">
        <v>427</v>
      </c>
      <c r="D3338" s="1">
        <v>45085</v>
      </c>
      <c r="E3338" t="s">
        <v>422</v>
      </c>
      <c r="F3338">
        <v>8.23</v>
      </c>
      <c r="G3338" t="s">
        <v>70</v>
      </c>
      <c r="H3338" t="s">
        <v>264</v>
      </c>
      <c r="I3338" t="s">
        <v>72</v>
      </c>
    </row>
    <row r="3339" spans="1:9" x14ac:dyDescent="0.25">
      <c r="A3339" t="s">
        <v>264</v>
      </c>
      <c r="B3339" t="s">
        <v>230</v>
      </c>
      <c r="C3339" t="s">
        <v>427</v>
      </c>
      <c r="D3339" s="1">
        <v>45086</v>
      </c>
      <c r="E3339" t="s">
        <v>422</v>
      </c>
      <c r="F3339">
        <v>7.0000000000000007E-2</v>
      </c>
      <c r="G3339" t="s">
        <v>70</v>
      </c>
      <c r="H3339" t="s">
        <v>264</v>
      </c>
      <c r="I3339" t="s">
        <v>72</v>
      </c>
    </row>
    <row r="3340" spans="1:9" x14ac:dyDescent="0.25">
      <c r="A3340" t="s">
        <v>264</v>
      </c>
      <c r="B3340" t="s">
        <v>230</v>
      </c>
      <c r="C3340" t="s">
        <v>427</v>
      </c>
      <c r="D3340" s="1">
        <v>45086</v>
      </c>
      <c r="E3340" t="s">
        <v>422</v>
      </c>
      <c r="F3340">
        <v>4.8099999999999996</v>
      </c>
      <c r="G3340" t="s">
        <v>70</v>
      </c>
      <c r="H3340" t="s">
        <v>264</v>
      </c>
      <c r="I3340" t="s">
        <v>72</v>
      </c>
    </row>
    <row r="3341" spans="1:9" x14ac:dyDescent="0.25">
      <c r="A3341" t="s">
        <v>264</v>
      </c>
      <c r="B3341" t="s">
        <v>230</v>
      </c>
      <c r="C3341" t="s">
        <v>427</v>
      </c>
      <c r="D3341" s="1">
        <v>45091</v>
      </c>
      <c r="E3341" t="s">
        <v>445</v>
      </c>
      <c r="F3341">
        <v>-0.22</v>
      </c>
      <c r="G3341" t="s">
        <v>84</v>
      </c>
      <c r="H3341" t="s">
        <v>85</v>
      </c>
      <c r="I3341" t="s">
        <v>86</v>
      </c>
    </row>
    <row r="3342" spans="1:9" x14ac:dyDescent="0.25">
      <c r="A3342" t="s">
        <v>264</v>
      </c>
      <c r="B3342" t="s">
        <v>230</v>
      </c>
      <c r="C3342" t="s">
        <v>427</v>
      </c>
      <c r="D3342" s="1">
        <v>45091</v>
      </c>
      <c r="E3342" t="s">
        <v>446</v>
      </c>
      <c r="F3342">
        <v>-0.08</v>
      </c>
      <c r="G3342" t="s">
        <v>84</v>
      </c>
      <c r="H3342" t="s">
        <v>85</v>
      </c>
      <c r="I3342" t="s">
        <v>86</v>
      </c>
    </row>
    <row r="3343" spans="1:9" x14ac:dyDescent="0.25">
      <c r="A3343" t="s">
        <v>264</v>
      </c>
      <c r="B3343" t="s">
        <v>230</v>
      </c>
      <c r="C3343" t="s">
        <v>427</v>
      </c>
      <c r="D3343" s="1">
        <v>45091</v>
      </c>
      <c r="E3343" t="s">
        <v>514</v>
      </c>
      <c r="F3343">
        <v>-30</v>
      </c>
      <c r="G3343" t="s">
        <v>89</v>
      </c>
      <c r="H3343" t="s">
        <v>90</v>
      </c>
      <c r="I3343" t="s">
        <v>474</v>
      </c>
    </row>
    <row r="3344" spans="1:9" x14ac:dyDescent="0.25">
      <c r="A3344" t="s">
        <v>264</v>
      </c>
      <c r="B3344" t="s">
        <v>230</v>
      </c>
      <c r="C3344" t="s">
        <v>427</v>
      </c>
      <c r="D3344" s="1">
        <v>45091</v>
      </c>
      <c r="E3344" t="s">
        <v>445</v>
      </c>
      <c r="F3344">
        <v>-0.04</v>
      </c>
      <c r="G3344" t="s">
        <v>84</v>
      </c>
      <c r="H3344" t="s">
        <v>85</v>
      </c>
      <c r="I3344" t="s">
        <v>86</v>
      </c>
    </row>
    <row r="3345" spans="1:9" x14ac:dyDescent="0.25">
      <c r="A3345" t="s">
        <v>264</v>
      </c>
      <c r="B3345" t="s">
        <v>230</v>
      </c>
      <c r="C3345" t="s">
        <v>427</v>
      </c>
      <c r="D3345" s="1">
        <v>45091</v>
      </c>
      <c r="E3345" t="s">
        <v>446</v>
      </c>
      <c r="F3345">
        <v>-0.11</v>
      </c>
      <c r="G3345" t="s">
        <v>84</v>
      </c>
      <c r="H3345" t="s">
        <v>85</v>
      </c>
      <c r="I3345" t="s">
        <v>86</v>
      </c>
    </row>
    <row r="3346" spans="1:9" x14ac:dyDescent="0.25">
      <c r="A3346" t="s">
        <v>264</v>
      </c>
      <c r="B3346" t="s">
        <v>230</v>
      </c>
      <c r="C3346" t="s">
        <v>427</v>
      </c>
      <c r="D3346" s="1">
        <v>45091</v>
      </c>
      <c r="E3346" t="s">
        <v>515</v>
      </c>
      <c r="F3346">
        <v>-26.73</v>
      </c>
      <c r="G3346" t="s">
        <v>89</v>
      </c>
      <c r="H3346" t="s">
        <v>90</v>
      </c>
      <c r="I3346" t="s">
        <v>474</v>
      </c>
    </row>
    <row r="3347" spans="1:9" x14ac:dyDescent="0.25">
      <c r="A3347" t="s">
        <v>264</v>
      </c>
      <c r="B3347" t="s">
        <v>230</v>
      </c>
      <c r="C3347" t="s">
        <v>427</v>
      </c>
      <c r="D3347" s="1">
        <v>45090</v>
      </c>
      <c r="E3347" t="s">
        <v>422</v>
      </c>
      <c r="F3347">
        <v>4.8</v>
      </c>
      <c r="G3347" t="s">
        <v>70</v>
      </c>
      <c r="H3347" t="s">
        <v>264</v>
      </c>
      <c r="I3347" t="s">
        <v>72</v>
      </c>
    </row>
    <row r="3348" spans="1:9" x14ac:dyDescent="0.25">
      <c r="A3348" t="s">
        <v>264</v>
      </c>
      <c r="B3348" t="s">
        <v>230</v>
      </c>
      <c r="C3348" t="s">
        <v>427</v>
      </c>
      <c r="D3348" s="1">
        <v>45093</v>
      </c>
      <c r="E3348" t="s">
        <v>480</v>
      </c>
      <c r="F3348">
        <v>-7.58</v>
      </c>
      <c r="G3348" t="s">
        <v>76</v>
      </c>
      <c r="H3348" t="s">
        <v>82</v>
      </c>
      <c r="I3348" t="s">
        <v>83</v>
      </c>
    </row>
    <row r="3349" spans="1:9" x14ac:dyDescent="0.25">
      <c r="A3349" t="s">
        <v>264</v>
      </c>
      <c r="B3349" t="s">
        <v>230</v>
      </c>
      <c r="C3349" t="s">
        <v>427</v>
      </c>
      <c r="D3349" s="1">
        <v>45093</v>
      </c>
      <c r="E3349" t="s">
        <v>483</v>
      </c>
      <c r="F3349">
        <v>-15.11</v>
      </c>
      <c r="G3349" t="s">
        <v>76</v>
      </c>
      <c r="H3349" t="s">
        <v>484</v>
      </c>
      <c r="I3349" t="s">
        <v>485</v>
      </c>
    </row>
    <row r="3350" spans="1:9" x14ac:dyDescent="0.25">
      <c r="A3350" t="s">
        <v>264</v>
      </c>
      <c r="B3350" t="s">
        <v>230</v>
      </c>
      <c r="C3350" t="s">
        <v>427</v>
      </c>
      <c r="D3350" s="1">
        <v>45092</v>
      </c>
      <c r="E3350" t="s">
        <v>422</v>
      </c>
      <c r="F3350">
        <v>85.29</v>
      </c>
      <c r="G3350" t="s">
        <v>70</v>
      </c>
      <c r="H3350" t="s">
        <v>264</v>
      </c>
      <c r="I3350" t="s">
        <v>72</v>
      </c>
    </row>
    <row r="3351" spans="1:9" x14ac:dyDescent="0.25">
      <c r="A3351" t="s">
        <v>264</v>
      </c>
      <c r="B3351" t="s">
        <v>230</v>
      </c>
      <c r="C3351" t="s">
        <v>427</v>
      </c>
      <c r="D3351" s="1">
        <v>45096</v>
      </c>
      <c r="E3351" t="s">
        <v>445</v>
      </c>
      <c r="F3351">
        <v>-0.34</v>
      </c>
      <c r="G3351" t="s">
        <v>84</v>
      </c>
      <c r="H3351" t="s">
        <v>85</v>
      </c>
      <c r="I3351" t="s">
        <v>86</v>
      </c>
    </row>
    <row r="3352" spans="1:9" x14ac:dyDescent="0.25">
      <c r="A3352" t="s">
        <v>264</v>
      </c>
      <c r="B3352" t="s">
        <v>230</v>
      </c>
      <c r="C3352" t="s">
        <v>427</v>
      </c>
      <c r="D3352" s="1">
        <v>45096</v>
      </c>
      <c r="E3352" t="s">
        <v>446</v>
      </c>
      <c r="F3352">
        <v>-0.05</v>
      </c>
      <c r="G3352" t="s">
        <v>84</v>
      </c>
      <c r="H3352" t="s">
        <v>85</v>
      </c>
      <c r="I3352" t="s">
        <v>86</v>
      </c>
    </row>
    <row r="3353" spans="1:9" x14ac:dyDescent="0.25">
      <c r="A3353" t="s">
        <v>264</v>
      </c>
      <c r="B3353" t="s">
        <v>230</v>
      </c>
      <c r="C3353" t="s">
        <v>427</v>
      </c>
      <c r="D3353" s="1">
        <v>45096</v>
      </c>
      <c r="E3353" t="s">
        <v>516</v>
      </c>
      <c r="F3353">
        <v>-40.54</v>
      </c>
      <c r="G3353" t="s">
        <v>89</v>
      </c>
      <c r="H3353" t="s">
        <v>90</v>
      </c>
      <c r="I3353" t="s">
        <v>474</v>
      </c>
    </row>
    <row r="3354" spans="1:9" x14ac:dyDescent="0.25">
      <c r="A3354" t="s">
        <v>264</v>
      </c>
      <c r="B3354" t="s">
        <v>230</v>
      </c>
      <c r="C3354" t="s">
        <v>427</v>
      </c>
      <c r="D3354" s="1">
        <v>45092</v>
      </c>
      <c r="E3354" t="s">
        <v>422</v>
      </c>
      <c r="F3354">
        <v>11.71</v>
      </c>
      <c r="G3354" t="s">
        <v>70</v>
      </c>
      <c r="H3354" t="s">
        <v>264</v>
      </c>
      <c r="I3354" t="s">
        <v>72</v>
      </c>
    </row>
    <row r="3355" spans="1:9" x14ac:dyDescent="0.25">
      <c r="A3355" t="s">
        <v>264</v>
      </c>
      <c r="B3355" t="s">
        <v>230</v>
      </c>
      <c r="C3355" t="s">
        <v>427</v>
      </c>
      <c r="D3355" s="1">
        <v>45097</v>
      </c>
      <c r="E3355" t="s">
        <v>475</v>
      </c>
      <c r="F3355">
        <v>-6.64</v>
      </c>
      <c r="G3355" t="s">
        <v>92</v>
      </c>
      <c r="H3355" t="s">
        <v>93</v>
      </c>
      <c r="I3355" t="s">
        <v>94</v>
      </c>
    </row>
    <row r="3356" spans="1:9" x14ac:dyDescent="0.25">
      <c r="A3356" t="s">
        <v>264</v>
      </c>
      <c r="B3356" t="s">
        <v>230</v>
      </c>
      <c r="C3356" t="s">
        <v>427</v>
      </c>
      <c r="D3356" s="1">
        <v>45098</v>
      </c>
      <c r="E3356" t="s">
        <v>486</v>
      </c>
      <c r="F3356">
        <v>-29.94</v>
      </c>
      <c r="G3356" t="s">
        <v>79</v>
      </c>
      <c r="H3356" t="s">
        <v>95</v>
      </c>
      <c r="I3356" t="s">
        <v>95</v>
      </c>
    </row>
    <row r="3357" spans="1:9" x14ac:dyDescent="0.25">
      <c r="A3357" t="s">
        <v>264</v>
      </c>
      <c r="B3357" t="s">
        <v>230</v>
      </c>
      <c r="C3357" t="s">
        <v>427</v>
      </c>
      <c r="D3357" s="1">
        <v>45098</v>
      </c>
      <c r="E3357" t="s">
        <v>486</v>
      </c>
      <c r="F3357">
        <v>-77.78</v>
      </c>
      <c r="G3357" t="s">
        <v>73</v>
      </c>
      <c r="H3357" t="s">
        <v>487</v>
      </c>
      <c r="I3357" t="s">
        <v>487</v>
      </c>
    </row>
    <row r="3358" spans="1:9" x14ac:dyDescent="0.25">
      <c r="A3358" t="s">
        <v>264</v>
      </c>
      <c r="B3358" t="s">
        <v>230</v>
      </c>
      <c r="C3358" t="s">
        <v>427</v>
      </c>
      <c r="D3358" s="1">
        <v>45098</v>
      </c>
      <c r="E3358" t="s">
        <v>486</v>
      </c>
      <c r="F3358">
        <v>-25.25</v>
      </c>
      <c r="G3358" t="s">
        <v>350</v>
      </c>
      <c r="H3358" t="s">
        <v>487</v>
      </c>
      <c r="I3358" t="s">
        <v>487</v>
      </c>
    </row>
    <row r="3359" spans="1:9" x14ac:dyDescent="0.25">
      <c r="A3359" t="s">
        <v>264</v>
      </c>
      <c r="B3359" t="s">
        <v>230</v>
      </c>
      <c r="C3359" t="s">
        <v>427</v>
      </c>
      <c r="D3359" s="1">
        <v>45097</v>
      </c>
      <c r="E3359" t="s">
        <v>422</v>
      </c>
      <c r="F3359">
        <v>346.71</v>
      </c>
      <c r="G3359" t="s">
        <v>70</v>
      </c>
      <c r="H3359" t="s">
        <v>264</v>
      </c>
      <c r="I3359" t="s">
        <v>72</v>
      </c>
    </row>
    <row r="3360" spans="1:9" x14ac:dyDescent="0.25">
      <c r="A3360" t="s">
        <v>264</v>
      </c>
      <c r="B3360" t="s">
        <v>230</v>
      </c>
      <c r="C3360" t="s">
        <v>427</v>
      </c>
      <c r="D3360" s="1">
        <v>45100</v>
      </c>
      <c r="E3360" t="s">
        <v>475</v>
      </c>
      <c r="F3360">
        <v>-16.66</v>
      </c>
      <c r="G3360" t="s">
        <v>92</v>
      </c>
      <c r="H3360" t="s">
        <v>93</v>
      </c>
      <c r="I3360" t="s">
        <v>94</v>
      </c>
    </row>
    <row r="3361" spans="1:9" x14ac:dyDescent="0.25">
      <c r="A3361" t="s">
        <v>264</v>
      </c>
      <c r="B3361" t="s">
        <v>230</v>
      </c>
      <c r="C3361" t="s">
        <v>427</v>
      </c>
      <c r="D3361" s="1">
        <v>45100</v>
      </c>
      <c r="E3361" t="s">
        <v>483</v>
      </c>
      <c r="F3361">
        <v>-13</v>
      </c>
      <c r="G3361" t="s">
        <v>76</v>
      </c>
      <c r="H3361" t="s">
        <v>484</v>
      </c>
      <c r="I3361" t="s">
        <v>485</v>
      </c>
    </row>
    <row r="3362" spans="1:9" x14ac:dyDescent="0.25">
      <c r="A3362" t="s">
        <v>264</v>
      </c>
      <c r="B3362" t="s">
        <v>230</v>
      </c>
      <c r="C3362" t="s">
        <v>427</v>
      </c>
      <c r="D3362" s="1">
        <v>45100</v>
      </c>
      <c r="E3362" t="s">
        <v>422</v>
      </c>
      <c r="F3362">
        <v>25.94</v>
      </c>
      <c r="G3362" t="s">
        <v>70</v>
      </c>
      <c r="H3362" t="s">
        <v>264</v>
      </c>
      <c r="I3362" t="s">
        <v>72</v>
      </c>
    </row>
    <row r="3363" spans="1:9" x14ac:dyDescent="0.25">
      <c r="A3363" t="s">
        <v>264</v>
      </c>
      <c r="B3363" t="s">
        <v>230</v>
      </c>
      <c r="C3363" t="s">
        <v>427</v>
      </c>
      <c r="D3363" s="1">
        <v>45103</v>
      </c>
      <c r="E3363" t="s">
        <v>422</v>
      </c>
      <c r="F3363">
        <v>15.04</v>
      </c>
      <c r="G3363" t="s">
        <v>70</v>
      </c>
      <c r="H3363" t="s">
        <v>264</v>
      </c>
      <c r="I3363" t="s">
        <v>72</v>
      </c>
    </row>
    <row r="3364" spans="1:9" x14ac:dyDescent="0.25">
      <c r="A3364" t="s">
        <v>264</v>
      </c>
      <c r="B3364" t="s">
        <v>230</v>
      </c>
      <c r="C3364" t="s">
        <v>427</v>
      </c>
      <c r="D3364" s="1">
        <v>45103</v>
      </c>
      <c r="E3364" t="s">
        <v>475</v>
      </c>
      <c r="F3364">
        <v>-21.22</v>
      </c>
      <c r="G3364" t="s">
        <v>92</v>
      </c>
      <c r="H3364" t="s">
        <v>93</v>
      </c>
      <c r="I3364" t="s">
        <v>94</v>
      </c>
    </row>
    <row r="3365" spans="1:9" x14ac:dyDescent="0.25">
      <c r="A3365" t="s">
        <v>264</v>
      </c>
      <c r="B3365" t="s">
        <v>230</v>
      </c>
      <c r="C3365" t="s">
        <v>427</v>
      </c>
      <c r="D3365" s="1">
        <v>45105</v>
      </c>
      <c r="E3365" t="s">
        <v>506</v>
      </c>
      <c r="F3365">
        <v>-21.85</v>
      </c>
      <c r="G3365" t="s">
        <v>89</v>
      </c>
      <c r="H3365" t="s">
        <v>90</v>
      </c>
      <c r="I3365" t="s">
        <v>474</v>
      </c>
    </row>
    <row r="3366" spans="1:9" x14ac:dyDescent="0.25">
      <c r="A3366" t="s">
        <v>264</v>
      </c>
      <c r="B3366" t="s">
        <v>230</v>
      </c>
      <c r="C3366" t="s">
        <v>427</v>
      </c>
      <c r="D3366" s="1">
        <v>45103</v>
      </c>
      <c r="E3366" t="s">
        <v>422</v>
      </c>
      <c r="F3366">
        <v>51.31</v>
      </c>
      <c r="G3366" t="s">
        <v>70</v>
      </c>
      <c r="H3366" t="s">
        <v>264</v>
      </c>
      <c r="I3366" t="s">
        <v>72</v>
      </c>
    </row>
    <row r="3367" spans="1:9" x14ac:dyDescent="0.25">
      <c r="A3367" t="s">
        <v>264</v>
      </c>
      <c r="B3367" t="s">
        <v>230</v>
      </c>
      <c r="C3367" t="s">
        <v>427</v>
      </c>
      <c r="D3367" s="1">
        <v>45105</v>
      </c>
      <c r="E3367" t="s">
        <v>517</v>
      </c>
      <c r="F3367">
        <v>-92.42</v>
      </c>
      <c r="G3367" t="s">
        <v>76</v>
      </c>
      <c r="H3367" t="s">
        <v>82</v>
      </c>
      <c r="I3367" t="s">
        <v>83</v>
      </c>
    </row>
    <row r="3368" spans="1:9" x14ac:dyDescent="0.25">
      <c r="A3368" t="s">
        <v>264</v>
      </c>
      <c r="B3368" t="s">
        <v>230</v>
      </c>
      <c r="C3368" t="s">
        <v>427</v>
      </c>
      <c r="D3368" s="1">
        <v>45105</v>
      </c>
      <c r="E3368" t="s">
        <v>518</v>
      </c>
      <c r="F3368">
        <v>-0.62</v>
      </c>
      <c r="G3368" t="s">
        <v>76</v>
      </c>
      <c r="H3368" t="s">
        <v>77</v>
      </c>
      <c r="I3368" t="s">
        <v>78</v>
      </c>
    </row>
    <row r="3369" spans="1:9" x14ac:dyDescent="0.25">
      <c r="A3369" t="s">
        <v>264</v>
      </c>
      <c r="B3369" t="s">
        <v>230</v>
      </c>
      <c r="C3369" t="s">
        <v>427</v>
      </c>
      <c r="D3369" s="1">
        <v>45104</v>
      </c>
      <c r="E3369" t="s">
        <v>422</v>
      </c>
      <c r="F3369">
        <v>28.23</v>
      </c>
      <c r="G3369" t="s">
        <v>70</v>
      </c>
      <c r="H3369" t="s">
        <v>264</v>
      </c>
      <c r="I3369" t="s">
        <v>72</v>
      </c>
    </row>
    <row r="3370" spans="1:9" x14ac:dyDescent="0.25">
      <c r="A3370" t="s">
        <v>264</v>
      </c>
      <c r="B3370" t="s">
        <v>230</v>
      </c>
      <c r="C3370" t="s">
        <v>427</v>
      </c>
      <c r="D3370" s="1">
        <v>45104</v>
      </c>
      <c r="E3370" t="s">
        <v>422</v>
      </c>
      <c r="F3370">
        <v>10.37</v>
      </c>
      <c r="G3370" t="s">
        <v>70</v>
      </c>
      <c r="H3370" t="s">
        <v>264</v>
      </c>
      <c r="I3370" t="s">
        <v>72</v>
      </c>
    </row>
    <row r="3371" spans="1:9" x14ac:dyDescent="0.25">
      <c r="A3371" t="s">
        <v>264</v>
      </c>
      <c r="B3371" t="s">
        <v>230</v>
      </c>
      <c r="C3371" t="s">
        <v>427</v>
      </c>
      <c r="D3371" s="1">
        <v>45107</v>
      </c>
      <c r="E3371" t="s">
        <v>445</v>
      </c>
      <c r="F3371">
        <v>-0.16</v>
      </c>
      <c r="G3371" t="s">
        <v>84</v>
      </c>
      <c r="H3371" t="s">
        <v>85</v>
      </c>
      <c r="I3371" t="s">
        <v>86</v>
      </c>
    </row>
    <row r="3372" spans="1:9" x14ac:dyDescent="0.25">
      <c r="A3372" t="s">
        <v>264</v>
      </c>
      <c r="B3372" t="s">
        <v>230</v>
      </c>
      <c r="C3372" t="s">
        <v>427</v>
      </c>
      <c r="D3372" s="1">
        <v>45107</v>
      </c>
      <c r="E3372" t="s">
        <v>446</v>
      </c>
      <c r="F3372">
        <v>-0.18</v>
      </c>
      <c r="G3372" t="s">
        <v>84</v>
      </c>
      <c r="H3372" t="s">
        <v>85</v>
      </c>
      <c r="I3372" t="s">
        <v>86</v>
      </c>
    </row>
    <row r="3373" spans="1:9" x14ac:dyDescent="0.25">
      <c r="A3373" t="s">
        <v>264</v>
      </c>
      <c r="B3373" t="s">
        <v>230</v>
      </c>
      <c r="C3373" t="s">
        <v>427</v>
      </c>
      <c r="D3373" s="1">
        <v>45107</v>
      </c>
      <c r="E3373" t="s">
        <v>519</v>
      </c>
      <c r="F3373">
        <v>-15.06</v>
      </c>
      <c r="G3373" t="s">
        <v>92</v>
      </c>
      <c r="H3373" t="s">
        <v>104</v>
      </c>
      <c r="I3373" t="s">
        <v>104</v>
      </c>
    </row>
    <row r="3374" spans="1:9" x14ac:dyDescent="0.25">
      <c r="A3374" t="s">
        <v>264</v>
      </c>
      <c r="B3374" t="s">
        <v>230</v>
      </c>
      <c r="C3374" t="s">
        <v>427</v>
      </c>
      <c r="D3374" s="1">
        <v>45107</v>
      </c>
      <c r="E3374" t="s">
        <v>483</v>
      </c>
      <c r="F3374">
        <v>-7.71</v>
      </c>
      <c r="G3374" t="s">
        <v>76</v>
      </c>
      <c r="H3374" t="s">
        <v>484</v>
      </c>
      <c r="I3374" t="s">
        <v>485</v>
      </c>
    </row>
    <row r="3375" spans="1:9" x14ac:dyDescent="0.25">
      <c r="A3375" t="s">
        <v>264</v>
      </c>
      <c r="B3375" t="s">
        <v>230</v>
      </c>
      <c r="C3375" t="s">
        <v>427</v>
      </c>
      <c r="D3375" s="1">
        <v>45107</v>
      </c>
      <c r="E3375" t="s">
        <v>520</v>
      </c>
      <c r="F3375">
        <v>-0.53</v>
      </c>
      <c r="G3375" t="s">
        <v>68</v>
      </c>
      <c r="H3375" t="s">
        <v>69</v>
      </c>
      <c r="I3375" t="s">
        <v>69</v>
      </c>
    </row>
    <row r="3376" spans="1:9" x14ac:dyDescent="0.25">
      <c r="A3376" t="s">
        <v>264</v>
      </c>
      <c r="B3376" t="s">
        <v>230</v>
      </c>
      <c r="C3376" t="s">
        <v>427</v>
      </c>
      <c r="D3376" s="1">
        <v>45106</v>
      </c>
      <c r="E3376" t="s">
        <v>422</v>
      </c>
      <c r="F3376">
        <v>6.66</v>
      </c>
      <c r="G3376" t="s">
        <v>70</v>
      </c>
      <c r="H3376" t="s">
        <v>264</v>
      </c>
      <c r="I3376" t="s">
        <v>72</v>
      </c>
    </row>
    <row r="3377" spans="1:9" x14ac:dyDescent="0.25">
      <c r="A3377" t="s">
        <v>264</v>
      </c>
      <c r="B3377" t="s">
        <v>230</v>
      </c>
      <c r="C3377" t="s">
        <v>427</v>
      </c>
      <c r="D3377" s="1">
        <v>45107</v>
      </c>
      <c r="E3377" t="s">
        <v>422</v>
      </c>
      <c r="F3377">
        <v>1292.6099999999999</v>
      </c>
      <c r="G3377" t="s">
        <v>70</v>
      </c>
      <c r="H3377" t="s">
        <v>264</v>
      </c>
      <c r="I3377" t="s">
        <v>72</v>
      </c>
    </row>
    <row r="3378" spans="1:9" x14ac:dyDescent="0.25">
      <c r="A3378" t="s">
        <v>264</v>
      </c>
      <c r="B3378" t="s">
        <v>230</v>
      </c>
      <c r="C3378" t="s">
        <v>427</v>
      </c>
      <c r="D3378" s="1">
        <v>45110</v>
      </c>
      <c r="E3378" t="s">
        <v>521</v>
      </c>
      <c r="F3378">
        <v>-146.34</v>
      </c>
      <c r="G3378" t="s">
        <v>212</v>
      </c>
      <c r="H3378" t="s">
        <v>213</v>
      </c>
      <c r="I3378" t="s">
        <v>214</v>
      </c>
    </row>
    <row r="3379" spans="1:9" x14ac:dyDescent="0.25">
      <c r="A3379" t="s">
        <v>264</v>
      </c>
      <c r="B3379" t="s">
        <v>230</v>
      </c>
      <c r="C3379" t="s">
        <v>427</v>
      </c>
      <c r="D3379" s="1">
        <v>45110</v>
      </c>
      <c r="E3379" t="s">
        <v>522</v>
      </c>
      <c r="F3379">
        <v>-1199.8900000000001</v>
      </c>
      <c r="G3379" t="s">
        <v>76</v>
      </c>
      <c r="H3379" t="s">
        <v>82</v>
      </c>
      <c r="I3379" t="s">
        <v>83</v>
      </c>
    </row>
    <row r="3380" spans="1:9" x14ac:dyDescent="0.25">
      <c r="A3380" t="s">
        <v>264</v>
      </c>
      <c r="B3380" t="s">
        <v>230</v>
      </c>
      <c r="C3380" t="s">
        <v>427</v>
      </c>
      <c r="D3380" s="1">
        <v>45110</v>
      </c>
      <c r="E3380" t="s">
        <v>523</v>
      </c>
      <c r="F3380">
        <v>-983.92</v>
      </c>
      <c r="G3380" t="s">
        <v>76</v>
      </c>
      <c r="H3380" t="s">
        <v>82</v>
      </c>
      <c r="I3380" t="s">
        <v>83</v>
      </c>
    </row>
    <row r="3381" spans="1:9" x14ac:dyDescent="0.25">
      <c r="A3381" t="s">
        <v>264</v>
      </c>
      <c r="B3381" t="s">
        <v>230</v>
      </c>
      <c r="C3381" t="s">
        <v>427</v>
      </c>
      <c r="D3381" s="1">
        <v>45110</v>
      </c>
      <c r="E3381" t="s">
        <v>524</v>
      </c>
      <c r="F3381">
        <v>-1.07</v>
      </c>
      <c r="G3381" t="s">
        <v>89</v>
      </c>
      <c r="H3381" t="s">
        <v>90</v>
      </c>
      <c r="I3381" t="s">
        <v>128</v>
      </c>
    </row>
    <row r="3382" spans="1:9" x14ac:dyDescent="0.25">
      <c r="A3382" t="s">
        <v>264</v>
      </c>
      <c r="B3382" t="s">
        <v>230</v>
      </c>
      <c r="C3382" t="s">
        <v>427</v>
      </c>
      <c r="D3382" s="1">
        <v>45110</v>
      </c>
      <c r="E3382" t="s">
        <v>422</v>
      </c>
      <c r="F3382">
        <v>0.15</v>
      </c>
      <c r="G3382" t="s">
        <v>70</v>
      </c>
      <c r="H3382" t="s">
        <v>264</v>
      </c>
      <c r="I3382" t="s">
        <v>72</v>
      </c>
    </row>
    <row r="3383" spans="1:9" x14ac:dyDescent="0.25">
      <c r="A3383" t="s">
        <v>264</v>
      </c>
      <c r="B3383" t="s">
        <v>230</v>
      </c>
      <c r="C3383" t="s">
        <v>427</v>
      </c>
      <c r="D3383" s="1">
        <v>45110</v>
      </c>
      <c r="E3383" t="s">
        <v>422</v>
      </c>
      <c r="F3383">
        <v>143.46</v>
      </c>
      <c r="G3383" t="s">
        <v>70</v>
      </c>
      <c r="H3383" t="s">
        <v>264</v>
      </c>
      <c r="I3383" t="s">
        <v>72</v>
      </c>
    </row>
    <row r="3384" spans="1:9" x14ac:dyDescent="0.25">
      <c r="A3384" t="s">
        <v>264</v>
      </c>
      <c r="B3384" t="s">
        <v>230</v>
      </c>
      <c r="C3384" t="s">
        <v>427</v>
      </c>
      <c r="D3384" s="1">
        <v>45110</v>
      </c>
      <c r="E3384" t="s">
        <v>428</v>
      </c>
      <c r="F3384">
        <v>-307.02999999999997</v>
      </c>
      <c r="G3384" t="s">
        <v>68</v>
      </c>
      <c r="H3384" t="s">
        <v>69</v>
      </c>
      <c r="I3384" t="s">
        <v>69</v>
      </c>
    </row>
    <row r="3385" spans="1:9" x14ac:dyDescent="0.25">
      <c r="A3385" t="s">
        <v>264</v>
      </c>
      <c r="B3385" t="s">
        <v>230</v>
      </c>
      <c r="C3385" t="s">
        <v>427</v>
      </c>
      <c r="D3385" s="1">
        <v>45110</v>
      </c>
      <c r="E3385" t="s">
        <v>525</v>
      </c>
      <c r="F3385">
        <v>-2.5499999999999998</v>
      </c>
      <c r="G3385" t="s">
        <v>68</v>
      </c>
      <c r="H3385" t="s">
        <v>69</v>
      </c>
      <c r="I3385" t="s">
        <v>69</v>
      </c>
    </row>
    <row r="3386" spans="1:9" x14ac:dyDescent="0.25">
      <c r="A3386" t="s">
        <v>264</v>
      </c>
      <c r="B3386" t="s">
        <v>230</v>
      </c>
      <c r="C3386" t="s">
        <v>427</v>
      </c>
      <c r="D3386" s="1">
        <v>45110</v>
      </c>
      <c r="E3386" t="s">
        <v>422</v>
      </c>
      <c r="F3386">
        <v>23.73</v>
      </c>
      <c r="G3386" t="s">
        <v>70</v>
      </c>
      <c r="H3386" t="s">
        <v>264</v>
      </c>
      <c r="I3386" t="s">
        <v>72</v>
      </c>
    </row>
    <row r="3387" spans="1:9" x14ac:dyDescent="0.25">
      <c r="A3387" t="s">
        <v>264</v>
      </c>
      <c r="B3387" t="s">
        <v>230</v>
      </c>
      <c r="C3387" t="s">
        <v>427</v>
      </c>
      <c r="D3387" s="1">
        <v>45110</v>
      </c>
      <c r="E3387" t="s">
        <v>526</v>
      </c>
      <c r="F3387">
        <v>-41.47</v>
      </c>
      <c r="G3387" t="s">
        <v>212</v>
      </c>
      <c r="H3387" t="s">
        <v>213</v>
      </c>
      <c r="I3387" t="s">
        <v>214</v>
      </c>
    </row>
    <row r="3388" spans="1:9" x14ac:dyDescent="0.25">
      <c r="A3388" t="s">
        <v>264</v>
      </c>
      <c r="B3388" t="s">
        <v>230</v>
      </c>
      <c r="C3388" t="s">
        <v>427</v>
      </c>
      <c r="D3388" s="1">
        <v>45110</v>
      </c>
      <c r="E3388" t="s">
        <v>524</v>
      </c>
      <c r="F3388">
        <v>-13.24</v>
      </c>
      <c r="G3388" t="s">
        <v>89</v>
      </c>
      <c r="H3388" t="s">
        <v>90</v>
      </c>
      <c r="I3388" t="s">
        <v>128</v>
      </c>
    </row>
    <row r="3389" spans="1:9" x14ac:dyDescent="0.25">
      <c r="A3389" t="s">
        <v>264</v>
      </c>
      <c r="B3389" t="s">
        <v>230</v>
      </c>
      <c r="C3389" t="s">
        <v>427</v>
      </c>
      <c r="D3389" s="1">
        <v>45111</v>
      </c>
      <c r="E3389" t="s">
        <v>527</v>
      </c>
      <c r="F3389">
        <v>-64.900000000000006</v>
      </c>
      <c r="G3389" t="s">
        <v>76</v>
      </c>
      <c r="H3389" t="s">
        <v>87</v>
      </c>
      <c r="I3389" t="s">
        <v>88</v>
      </c>
    </row>
    <row r="3390" spans="1:9" x14ac:dyDescent="0.25">
      <c r="A3390" t="s">
        <v>264</v>
      </c>
      <c r="B3390" t="s">
        <v>230</v>
      </c>
      <c r="C3390" t="s">
        <v>427</v>
      </c>
      <c r="D3390" s="1">
        <v>45110</v>
      </c>
      <c r="E3390" t="s">
        <v>422</v>
      </c>
      <c r="F3390">
        <v>19.59</v>
      </c>
      <c r="G3390" t="s">
        <v>70</v>
      </c>
      <c r="H3390" t="s">
        <v>264</v>
      </c>
      <c r="I3390" t="s">
        <v>72</v>
      </c>
    </row>
    <row r="3391" spans="1:9" x14ac:dyDescent="0.25">
      <c r="A3391" t="s">
        <v>264</v>
      </c>
      <c r="B3391" t="s">
        <v>230</v>
      </c>
      <c r="C3391" t="s">
        <v>427</v>
      </c>
      <c r="D3391" s="1">
        <v>45110</v>
      </c>
      <c r="E3391" t="s">
        <v>422</v>
      </c>
      <c r="F3391">
        <v>81.52</v>
      </c>
      <c r="G3391" t="s">
        <v>70</v>
      </c>
      <c r="H3391" t="s">
        <v>264</v>
      </c>
      <c r="I3391" t="s">
        <v>72</v>
      </c>
    </row>
    <row r="3392" spans="1:9" x14ac:dyDescent="0.25">
      <c r="A3392" t="s">
        <v>264</v>
      </c>
      <c r="B3392" t="s">
        <v>230</v>
      </c>
      <c r="C3392" t="s">
        <v>427</v>
      </c>
      <c r="D3392" s="1">
        <v>45114</v>
      </c>
      <c r="E3392" t="s">
        <v>483</v>
      </c>
      <c r="F3392">
        <v>-4.1500000000000004</v>
      </c>
      <c r="G3392" t="s">
        <v>76</v>
      </c>
      <c r="H3392" t="s">
        <v>484</v>
      </c>
      <c r="I3392" t="s">
        <v>485</v>
      </c>
    </row>
    <row r="3393" spans="1:9" x14ac:dyDescent="0.25">
      <c r="A3393" t="s">
        <v>264</v>
      </c>
      <c r="B3393" t="s">
        <v>230</v>
      </c>
      <c r="C3393" t="s">
        <v>427</v>
      </c>
      <c r="D3393" s="1">
        <v>45113</v>
      </c>
      <c r="E3393" t="s">
        <v>422</v>
      </c>
      <c r="F3393">
        <v>177.02</v>
      </c>
      <c r="G3393" t="s">
        <v>70</v>
      </c>
      <c r="H3393" t="s">
        <v>264</v>
      </c>
      <c r="I3393" t="s">
        <v>72</v>
      </c>
    </row>
    <row r="3394" spans="1:9" x14ac:dyDescent="0.25">
      <c r="A3394" t="s">
        <v>264</v>
      </c>
      <c r="B3394" t="s">
        <v>230</v>
      </c>
      <c r="C3394" t="s">
        <v>427</v>
      </c>
      <c r="D3394" s="1">
        <v>45113</v>
      </c>
      <c r="E3394" t="s">
        <v>428</v>
      </c>
      <c r="F3394">
        <v>-41.04</v>
      </c>
      <c r="G3394" t="s">
        <v>68</v>
      </c>
      <c r="H3394" t="s">
        <v>69</v>
      </c>
      <c r="I3394" t="s">
        <v>69</v>
      </c>
    </row>
    <row r="3395" spans="1:9" x14ac:dyDescent="0.25">
      <c r="A3395" t="s">
        <v>264</v>
      </c>
      <c r="B3395" t="s">
        <v>230</v>
      </c>
      <c r="C3395" t="s">
        <v>427</v>
      </c>
      <c r="D3395" s="1">
        <v>45113</v>
      </c>
      <c r="E3395" t="s">
        <v>465</v>
      </c>
      <c r="F3395">
        <v>-6.59</v>
      </c>
      <c r="G3395" t="s">
        <v>212</v>
      </c>
      <c r="H3395" t="s">
        <v>213</v>
      </c>
      <c r="I3395" t="s">
        <v>214</v>
      </c>
    </row>
    <row r="3396" spans="1:9" x14ac:dyDescent="0.25">
      <c r="A3396" t="s">
        <v>264</v>
      </c>
      <c r="B3396" t="s">
        <v>230</v>
      </c>
      <c r="C3396" t="s">
        <v>427</v>
      </c>
      <c r="D3396" s="1">
        <v>45113</v>
      </c>
      <c r="E3396" t="s">
        <v>489</v>
      </c>
      <c r="F3396">
        <v>-56.64</v>
      </c>
      <c r="G3396" t="s">
        <v>79</v>
      </c>
      <c r="H3396" t="s">
        <v>96</v>
      </c>
      <c r="I3396" t="s">
        <v>96</v>
      </c>
    </row>
    <row r="3397" spans="1:9" x14ac:dyDescent="0.25">
      <c r="A3397" t="s">
        <v>264</v>
      </c>
      <c r="B3397" t="s">
        <v>230</v>
      </c>
      <c r="C3397" t="s">
        <v>427</v>
      </c>
      <c r="D3397" s="1">
        <v>45117</v>
      </c>
      <c r="E3397" t="s">
        <v>509</v>
      </c>
      <c r="F3397">
        <v>-2.65</v>
      </c>
      <c r="G3397" t="s">
        <v>92</v>
      </c>
      <c r="H3397" t="s">
        <v>510</v>
      </c>
      <c r="I3397" t="s">
        <v>510</v>
      </c>
    </row>
    <row r="3398" spans="1:9" x14ac:dyDescent="0.25">
      <c r="A3398" t="s">
        <v>264</v>
      </c>
      <c r="B3398" t="s">
        <v>230</v>
      </c>
      <c r="C3398" t="s">
        <v>427</v>
      </c>
      <c r="D3398" s="1">
        <v>45114</v>
      </c>
      <c r="E3398" t="s">
        <v>486</v>
      </c>
      <c r="F3398">
        <v>-25.51</v>
      </c>
      <c r="G3398" t="s">
        <v>79</v>
      </c>
      <c r="H3398" t="s">
        <v>512</v>
      </c>
      <c r="I3398" t="s">
        <v>512</v>
      </c>
    </row>
    <row r="3399" spans="1:9" x14ac:dyDescent="0.25">
      <c r="A3399" t="s">
        <v>264</v>
      </c>
      <c r="B3399" t="s">
        <v>230</v>
      </c>
      <c r="C3399" t="s">
        <v>427</v>
      </c>
      <c r="D3399" s="1">
        <v>45113</v>
      </c>
      <c r="E3399" t="s">
        <v>422</v>
      </c>
      <c r="F3399">
        <v>15.54</v>
      </c>
      <c r="G3399" t="s">
        <v>70</v>
      </c>
      <c r="H3399" t="s">
        <v>264</v>
      </c>
      <c r="I3399" t="s">
        <v>72</v>
      </c>
    </row>
    <row r="3400" spans="1:9" x14ac:dyDescent="0.25">
      <c r="A3400" t="s">
        <v>264</v>
      </c>
      <c r="B3400" t="s">
        <v>230</v>
      </c>
      <c r="C3400" t="s">
        <v>427</v>
      </c>
      <c r="D3400" s="1">
        <v>45113</v>
      </c>
      <c r="E3400" t="s">
        <v>422</v>
      </c>
      <c r="F3400">
        <v>5.27</v>
      </c>
      <c r="G3400" t="s">
        <v>70</v>
      </c>
      <c r="H3400" t="s">
        <v>264</v>
      </c>
      <c r="I3400" t="s">
        <v>72</v>
      </c>
    </row>
    <row r="3401" spans="1:9" x14ac:dyDescent="0.25">
      <c r="A3401" t="s">
        <v>264</v>
      </c>
      <c r="B3401" t="s">
        <v>230</v>
      </c>
      <c r="C3401" t="s">
        <v>427</v>
      </c>
      <c r="D3401" s="1">
        <v>45117</v>
      </c>
      <c r="E3401" t="s">
        <v>528</v>
      </c>
      <c r="F3401">
        <v>-11.37</v>
      </c>
      <c r="G3401" t="s">
        <v>76</v>
      </c>
      <c r="H3401" t="s">
        <v>87</v>
      </c>
      <c r="I3401" t="s">
        <v>88</v>
      </c>
    </row>
    <row r="3402" spans="1:9" x14ac:dyDescent="0.25">
      <c r="A3402" t="s">
        <v>264</v>
      </c>
      <c r="B3402" t="s">
        <v>230</v>
      </c>
      <c r="C3402" t="s">
        <v>427</v>
      </c>
      <c r="D3402" s="1">
        <v>45117</v>
      </c>
      <c r="E3402" t="s">
        <v>425</v>
      </c>
      <c r="F3402">
        <v>-0.65</v>
      </c>
      <c r="G3402" t="s">
        <v>68</v>
      </c>
      <c r="H3402" t="s">
        <v>69</v>
      </c>
      <c r="I3402" t="s">
        <v>69</v>
      </c>
    </row>
    <row r="3403" spans="1:9" x14ac:dyDescent="0.25">
      <c r="A3403" t="s">
        <v>264</v>
      </c>
      <c r="B3403" t="s">
        <v>230</v>
      </c>
      <c r="C3403" t="s">
        <v>427</v>
      </c>
      <c r="D3403" s="1">
        <v>45114</v>
      </c>
      <c r="E3403" t="s">
        <v>422</v>
      </c>
      <c r="F3403">
        <v>2.89</v>
      </c>
      <c r="G3403" t="s">
        <v>70</v>
      </c>
      <c r="H3403" t="s">
        <v>264</v>
      </c>
      <c r="I3403" t="s">
        <v>72</v>
      </c>
    </row>
    <row r="3404" spans="1:9" x14ac:dyDescent="0.25">
      <c r="A3404" t="s">
        <v>264</v>
      </c>
      <c r="B3404" t="s">
        <v>230</v>
      </c>
      <c r="C3404" t="s">
        <v>427</v>
      </c>
      <c r="D3404" s="1">
        <v>45117</v>
      </c>
      <c r="E3404" t="s">
        <v>422</v>
      </c>
      <c r="F3404">
        <v>235.92</v>
      </c>
      <c r="G3404" t="s">
        <v>70</v>
      </c>
      <c r="H3404" t="s">
        <v>264</v>
      </c>
      <c r="I3404" t="s">
        <v>72</v>
      </c>
    </row>
    <row r="3405" spans="1:9" x14ac:dyDescent="0.25">
      <c r="A3405" t="s">
        <v>264</v>
      </c>
      <c r="B3405" t="s">
        <v>230</v>
      </c>
      <c r="C3405" t="s">
        <v>427</v>
      </c>
      <c r="D3405" s="1">
        <v>45117</v>
      </c>
      <c r="E3405" t="s">
        <v>428</v>
      </c>
      <c r="F3405">
        <v>-31.34</v>
      </c>
      <c r="G3405" t="s">
        <v>68</v>
      </c>
      <c r="H3405" t="s">
        <v>69</v>
      </c>
      <c r="I3405" t="s">
        <v>69</v>
      </c>
    </row>
    <row r="3406" spans="1:9" x14ac:dyDescent="0.25">
      <c r="A3406" t="s">
        <v>264</v>
      </c>
      <c r="B3406" t="s">
        <v>230</v>
      </c>
      <c r="C3406" t="s">
        <v>427</v>
      </c>
      <c r="D3406" s="1">
        <v>45117</v>
      </c>
      <c r="E3406" t="s">
        <v>524</v>
      </c>
      <c r="F3406">
        <v>-22.63</v>
      </c>
      <c r="G3406" t="s">
        <v>89</v>
      </c>
      <c r="H3406" t="s">
        <v>90</v>
      </c>
      <c r="I3406" t="s">
        <v>128</v>
      </c>
    </row>
    <row r="3407" spans="1:9" x14ac:dyDescent="0.25">
      <c r="A3407" t="s">
        <v>264</v>
      </c>
      <c r="B3407" t="s">
        <v>230</v>
      </c>
      <c r="C3407" t="s">
        <v>427</v>
      </c>
      <c r="D3407" s="1">
        <v>45117</v>
      </c>
      <c r="E3407" t="s">
        <v>529</v>
      </c>
      <c r="F3407">
        <v>-10.39</v>
      </c>
      <c r="G3407" t="s">
        <v>68</v>
      </c>
      <c r="H3407" t="s">
        <v>69</v>
      </c>
      <c r="I3407" t="s">
        <v>69</v>
      </c>
    </row>
    <row r="3408" spans="1:9" x14ac:dyDescent="0.25">
      <c r="A3408" t="s">
        <v>264</v>
      </c>
      <c r="B3408" t="s">
        <v>230</v>
      </c>
      <c r="C3408" t="s">
        <v>427</v>
      </c>
      <c r="D3408" s="1">
        <v>45117</v>
      </c>
      <c r="E3408" t="s">
        <v>530</v>
      </c>
      <c r="F3408">
        <v>-5.57</v>
      </c>
      <c r="G3408" t="s">
        <v>212</v>
      </c>
      <c r="H3408" t="s">
        <v>213</v>
      </c>
      <c r="I3408" t="s">
        <v>214</v>
      </c>
    </row>
    <row r="3409" spans="1:9" x14ac:dyDescent="0.25">
      <c r="A3409" t="s">
        <v>264</v>
      </c>
      <c r="B3409" t="s">
        <v>230</v>
      </c>
      <c r="C3409" t="s">
        <v>427</v>
      </c>
      <c r="D3409" s="1">
        <v>45117</v>
      </c>
      <c r="E3409" t="s">
        <v>531</v>
      </c>
      <c r="F3409">
        <v>-2.71</v>
      </c>
      <c r="G3409" t="s">
        <v>89</v>
      </c>
      <c r="H3409" t="s">
        <v>90</v>
      </c>
      <c r="I3409" t="s">
        <v>128</v>
      </c>
    </row>
    <row r="3410" spans="1:9" x14ac:dyDescent="0.25">
      <c r="A3410" t="s">
        <v>264</v>
      </c>
      <c r="B3410" t="s">
        <v>230</v>
      </c>
      <c r="C3410" t="s">
        <v>427</v>
      </c>
      <c r="D3410" s="1">
        <v>45117</v>
      </c>
      <c r="E3410" t="s">
        <v>532</v>
      </c>
      <c r="F3410">
        <v>-10.33</v>
      </c>
      <c r="G3410" t="s">
        <v>68</v>
      </c>
      <c r="H3410" t="s">
        <v>69</v>
      </c>
      <c r="I3410" t="s">
        <v>69</v>
      </c>
    </row>
    <row r="3411" spans="1:9" x14ac:dyDescent="0.25">
      <c r="A3411" t="s">
        <v>264</v>
      </c>
      <c r="B3411" t="s">
        <v>230</v>
      </c>
      <c r="C3411" t="s">
        <v>427</v>
      </c>
      <c r="D3411" s="1">
        <v>45118</v>
      </c>
      <c r="E3411" t="s">
        <v>533</v>
      </c>
      <c r="F3411">
        <v>-143.49</v>
      </c>
      <c r="G3411" t="s">
        <v>89</v>
      </c>
      <c r="H3411" t="s">
        <v>90</v>
      </c>
      <c r="I3411" t="s">
        <v>98</v>
      </c>
    </row>
    <row r="3412" spans="1:9" x14ac:dyDescent="0.25">
      <c r="A3412" t="s">
        <v>264</v>
      </c>
      <c r="B3412" t="s">
        <v>230</v>
      </c>
      <c r="C3412" t="s">
        <v>427</v>
      </c>
      <c r="D3412" s="1">
        <v>45124</v>
      </c>
      <c r="E3412" t="s">
        <v>483</v>
      </c>
      <c r="F3412">
        <v>-1.54</v>
      </c>
      <c r="G3412" t="s">
        <v>76</v>
      </c>
      <c r="H3412" t="s">
        <v>484</v>
      </c>
      <c r="I3412" t="s">
        <v>485</v>
      </c>
    </row>
    <row r="3413" spans="1:9" x14ac:dyDescent="0.25">
      <c r="A3413" t="s">
        <v>264</v>
      </c>
      <c r="B3413" t="s">
        <v>230</v>
      </c>
      <c r="C3413" t="s">
        <v>427</v>
      </c>
      <c r="D3413" s="1">
        <v>45120</v>
      </c>
      <c r="E3413" t="s">
        <v>534</v>
      </c>
      <c r="F3413">
        <v>-64.099999999999994</v>
      </c>
      <c r="G3413" t="s">
        <v>79</v>
      </c>
      <c r="H3413" t="s">
        <v>81</v>
      </c>
      <c r="I3413" t="s">
        <v>81</v>
      </c>
    </row>
    <row r="3414" spans="1:9" x14ac:dyDescent="0.25">
      <c r="A3414" t="s">
        <v>264</v>
      </c>
      <c r="B3414" t="s">
        <v>230</v>
      </c>
      <c r="C3414" t="s">
        <v>427</v>
      </c>
      <c r="D3414" s="1">
        <v>45120</v>
      </c>
      <c r="E3414" t="s">
        <v>535</v>
      </c>
      <c r="F3414">
        <v>-10.44</v>
      </c>
      <c r="G3414" t="s">
        <v>68</v>
      </c>
      <c r="H3414" t="s">
        <v>69</v>
      </c>
      <c r="I3414" t="s">
        <v>69</v>
      </c>
    </row>
    <row r="3415" spans="1:9" x14ac:dyDescent="0.25">
      <c r="A3415" t="s">
        <v>264</v>
      </c>
      <c r="B3415" t="s">
        <v>230</v>
      </c>
      <c r="C3415" t="s">
        <v>427</v>
      </c>
      <c r="D3415" s="1">
        <v>45120</v>
      </c>
      <c r="E3415" t="s">
        <v>438</v>
      </c>
      <c r="F3415">
        <v>-20.46</v>
      </c>
      <c r="G3415" t="s">
        <v>68</v>
      </c>
      <c r="H3415" t="s">
        <v>69</v>
      </c>
      <c r="I3415" t="s">
        <v>69</v>
      </c>
    </row>
    <row r="3416" spans="1:9" x14ac:dyDescent="0.25">
      <c r="A3416" t="s">
        <v>264</v>
      </c>
      <c r="B3416" t="s">
        <v>230</v>
      </c>
      <c r="C3416" t="s">
        <v>427</v>
      </c>
      <c r="D3416" s="1">
        <v>45119</v>
      </c>
      <c r="E3416" t="s">
        <v>422</v>
      </c>
      <c r="F3416">
        <v>85.48</v>
      </c>
      <c r="G3416" t="s">
        <v>70</v>
      </c>
      <c r="H3416" t="s">
        <v>264</v>
      </c>
      <c r="I3416" t="s">
        <v>72</v>
      </c>
    </row>
    <row r="3417" spans="1:9" x14ac:dyDescent="0.25">
      <c r="A3417" t="s">
        <v>264</v>
      </c>
      <c r="B3417" t="s">
        <v>230</v>
      </c>
      <c r="C3417" t="s">
        <v>427</v>
      </c>
      <c r="D3417" s="1">
        <v>45124</v>
      </c>
      <c r="E3417" t="s">
        <v>536</v>
      </c>
      <c r="F3417">
        <v>-17.88</v>
      </c>
      <c r="G3417" t="s">
        <v>76</v>
      </c>
      <c r="H3417" t="s">
        <v>87</v>
      </c>
      <c r="I3417" t="s">
        <v>88</v>
      </c>
    </row>
    <row r="3418" spans="1:9" x14ac:dyDescent="0.25">
      <c r="A3418" t="s">
        <v>264</v>
      </c>
      <c r="B3418" t="s">
        <v>230</v>
      </c>
      <c r="C3418" t="s">
        <v>427</v>
      </c>
      <c r="D3418" s="1">
        <v>45120</v>
      </c>
      <c r="E3418" t="s">
        <v>422</v>
      </c>
      <c r="F3418">
        <v>16.09</v>
      </c>
      <c r="G3418" t="s">
        <v>70</v>
      </c>
      <c r="H3418" t="s">
        <v>264</v>
      </c>
      <c r="I3418" t="s">
        <v>72</v>
      </c>
    </row>
    <row r="3419" spans="1:9" x14ac:dyDescent="0.25">
      <c r="A3419" t="s">
        <v>264</v>
      </c>
      <c r="B3419" t="s">
        <v>230</v>
      </c>
      <c r="C3419" t="s">
        <v>427</v>
      </c>
      <c r="D3419" s="1">
        <v>45124</v>
      </c>
      <c r="E3419" t="s">
        <v>422</v>
      </c>
      <c r="F3419">
        <v>43.13</v>
      </c>
      <c r="G3419" t="s">
        <v>70</v>
      </c>
      <c r="H3419" t="s">
        <v>264</v>
      </c>
      <c r="I3419" t="s">
        <v>72</v>
      </c>
    </row>
    <row r="3420" spans="1:9" x14ac:dyDescent="0.25">
      <c r="A3420" t="s">
        <v>264</v>
      </c>
      <c r="B3420" t="s">
        <v>230</v>
      </c>
      <c r="C3420" t="s">
        <v>427</v>
      </c>
      <c r="D3420" s="1">
        <v>45124</v>
      </c>
      <c r="E3420" t="s">
        <v>472</v>
      </c>
      <c r="F3420">
        <v>-35.79</v>
      </c>
      <c r="G3420" t="s">
        <v>212</v>
      </c>
      <c r="H3420" t="s">
        <v>213</v>
      </c>
      <c r="I3420" t="s">
        <v>214</v>
      </c>
    </row>
    <row r="3421" spans="1:9" x14ac:dyDescent="0.25">
      <c r="A3421" t="s">
        <v>264</v>
      </c>
      <c r="B3421" t="s">
        <v>230</v>
      </c>
      <c r="C3421" t="s">
        <v>427</v>
      </c>
      <c r="D3421" s="1">
        <v>45124</v>
      </c>
      <c r="E3421" t="s">
        <v>537</v>
      </c>
      <c r="F3421">
        <v>-8.86</v>
      </c>
      <c r="G3421" t="s">
        <v>68</v>
      </c>
      <c r="H3421" t="s">
        <v>69</v>
      </c>
      <c r="I3421" t="s">
        <v>69</v>
      </c>
    </row>
    <row r="3422" spans="1:9" x14ac:dyDescent="0.25">
      <c r="A3422" t="s">
        <v>264</v>
      </c>
      <c r="B3422" t="s">
        <v>230</v>
      </c>
      <c r="C3422" t="s">
        <v>427</v>
      </c>
      <c r="D3422" s="1">
        <v>45124</v>
      </c>
      <c r="E3422" t="s">
        <v>422</v>
      </c>
      <c r="F3422">
        <v>0.26</v>
      </c>
      <c r="G3422" t="s">
        <v>70</v>
      </c>
      <c r="H3422" t="s">
        <v>264</v>
      </c>
      <c r="I3422" t="s">
        <v>72</v>
      </c>
    </row>
    <row r="3423" spans="1:9" x14ac:dyDescent="0.25">
      <c r="A3423" t="s">
        <v>264</v>
      </c>
      <c r="B3423" t="s">
        <v>230</v>
      </c>
      <c r="C3423" t="s">
        <v>427</v>
      </c>
      <c r="D3423" s="1">
        <v>45124</v>
      </c>
      <c r="E3423" t="s">
        <v>422</v>
      </c>
      <c r="F3423">
        <v>53.92</v>
      </c>
      <c r="G3423" t="s">
        <v>70</v>
      </c>
      <c r="H3423" t="s">
        <v>264</v>
      </c>
      <c r="I3423" t="s">
        <v>72</v>
      </c>
    </row>
    <row r="3424" spans="1:9" x14ac:dyDescent="0.25">
      <c r="A3424" t="s">
        <v>264</v>
      </c>
      <c r="B3424" t="s">
        <v>230</v>
      </c>
      <c r="C3424" t="s">
        <v>427</v>
      </c>
      <c r="D3424" s="1">
        <v>45124</v>
      </c>
      <c r="E3424" t="s">
        <v>422</v>
      </c>
      <c r="F3424">
        <v>91.4</v>
      </c>
      <c r="G3424" t="s">
        <v>70</v>
      </c>
      <c r="H3424" t="s">
        <v>264</v>
      </c>
      <c r="I3424" t="s">
        <v>72</v>
      </c>
    </row>
    <row r="3425" spans="1:9" x14ac:dyDescent="0.25">
      <c r="A3425" t="s">
        <v>264</v>
      </c>
      <c r="B3425" t="s">
        <v>230</v>
      </c>
      <c r="C3425" t="s">
        <v>427</v>
      </c>
      <c r="D3425" s="1">
        <v>45124</v>
      </c>
      <c r="E3425" t="s">
        <v>538</v>
      </c>
      <c r="F3425">
        <v>-42.23</v>
      </c>
      <c r="G3425" t="s">
        <v>76</v>
      </c>
      <c r="H3425" t="s">
        <v>77</v>
      </c>
      <c r="I3425" t="s">
        <v>539</v>
      </c>
    </row>
    <row r="3426" spans="1:9" x14ac:dyDescent="0.25">
      <c r="A3426" t="s">
        <v>264</v>
      </c>
      <c r="B3426" t="s">
        <v>230</v>
      </c>
      <c r="C3426" t="s">
        <v>427</v>
      </c>
      <c r="D3426" s="1">
        <v>45124</v>
      </c>
      <c r="E3426" t="s">
        <v>540</v>
      </c>
      <c r="F3426">
        <v>-1.67</v>
      </c>
      <c r="G3426" t="s">
        <v>68</v>
      </c>
      <c r="H3426" t="s">
        <v>69</v>
      </c>
      <c r="I3426" t="s">
        <v>69</v>
      </c>
    </row>
    <row r="3427" spans="1:9" x14ac:dyDescent="0.25">
      <c r="A3427" t="s">
        <v>264</v>
      </c>
      <c r="B3427" t="s">
        <v>230</v>
      </c>
      <c r="C3427" t="s">
        <v>427</v>
      </c>
      <c r="D3427" s="1">
        <v>45126</v>
      </c>
      <c r="E3427" t="s">
        <v>480</v>
      </c>
      <c r="F3427">
        <v>-64.33</v>
      </c>
      <c r="G3427" t="s">
        <v>76</v>
      </c>
      <c r="H3427" t="s">
        <v>82</v>
      </c>
      <c r="I3427" t="s">
        <v>83</v>
      </c>
    </row>
    <row r="3428" spans="1:9" x14ac:dyDescent="0.25">
      <c r="A3428" t="s">
        <v>264</v>
      </c>
      <c r="B3428" t="s">
        <v>230</v>
      </c>
      <c r="C3428" t="s">
        <v>427</v>
      </c>
      <c r="D3428" s="1">
        <v>45126</v>
      </c>
      <c r="E3428" t="s">
        <v>422</v>
      </c>
      <c r="F3428">
        <v>7.88</v>
      </c>
      <c r="G3428" t="s">
        <v>70</v>
      </c>
      <c r="H3428" t="s">
        <v>264</v>
      </c>
      <c r="I3428" t="s">
        <v>72</v>
      </c>
    </row>
    <row r="3429" spans="1:9" x14ac:dyDescent="0.25">
      <c r="A3429" t="s">
        <v>264</v>
      </c>
      <c r="B3429" t="s">
        <v>230</v>
      </c>
      <c r="C3429" t="s">
        <v>427</v>
      </c>
      <c r="D3429" s="1">
        <v>45131</v>
      </c>
      <c r="E3429" t="s">
        <v>475</v>
      </c>
      <c r="F3429">
        <v>-4.74</v>
      </c>
      <c r="G3429" t="s">
        <v>92</v>
      </c>
      <c r="H3429" t="s">
        <v>93</v>
      </c>
      <c r="I3429" t="s">
        <v>94</v>
      </c>
    </row>
    <row r="3430" spans="1:9" x14ac:dyDescent="0.25">
      <c r="A3430" t="s">
        <v>264</v>
      </c>
      <c r="B3430" t="s">
        <v>230</v>
      </c>
      <c r="C3430" t="s">
        <v>427</v>
      </c>
      <c r="D3430" s="1">
        <v>45128</v>
      </c>
      <c r="E3430" t="s">
        <v>422</v>
      </c>
      <c r="F3430">
        <v>8.2100000000000009</v>
      </c>
      <c r="G3430" t="s">
        <v>70</v>
      </c>
      <c r="H3430" t="s">
        <v>264</v>
      </c>
      <c r="I3430" t="s">
        <v>72</v>
      </c>
    </row>
    <row r="3431" spans="1:9" x14ac:dyDescent="0.25">
      <c r="A3431" t="s">
        <v>264</v>
      </c>
      <c r="B3431" t="s">
        <v>230</v>
      </c>
      <c r="C3431" t="s">
        <v>427</v>
      </c>
      <c r="D3431" s="1">
        <v>45128</v>
      </c>
      <c r="E3431" t="s">
        <v>486</v>
      </c>
      <c r="F3431">
        <v>-191.85</v>
      </c>
      <c r="G3431" t="s">
        <v>79</v>
      </c>
      <c r="H3431" t="s">
        <v>95</v>
      </c>
      <c r="I3431" t="s">
        <v>95</v>
      </c>
    </row>
    <row r="3432" spans="1:9" x14ac:dyDescent="0.25">
      <c r="A3432" t="s">
        <v>264</v>
      </c>
      <c r="B3432" t="s">
        <v>230</v>
      </c>
      <c r="C3432" t="s">
        <v>427</v>
      </c>
      <c r="D3432" s="1">
        <v>45128</v>
      </c>
      <c r="E3432" t="s">
        <v>486</v>
      </c>
      <c r="F3432">
        <v>-24.68</v>
      </c>
      <c r="G3432" t="s">
        <v>73</v>
      </c>
      <c r="H3432" t="s">
        <v>487</v>
      </c>
      <c r="I3432" t="s">
        <v>487</v>
      </c>
    </row>
    <row r="3433" spans="1:9" x14ac:dyDescent="0.25">
      <c r="A3433" t="s">
        <v>264</v>
      </c>
      <c r="B3433" t="s">
        <v>230</v>
      </c>
      <c r="C3433" t="s">
        <v>427</v>
      </c>
      <c r="D3433" s="1">
        <v>45128</v>
      </c>
      <c r="E3433" t="s">
        <v>486</v>
      </c>
      <c r="F3433">
        <v>-88.61</v>
      </c>
      <c r="G3433" t="s">
        <v>350</v>
      </c>
      <c r="H3433" t="s">
        <v>487</v>
      </c>
      <c r="I3433" t="s">
        <v>487</v>
      </c>
    </row>
    <row r="3434" spans="1:9" x14ac:dyDescent="0.25">
      <c r="A3434" t="s">
        <v>264</v>
      </c>
      <c r="B3434" t="s">
        <v>230</v>
      </c>
      <c r="C3434" t="s">
        <v>427</v>
      </c>
      <c r="D3434" s="1">
        <v>45128</v>
      </c>
      <c r="E3434" t="s">
        <v>483</v>
      </c>
      <c r="F3434">
        <v>-9.0299999999999994</v>
      </c>
      <c r="G3434" t="s">
        <v>76</v>
      </c>
      <c r="H3434" t="s">
        <v>484</v>
      </c>
      <c r="I3434" t="s">
        <v>485</v>
      </c>
    </row>
    <row r="3435" spans="1:9" x14ac:dyDescent="0.25">
      <c r="A3435" t="s">
        <v>264</v>
      </c>
      <c r="B3435" t="s">
        <v>230</v>
      </c>
      <c r="C3435" t="s">
        <v>427</v>
      </c>
      <c r="D3435" s="1">
        <v>45127</v>
      </c>
      <c r="E3435" t="s">
        <v>422</v>
      </c>
      <c r="F3435">
        <v>42.65</v>
      </c>
      <c r="G3435" t="s">
        <v>70</v>
      </c>
      <c r="H3435" t="s">
        <v>264</v>
      </c>
      <c r="I3435" t="s">
        <v>72</v>
      </c>
    </row>
    <row r="3436" spans="1:9" x14ac:dyDescent="0.25">
      <c r="A3436" t="s">
        <v>264</v>
      </c>
      <c r="B3436" t="s">
        <v>230</v>
      </c>
      <c r="C3436" t="s">
        <v>427</v>
      </c>
      <c r="D3436" s="1">
        <v>45128</v>
      </c>
      <c r="E3436" t="s">
        <v>422</v>
      </c>
      <c r="F3436">
        <v>25.03</v>
      </c>
      <c r="G3436" t="s">
        <v>70</v>
      </c>
      <c r="H3436" t="s">
        <v>264</v>
      </c>
      <c r="I3436" t="s">
        <v>72</v>
      </c>
    </row>
    <row r="3437" spans="1:9" x14ac:dyDescent="0.25">
      <c r="A3437" t="s">
        <v>264</v>
      </c>
      <c r="B3437" t="s">
        <v>230</v>
      </c>
      <c r="C3437" t="s">
        <v>427</v>
      </c>
      <c r="D3437" s="1">
        <v>45131</v>
      </c>
      <c r="E3437" t="s">
        <v>422</v>
      </c>
      <c r="F3437">
        <v>1.96</v>
      </c>
      <c r="G3437" t="s">
        <v>70</v>
      </c>
      <c r="H3437" t="s">
        <v>264</v>
      </c>
      <c r="I3437" t="s">
        <v>72</v>
      </c>
    </row>
    <row r="3438" spans="1:9" x14ac:dyDescent="0.25">
      <c r="A3438" t="s">
        <v>264</v>
      </c>
      <c r="B3438" t="s">
        <v>230</v>
      </c>
      <c r="C3438" t="s">
        <v>427</v>
      </c>
      <c r="D3438" s="1">
        <v>45131</v>
      </c>
      <c r="E3438" t="s">
        <v>422</v>
      </c>
      <c r="F3438">
        <v>258.25</v>
      </c>
      <c r="G3438" t="s">
        <v>70</v>
      </c>
      <c r="H3438" t="s">
        <v>264</v>
      </c>
      <c r="I3438" t="s">
        <v>72</v>
      </c>
    </row>
    <row r="3439" spans="1:9" x14ac:dyDescent="0.25">
      <c r="A3439" t="s">
        <v>264</v>
      </c>
      <c r="B3439" t="s">
        <v>230</v>
      </c>
      <c r="C3439" t="s">
        <v>427</v>
      </c>
      <c r="D3439" s="1">
        <v>45131</v>
      </c>
      <c r="E3439" t="s">
        <v>428</v>
      </c>
      <c r="F3439">
        <v>-32.33</v>
      </c>
      <c r="G3439" t="s">
        <v>68</v>
      </c>
      <c r="H3439" t="s">
        <v>69</v>
      </c>
      <c r="I3439" t="s">
        <v>69</v>
      </c>
    </row>
    <row r="3440" spans="1:9" x14ac:dyDescent="0.25">
      <c r="A3440" t="s">
        <v>264</v>
      </c>
      <c r="B3440" t="s">
        <v>230</v>
      </c>
      <c r="C3440" t="s">
        <v>427</v>
      </c>
      <c r="D3440" s="1">
        <v>45131</v>
      </c>
      <c r="E3440" t="s">
        <v>475</v>
      </c>
      <c r="F3440">
        <v>-7.32</v>
      </c>
      <c r="G3440" t="s">
        <v>92</v>
      </c>
      <c r="H3440" t="s">
        <v>93</v>
      </c>
      <c r="I3440" t="s">
        <v>94</v>
      </c>
    </row>
    <row r="3441" spans="1:9" x14ac:dyDescent="0.25">
      <c r="A3441" t="s">
        <v>264</v>
      </c>
      <c r="B3441" t="s">
        <v>230</v>
      </c>
      <c r="C3441" t="s">
        <v>427</v>
      </c>
      <c r="D3441" s="1">
        <v>45131</v>
      </c>
      <c r="E3441" t="s">
        <v>424</v>
      </c>
      <c r="F3441">
        <v>-3.86</v>
      </c>
      <c r="G3441" t="s">
        <v>68</v>
      </c>
      <c r="H3441" t="s">
        <v>69</v>
      </c>
      <c r="I3441" t="s">
        <v>69</v>
      </c>
    </row>
    <row r="3442" spans="1:9" x14ac:dyDescent="0.25">
      <c r="A3442" t="s">
        <v>264</v>
      </c>
      <c r="B3442" t="s">
        <v>230</v>
      </c>
      <c r="C3442" t="s">
        <v>427</v>
      </c>
      <c r="D3442" s="1">
        <v>45131</v>
      </c>
      <c r="E3442" t="s">
        <v>421</v>
      </c>
      <c r="F3442">
        <v>-17.95</v>
      </c>
      <c r="G3442" t="s">
        <v>68</v>
      </c>
      <c r="H3442" t="s">
        <v>69</v>
      </c>
      <c r="I3442" t="s">
        <v>69</v>
      </c>
    </row>
    <row r="3443" spans="1:9" x14ac:dyDescent="0.25">
      <c r="A3443" t="s">
        <v>264</v>
      </c>
      <c r="B3443" t="s">
        <v>230</v>
      </c>
      <c r="C3443" t="s">
        <v>427</v>
      </c>
      <c r="D3443" s="1">
        <v>45131</v>
      </c>
      <c r="E3443" t="s">
        <v>433</v>
      </c>
      <c r="F3443">
        <v>-9.4</v>
      </c>
      <c r="G3443" t="s">
        <v>68</v>
      </c>
      <c r="H3443" t="s">
        <v>69</v>
      </c>
      <c r="I3443" t="s">
        <v>69</v>
      </c>
    </row>
    <row r="3444" spans="1:9" x14ac:dyDescent="0.25">
      <c r="A3444" t="s">
        <v>264</v>
      </c>
      <c r="B3444" t="s">
        <v>230</v>
      </c>
      <c r="C3444" t="s">
        <v>427</v>
      </c>
      <c r="D3444" s="1">
        <v>45132</v>
      </c>
      <c r="E3444" t="s">
        <v>524</v>
      </c>
      <c r="F3444">
        <v>-20.79</v>
      </c>
      <c r="G3444" t="s">
        <v>89</v>
      </c>
      <c r="H3444" t="s">
        <v>90</v>
      </c>
      <c r="I3444" t="s">
        <v>128</v>
      </c>
    </row>
    <row r="3445" spans="1:9" x14ac:dyDescent="0.25">
      <c r="A3445" t="s">
        <v>264</v>
      </c>
      <c r="B3445" t="s">
        <v>230</v>
      </c>
      <c r="C3445" t="s">
        <v>427</v>
      </c>
      <c r="D3445" s="1">
        <v>45133</v>
      </c>
      <c r="E3445" t="s">
        <v>506</v>
      </c>
      <c r="F3445">
        <v>-15.36</v>
      </c>
      <c r="G3445" t="s">
        <v>89</v>
      </c>
      <c r="H3445" t="s">
        <v>90</v>
      </c>
      <c r="I3445" t="s">
        <v>474</v>
      </c>
    </row>
    <row r="3446" spans="1:9" x14ac:dyDescent="0.25">
      <c r="A3446" t="s">
        <v>264</v>
      </c>
      <c r="B3446" t="s">
        <v>230</v>
      </c>
      <c r="C3446" t="s">
        <v>427</v>
      </c>
      <c r="D3446" s="1">
        <v>45132</v>
      </c>
      <c r="E3446" t="s">
        <v>422</v>
      </c>
      <c r="F3446">
        <v>25.37</v>
      </c>
      <c r="G3446" t="s">
        <v>70</v>
      </c>
      <c r="H3446" t="s">
        <v>264</v>
      </c>
      <c r="I3446" t="s">
        <v>72</v>
      </c>
    </row>
    <row r="3447" spans="1:9" x14ac:dyDescent="0.25">
      <c r="A3447" t="s">
        <v>264</v>
      </c>
      <c r="B3447" t="s">
        <v>230</v>
      </c>
      <c r="C3447" t="s">
        <v>427</v>
      </c>
      <c r="D3447" s="1">
        <v>45132</v>
      </c>
      <c r="E3447" t="s">
        <v>425</v>
      </c>
      <c r="F3447">
        <v>-5.05</v>
      </c>
      <c r="G3447" t="s">
        <v>68</v>
      </c>
      <c r="H3447" t="s">
        <v>69</v>
      </c>
      <c r="I3447" t="s">
        <v>69</v>
      </c>
    </row>
    <row r="3448" spans="1:9" x14ac:dyDescent="0.25">
      <c r="A3448" t="s">
        <v>264</v>
      </c>
      <c r="B3448" t="s">
        <v>230</v>
      </c>
      <c r="C3448" t="s">
        <v>427</v>
      </c>
      <c r="D3448" s="1">
        <v>45134</v>
      </c>
      <c r="E3448" t="s">
        <v>428</v>
      </c>
      <c r="F3448">
        <v>-45.06</v>
      </c>
      <c r="G3448" t="s">
        <v>68</v>
      </c>
      <c r="H3448" t="s">
        <v>69</v>
      </c>
      <c r="I3448" t="s">
        <v>69</v>
      </c>
    </row>
    <row r="3449" spans="1:9" x14ac:dyDescent="0.25">
      <c r="A3449" t="s">
        <v>264</v>
      </c>
      <c r="B3449" t="s">
        <v>230</v>
      </c>
      <c r="C3449" t="s">
        <v>427</v>
      </c>
      <c r="D3449" s="1">
        <v>45134</v>
      </c>
      <c r="E3449" t="s">
        <v>525</v>
      </c>
      <c r="F3449">
        <v>-33.29</v>
      </c>
      <c r="G3449" t="s">
        <v>68</v>
      </c>
      <c r="H3449" t="s">
        <v>69</v>
      </c>
      <c r="I3449" t="s">
        <v>69</v>
      </c>
    </row>
    <row r="3450" spans="1:9" x14ac:dyDescent="0.25">
      <c r="A3450" t="s">
        <v>264</v>
      </c>
      <c r="B3450" t="s">
        <v>230</v>
      </c>
      <c r="C3450" t="s">
        <v>427</v>
      </c>
      <c r="D3450" s="1">
        <v>45134</v>
      </c>
      <c r="E3450" t="s">
        <v>489</v>
      </c>
      <c r="F3450">
        <v>-13.38</v>
      </c>
      <c r="G3450" t="s">
        <v>79</v>
      </c>
      <c r="H3450" t="s">
        <v>96</v>
      </c>
      <c r="I3450" t="s">
        <v>96</v>
      </c>
    </row>
    <row r="3451" spans="1:9" x14ac:dyDescent="0.25">
      <c r="A3451" t="s">
        <v>264</v>
      </c>
      <c r="B3451" t="s">
        <v>230</v>
      </c>
      <c r="C3451" t="s">
        <v>427</v>
      </c>
      <c r="D3451" s="1">
        <v>45134</v>
      </c>
      <c r="E3451" t="s">
        <v>541</v>
      </c>
      <c r="F3451">
        <v>-22.05</v>
      </c>
      <c r="G3451" t="s">
        <v>212</v>
      </c>
      <c r="H3451" t="s">
        <v>213</v>
      </c>
      <c r="I3451" t="s">
        <v>214</v>
      </c>
    </row>
    <row r="3452" spans="1:9" x14ac:dyDescent="0.25">
      <c r="A3452" t="s">
        <v>264</v>
      </c>
      <c r="B3452" t="s">
        <v>230</v>
      </c>
      <c r="C3452" t="s">
        <v>427</v>
      </c>
      <c r="D3452" s="1">
        <v>45133</v>
      </c>
      <c r="E3452" t="s">
        <v>422</v>
      </c>
      <c r="F3452">
        <v>52.28</v>
      </c>
      <c r="G3452" t="s">
        <v>70</v>
      </c>
      <c r="H3452" t="s">
        <v>264</v>
      </c>
      <c r="I3452" t="s">
        <v>72</v>
      </c>
    </row>
    <row r="3453" spans="1:9" x14ac:dyDescent="0.25">
      <c r="A3453" t="s">
        <v>264</v>
      </c>
      <c r="B3453" t="s">
        <v>230</v>
      </c>
      <c r="C3453" t="s">
        <v>427</v>
      </c>
      <c r="D3453" s="1">
        <v>45135</v>
      </c>
      <c r="E3453" t="s">
        <v>483</v>
      </c>
      <c r="F3453">
        <v>-5.0999999999999996</v>
      </c>
      <c r="G3453" t="s">
        <v>76</v>
      </c>
      <c r="H3453" t="s">
        <v>484</v>
      </c>
      <c r="I3453" t="s">
        <v>485</v>
      </c>
    </row>
    <row r="3454" spans="1:9" x14ac:dyDescent="0.25">
      <c r="A3454" t="s">
        <v>264</v>
      </c>
      <c r="B3454" t="s">
        <v>230</v>
      </c>
      <c r="C3454" t="s">
        <v>427</v>
      </c>
      <c r="D3454" s="1">
        <v>45138</v>
      </c>
      <c r="E3454" t="s">
        <v>445</v>
      </c>
      <c r="F3454">
        <v>-0.18</v>
      </c>
      <c r="G3454" t="s">
        <v>84</v>
      </c>
      <c r="H3454" t="s">
        <v>85</v>
      </c>
      <c r="I3454" t="s">
        <v>86</v>
      </c>
    </row>
    <row r="3455" spans="1:9" x14ac:dyDescent="0.25">
      <c r="A3455" t="s">
        <v>264</v>
      </c>
      <c r="B3455" t="s">
        <v>230</v>
      </c>
      <c r="C3455" t="s">
        <v>427</v>
      </c>
      <c r="D3455" s="1">
        <v>45138</v>
      </c>
      <c r="E3455" t="s">
        <v>446</v>
      </c>
      <c r="F3455">
        <v>-0.17</v>
      </c>
      <c r="G3455" t="s">
        <v>84</v>
      </c>
      <c r="H3455" t="s">
        <v>85</v>
      </c>
      <c r="I3455" t="s">
        <v>86</v>
      </c>
    </row>
    <row r="3456" spans="1:9" x14ac:dyDescent="0.25">
      <c r="A3456" t="s">
        <v>264</v>
      </c>
      <c r="B3456" t="s">
        <v>230</v>
      </c>
      <c r="C3456" t="s">
        <v>427</v>
      </c>
      <c r="D3456" s="1">
        <v>45138</v>
      </c>
      <c r="E3456" t="s">
        <v>542</v>
      </c>
      <c r="F3456">
        <v>-10.1</v>
      </c>
      <c r="G3456" t="s">
        <v>92</v>
      </c>
      <c r="H3456" t="s">
        <v>104</v>
      </c>
      <c r="I3456" t="s">
        <v>104</v>
      </c>
    </row>
    <row r="3457" spans="1:9" x14ac:dyDescent="0.25">
      <c r="A3457" t="s">
        <v>264</v>
      </c>
      <c r="B3457" t="s">
        <v>230</v>
      </c>
      <c r="C3457" t="s">
        <v>427</v>
      </c>
      <c r="D3457" s="1">
        <v>45135</v>
      </c>
      <c r="E3457" t="s">
        <v>422</v>
      </c>
      <c r="F3457">
        <v>0.26</v>
      </c>
      <c r="G3457" t="s">
        <v>70</v>
      </c>
      <c r="H3457" t="s">
        <v>264</v>
      </c>
      <c r="I3457" t="s">
        <v>72</v>
      </c>
    </row>
    <row r="3458" spans="1:9" x14ac:dyDescent="0.25">
      <c r="A3458" t="s">
        <v>264</v>
      </c>
      <c r="B3458" t="s">
        <v>230</v>
      </c>
      <c r="C3458" t="s">
        <v>427</v>
      </c>
      <c r="D3458" s="1">
        <v>45138</v>
      </c>
      <c r="E3458" t="s">
        <v>422</v>
      </c>
      <c r="F3458">
        <v>17.850000000000001</v>
      </c>
      <c r="G3458" t="s">
        <v>70</v>
      </c>
      <c r="H3458" t="s">
        <v>264</v>
      </c>
      <c r="I3458" t="s">
        <v>72</v>
      </c>
    </row>
    <row r="3459" spans="1:9" x14ac:dyDescent="0.25">
      <c r="A3459" t="s">
        <v>264</v>
      </c>
      <c r="B3459" t="s">
        <v>230</v>
      </c>
      <c r="C3459" t="s">
        <v>427</v>
      </c>
      <c r="D3459" s="1">
        <v>45138</v>
      </c>
      <c r="E3459" t="s">
        <v>422</v>
      </c>
      <c r="F3459">
        <v>62.79</v>
      </c>
      <c r="G3459" t="s">
        <v>70</v>
      </c>
      <c r="H3459" t="s">
        <v>264</v>
      </c>
      <c r="I3459" t="s">
        <v>72</v>
      </c>
    </row>
    <row r="3460" spans="1:9" x14ac:dyDescent="0.25">
      <c r="A3460" t="s">
        <v>264</v>
      </c>
      <c r="B3460" t="s">
        <v>230</v>
      </c>
      <c r="C3460" t="s">
        <v>427</v>
      </c>
      <c r="D3460" s="1">
        <v>45138</v>
      </c>
      <c r="E3460" t="s">
        <v>543</v>
      </c>
      <c r="F3460">
        <v>-78.62</v>
      </c>
      <c r="G3460" t="s">
        <v>79</v>
      </c>
      <c r="H3460" t="s">
        <v>96</v>
      </c>
      <c r="I3460" t="s">
        <v>96</v>
      </c>
    </row>
    <row r="3461" spans="1:9" x14ac:dyDescent="0.25">
      <c r="A3461" t="s">
        <v>264</v>
      </c>
      <c r="B3461" t="s">
        <v>230</v>
      </c>
      <c r="C3461" t="s">
        <v>427</v>
      </c>
      <c r="D3461" s="1">
        <v>45138</v>
      </c>
      <c r="E3461" t="s">
        <v>533</v>
      </c>
      <c r="F3461">
        <v>-111.65</v>
      </c>
      <c r="G3461" t="s">
        <v>89</v>
      </c>
      <c r="H3461" t="s">
        <v>90</v>
      </c>
      <c r="I3461" t="s">
        <v>98</v>
      </c>
    </row>
    <row r="3462" spans="1:9" x14ac:dyDescent="0.25">
      <c r="A3462" t="s">
        <v>264</v>
      </c>
      <c r="B3462" t="s">
        <v>230</v>
      </c>
      <c r="C3462" t="s">
        <v>427</v>
      </c>
      <c r="D3462" s="1">
        <v>45138</v>
      </c>
      <c r="E3462" t="s">
        <v>443</v>
      </c>
      <c r="F3462">
        <v>-16.96</v>
      </c>
      <c r="G3462" t="s">
        <v>79</v>
      </c>
      <c r="H3462" t="s">
        <v>96</v>
      </c>
      <c r="I3462" t="s">
        <v>96</v>
      </c>
    </row>
    <row r="3463" spans="1:9" x14ac:dyDescent="0.25">
      <c r="A3463" t="s">
        <v>264</v>
      </c>
      <c r="B3463" t="s">
        <v>230</v>
      </c>
      <c r="C3463" t="s">
        <v>427</v>
      </c>
      <c r="D3463" s="1">
        <v>45138</v>
      </c>
      <c r="E3463" t="s">
        <v>422</v>
      </c>
      <c r="F3463">
        <v>16.03</v>
      </c>
      <c r="G3463" t="s">
        <v>70</v>
      </c>
      <c r="H3463" t="s">
        <v>264</v>
      </c>
      <c r="I3463" t="s">
        <v>72</v>
      </c>
    </row>
    <row r="3464" spans="1:9" x14ac:dyDescent="0.25">
      <c r="A3464" t="s">
        <v>264</v>
      </c>
      <c r="B3464" t="s">
        <v>230</v>
      </c>
      <c r="C3464" t="s">
        <v>427</v>
      </c>
      <c r="D3464" s="1">
        <v>45138</v>
      </c>
      <c r="E3464" t="s">
        <v>544</v>
      </c>
      <c r="F3464">
        <v>-1.06</v>
      </c>
      <c r="G3464" t="s">
        <v>68</v>
      </c>
      <c r="H3464" t="s">
        <v>69</v>
      </c>
      <c r="I3464" t="s">
        <v>69</v>
      </c>
    </row>
    <row r="3465" spans="1:9" x14ac:dyDescent="0.25">
      <c r="A3465" t="s">
        <v>264</v>
      </c>
      <c r="B3465" t="s">
        <v>230</v>
      </c>
      <c r="C3465" t="s">
        <v>427</v>
      </c>
      <c r="D3465" s="1">
        <v>45140</v>
      </c>
      <c r="E3465" t="s">
        <v>422</v>
      </c>
      <c r="F3465">
        <v>0.39</v>
      </c>
      <c r="G3465" t="s">
        <v>70</v>
      </c>
      <c r="H3465" t="s">
        <v>264</v>
      </c>
      <c r="I3465" t="s">
        <v>72</v>
      </c>
    </row>
    <row r="3466" spans="1:9" x14ac:dyDescent="0.25">
      <c r="A3466" t="s">
        <v>264</v>
      </c>
      <c r="B3466" t="s">
        <v>230</v>
      </c>
      <c r="C3466" t="s">
        <v>427</v>
      </c>
      <c r="D3466" s="1">
        <v>45142</v>
      </c>
      <c r="E3466" t="s">
        <v>422</v>
      </c>
      <c r="F3466">
        <v>77.650000000000006</v>
      </c>
      <c r="G3466" t="s">
        <v>70</v>
      </c>
      <c r="H3466" t="s">
        <v>264</v>
      </c>
      <c r="I3466" t="s">
        <v>72</v>
      </c>
    </row>
    <row r="3467" spans="1:9" x14ac:dyDescent="0.25">
      <c r="A3467" t="s">
        <v>264</v>
      </c>
      <c r="B3467" t="s">
        <v>230</v>
      </c>
      <c r="C3467" t="s">
        <v>427</v>
      </c>
      <c r="D3467" s="1">
        <v>45142</v>
      </c>
      <c r="E3467" t="s">
        <v>545</v>
      </c>
      <c r="F3467">
        <v>-135.36000000000001</v>
      </c>
      <c r="G3467" t="s">
        <v>79</v>
      </c>
      <c r="H3467" t="s">
        <v>96</v>
      </c>
      <c r="I3467" t="s">
        <v>96</v>
      </c>
    </row>
    <row r="3468" spans="1:9" x14ac:dyDescent="0.25">
      <c r="A3468" t="s">
        <v>264</v>
      </c>
      <c r="B3468" t="s">
        <v>230</v>
      </c>
      <c r="C3468" t="s">
        <v>427</v>
      </c>
      <c r="D3468" s="1">
        <v>45142</v>
      </c>
      <c r="E3468" t="s">
        <v>483</v>
      </c>
      <c r="F3468">
        <v>-6.82</v>
      </c>
      <c r="G3468" t="s">
        <v>76</v>
      </c>
      <c r="H3468" t="s">
        <v>484</v>
      </c>
      <c r="I3468" t="s">
        <v>485</v>
      </c>
    </row>
    <row r="3469" spans="1:9" x14ac:dyDescent="0.25">
      <c r="A3469" t="s">
        <v>264</v>
      </c>
      <c r="B3469" t="s">
        <v>230</v>
      </c>
      <c r="C3469" t="s">
        <v>427</v>
      </c>
      <c r="D3469" s="1">
        <v>45141</v>
      </c>
      <c r="E3469" t="s">
        <v>535</v>
      </c>
      <c r="F3469">
        <v>-22.76</v>
      </c>
      <c r="G3469" t="s">
        <v>68</v>
      </c>
      <c r="H3469" t="s">
        <v>69</v>
      </c>
      <c r="I3469" t="s">
        <v>69</v>
      </c>
    </row>
    <row r="3470" spans="1:9" x14ac:dyDescent="0.25">
      <c r="A3470" t="s">
        <v>264</v>
      </c>
      <c r="B3470" t="s">
        <v>230</v>
      </c>
      <c r="C3470" t="s">
        <v>427</v>
      </c>
      <c r="D3470" s="1">
        <v>45145</v>
      </c>
      <c r="E3470" t="s">
        <v>546</v>
      </c>
      <c r="F3470">
        <v>-15.51</v>
      </c>
      <c r="G3470" t="s">
        <v>68</v>
      </c>
      <c r="H3470" t="s">
        <v>69</v>
      </c>
      <c r="I3470" t="s">
        <v>69</v>
      </c>
    </row>
    <row r="3471" spans="1:9" x14ac:dyDescent="0.25">
      <c r="A3471" t="s">
        <v>264</v>
      </c>
      <c r="B3471" t="s">
        <v>230</v>
      </c>
      <c r="C3471" t="s">
        <v>427</v>
      </c>
      <c r="D3471" s="1">
        <v>45142</v>
      </c>
      <c r="E3471" t="s">
        <v>422</v>
      </c>
      <c r="F3471">
        <v>2.57</v>
      </c>
      <c r="G3471" t="s">
        <v>70</v>
      </c>
      <c r="H3471" t="s">
        <v>264</v>
      </c>
      <c r="I3471" t="s">
        <v>72</v>
      </c>
    </row>
    <row r="3472" spans="1:9" x14ac:dyDescent="0.25">
      <c r="A3472" t="s">
        <v>264</v>
      </c>
      <c r="B3472" t="s">
        <v>230</v>
      </c>
      <c r="C3472" t="s">
        <v>427</v>
      </c>
      <c r="D3472" s="1">
        <v>45145</v>
      </c>
      <c r="E3472" t="s">
        <v>509</v>
      </c>
      <c r="F3472">
        <v>-0.32</v>
      </c>
      <c r="G3472" t="s">
        <v>92</v>
      </c>
      <c r="H3472" t="s">
        <v>510</v>
      </c>
      <c r="I3472" t="s">
        <v>510</v>
      </c>
    </row>
    <row r="3473" spans="1:9" x14ac:dyDescent="0.25">
      <c r="A3473" t="s">
        <v>264</v>
      </c>
      <c r="B3473" t="s">
        <v>230</v>
      </c>
      <c r="C3473" t="s">
        <v>427</v>
      </c>
      <c r="D3473" s="1">
        <v>45146</v>
      </c>
      <c r="E3473" t="s">
        <v>524</v>
      </c>
      <c r="F3473">
        <v>-13.63</v>
      </c>
      <c r="G3473" t="s">
        <v>89</v>
      </c>
      <c r="H3473" t="s">
        <v>90</v>
      </c>
      <c r="I3473" t="s">
        <v>128</v>
      </c>
    </row>
    <row r="3474" spans="1:9" x14ac:dyDescent="0.25">
      <c r="A3474" t="s">
        <v>264</v>
      </c>
      <c r="B3474" t="s">
        <v>230</v>
      </c>
      <c r="C3474" t="s">
        <v>427</v>
      </c>
      <c r="D3474" s="1">
        <v>45145</v>
      </c>
      <c r="E3474" t="s">
        <v>422</v>
      </c>
      <c r="F3474">
        <v>56.24</v>
      </c>
      <c r="G3474" t="s">
        <v>70</v>
      </c>
      <c r="H3474" t="s">
        <v>264</v>
      </c>
      <c r="I3474" t="s">
        <v>72</v>
      </c>
    </row>
    <row r="3475" spans="1:9" x14ac:dyDescent="0.25">
      <c r="A3475" t="s">
        <v>264</v>
      </c>
      <c r="B3475" t="s">
        <v>230</v>
      </c>
      <c r="C3475" t="s">
        <v>427</v>
      </c>
      <c r="D3475" s="1">
        <v>45145</v>
      </c>
      <c r="E3475" t="s">
        <v>422</v>
      </c>
      <c r="F3475">
        <v>21</v>
      </c>
      <c r="G3475" t="s">
        <v>70</v>
      </c>
      <c r="H3475" t="s">
        <v>264</v>
      </c>
      <c r="I3475" t="s">
        <v>72</v>
      </c>
    </row>
    <row r="3476" spans="1:9" x14ac:dyDescent="0.25">
      <c r="A3476" t="s">
        <v>264</v>
      </c>
      <c r="B3476" t="s">
        <v>230</v>
      </c>
      <c r="C3476" t="s">
        <v>427</v>
      </c>
      <c r="D3476" s="1">
        <v>45145</v>
      </c>
      <c r="E3476" t="s">
        <v>422</v>
      </c>
      <c r="F3476">
        <v>3.59</v>
      </c>
      <c r="G3476" t="s">
        <v>70</v>
      </c>
      <c r="H3476" t="s">
        <v>264</v>
      </c>
      <c r="I3476" t="s">
        <v>72</v>
      </c>
    </row>
    <row r="3477" spans="1:9" x14ac:dyDescent="0.25">
      <c r="A3477" t="s">
        <v>264</v>
      </c>
      <c r="B3477" t="s">
        <v>230</v>
      </c>
      <c r="C3477" t="s">
        <v>427</v>
      </c>
      <c r="D3477" s="1">
        <v>45145</v>
      </c>
      <c r="E3477" t="s">
        <v>486</v>
      </c>
      <c r="F3477">
        <v>-57.33</v>
      </c>
      <c r="G3477" t="s">
        <v>79</v>
      </c>
      <c r="H3477" t="s">
        <v>512</v>
      </c>
      <c r="I3477" t="s">
        <v>512</v>
      </c>
    </row>
    <row r="3478" spans="1:9" x14ac:dyDescent="0.25">
      <c r="A3478" t="s">
        <v>264</v>
      </c>
      <c r="B3478" t="s">
        <v>230</v>
      </c>
      <c r="C3478" t="s">
        <v>427</v>
      </c>
      <c r="D3478" s="1">
        <v>45145</v>
      </c>
      <c r="E3478" t="s">
        <v>424</v>
      </c>
      <c r="F3478">
        <v>-11.33</v>
      </c>
      <c r="G3478" t="s">
        <v>68</v>
      </c>
      <c r="H3478" t="s">
        <v>69</v>
      </c>
      <c r="I3478" t="s">
        <v>69</v>
      </c>
    </row>
    <row r="3479" spans="1:9" x14ac:dyDescent="0.25">
      <c r="A3479" t="s">
        <v>264</v>
      </c>
      <c r="B3479" t="s">
        <v>230</v>
      </c>
      <c r="C3479" t="s">
        <v>427</v>
      </c>
      <c r="D3479" s="1">
        <v>45145</v>
      </c>
      <c r="E3479" t="s">
        <v>546</v>
      </c>
      <c r="F3479">
        <v>-18.28</v>
      </c>
      <c r="G3479" t="s">
        <v>68</v>
      </c>
      <c r="H3479" t="s">
        <v>69</v>
      </c>
      <c r="I3479" t="s">
        <v>69</v>
      </c>
    </row>
    <row r="3480" spans="1:9" x14ac:dyDescent="0.25">
      <c r="A3480" t="s">
        <v>264</v>
      </c>
      <c r="B3480" t="s">
        <v>230</v>
      </c>
      <c r="C3480" t="s">
        <v>427</v>
      </c>
      <c r="D3480" s="1">
        <v>45145</v>
      </c>
      <c r="E3480" t="s">
        <v>433</v>
      </c>
      <c r="F3480">
        <v>-3.21</v>
      </c>
      <c r="G3480" t="s">
        <v>68</v>
      </c>
      <c r="H3480" t="s">
        <v>69</v>
      </c>
      <c r="I3480" t="s">
        <v>69</v>
      </c>
    </row>
    <row r="3481" spans="1:9" x14ac:dyDescent="0.25">
      <c r="A3481" t="s">
        <v>264</v>
      </c>
      <c r="B3481" t="s">
        <v>230</v>
      </c>
      <c r="C3481" t="s">
        <v>427</v>
      </c>
      <c r="D3481" s="1">
        <v>45147</v>
      </c>
      <c r="E3481" t="s">
        <v>547</v>
      </c>
      <c r="F3481">
        <v>-27.79</v>
      </c>
      <c r="G3481" t="s">
        <v>76</v>
      </c>
      <c r="H3481" t="s">
        <v>87</v>
      </c>
      <c r="I3481" t="s">
        <v>88</v>
      </c>
    </row>
    <row r="3482" spans="1:9" x14ac:dyDescent="0.25">
      <c r="A3482" t="s">
        <v>264</v>
      </c>
      <c r="B3482" t="s">
        <v>230</v>
      </c>
      <c r="C3482" t="s">
        <v>427</v>
      </c>
      <c r="D3482" s="1">
        <v>45147</v>
      </c>
      <c r="E3482" t="s">
        <v>524</v>
      </c>
      <c r="F3482">
        <v>-1.4</v>
      </c>
      <c r="G3482" t="s">
        <v>89</v>
      </c>
      <c r="H3482" t="s">
        <v>90</v>
      </c>
      <c r="I3482" t="s">
        <v>128</v>
      </c>
    </row>
    <row r="3483" spans="1:9" x14ac:dyDescent="0.25">
      <c r="A3483" t="s">
        <v>264</v>
      </c>
      <c r="B3483" t="s">
        <v>230</v>
      </c>
      <c r="C3483" t="s">
        <v>427</v>
      </c>
      <c r="D3483" s="1">
        <v>45146</v>
      </c>
      <c r="E3483" t="s">
        <v>548</v>
      </c>
      <c r="F3483">
        <v>-24.26</v>
      </c>
      <c r="G3483" t="s">
        <v>76</v>
      </c>
      <c r="H3483" t="s">
        <v>87</v>
      </c>
      <c r="I3483" t="s">
        <v>88</v>
      </c>
    </row>
    <row r="3484" spans="1:9" x14ac:dyDescent="0.25">
      <c r="A3484" t="s">
        <v>264</v>
      </c>
      <c r="B3484" t="s">
        <v>230</v>
      </c>
      <c r="C3484" t="s">
        <v>427</v>
      </c>
      <c r="D3484" s="1">
        <v>45146</v>
      </c>
      <c r="E3484" t="s">
        <v>425</v>
      </c>
      <c r="F3484">
        <v>-0.33</v>
      </c>
      <c r="G3484" t="s">
        <v>68</v>
      </c>
      <c r="H3484" t="s">
        <v>69</v>
      </c>
      <c r="I3484" t="s">
        <v>69</v>
      </c>
    </row>
    <row r="3485" spans="1:9" x14ac:dyDescent="0.25">
      <c r="A3485" t="s">
        <v>264</v>
      </c>
      <c r="B3485" t="s">
        <v>230</v>
      </c>
      <c r="C3485" t="s">
        <v>427</v>
      </c>
      <c r="D3485" s="1">
        <v>45146</v>
      </c>
      <c r="E3485" t="s">
        <v>422</v>
      </c>
      <c r="F3485">
        <v>113.37</v>
      </c>
      <c r="G3485" t="s">
        <v>70</v>
      </c>
      <c r="H3485" t="s">
        <v>264</v>
      </c>
      <c r="I3485" t="s">
        <v>72</v>
      </c>
    </row>
    <row r="3486" spans="1:9" x14ac:dyDescent="0.25">
      <c r="A3486" t="s">
        <v>264</v>
      </c>
      <c r="B3486" t="s">
        <v>230</v>
      </c>
      <c r="C3486" t="s">
        <v>427</v>
      </c>
      <c r="D3486" s="1">
        <v>45149</v>
      </c>
      <c r="E3486" t="s">
        <v>428</v>
      </c>
      <c r="F3486">
        <v>-141.96</v>
      </c>
      <c r="G3486" t="s">
        <v>68</v>
      </c>
      <c r="H3486" t="s">
        <v>69</v>
      </c>
      <c r="I3486" t="s">
        <v>69</v>
      </c>
    </row>
    <row r="3487" spans="1:9" x14ac:dyDescent="0.25">
      <c r="A3487" t="s">
        <v>264</v>
      </c>
      <c r="B3487" t="s">
        <v>230</v>
      </c>
      <c r="C3487" t="s">
        <v>427</v>
      </c>
      <c r="D3487" s="1">
        <v>45149</v>
      </c>
      <c r="E3487" t="s">
        <v>501</v>
      </c>
      <c r="F3487">
        <v>-70.25</v>
      </c>
      <c r="G3487" t="s">
        <v>212</v>
      </c>
      <c r="H3487" t="s">
        <v>212</v>
      </c>
      <c r="I3487" t="s">
        <v>478</v>
      </c>
    </row>
    <row r="3488" spans="1:9" x14ac:dyDescent="0.25">
      <c r="A3488" t="s">
        <v>264</v>
      </c>
      <c r="B3488" t="s">
        <v>230</v>
      </c>
      <c r="C3488" t="s">
        <v>427</v>
      </c>
      <c r="D3488" s="1">
        <v>45149</v>
      </c>
      <c r="E3488" t="s">
        <v>549</v>
      </c>
      <c r="F3488">
        <v>-57.34</v>
      </c>
      <c r="G3488" t="s">
        <v>76</v>
      </c>
      <c r="H3488" t="s">
        <v>87</v>
      </c>
      <c r="I3488" t="s">
        <v>88</v>
      </c>
    </row>
    <row r="3489" spans="1:9" x14ac:dyDescent="0.25">
      <c r="A3489" t="s">
        <v>264</v>
      </c>
      <c r="B3489" t="s">
        <v>230</v>
      </c>
      <c r="C3489" t="s">
        <v>427</v>
      </c>
      <c r="D3489" s="1">
        <v>45149</v>
      </c>
      <c r="E3489" t="s">
        <v>483</v>
      </c>
      <c r="F3489">
        <v>-11.24</v>
      </c>
      <c r="G3489" t="s">
        <v>76</v>
      </c>
      <c r="H3489" t="s">
        <v>484</v>
      </c>
      <c r="I3489" t="s">
        <v>485</v>
      </c>
    </row>
    <row r="3490" spans="1:9" x14ac:dyDescent="0.25">
      <c r="A3490" t="s">
        <v>264</v>
      </c>
      <c r="B3490" t="s">
        <v>230</v>
      </c>
      <c r="C3490" t="s">
        <v>427</v>
      </c>
      <c r="D3490" s="1">
        <v>45148</v>
      </c>
      <c r="E3490" t="s">
        <v>422</v>
      </c>
      <c r="F3490">
        <v>15.94</v>
      </c>
      <c r="G3490" t="s">
        <v>70</v>
      </c>
      <c r="H3490" t="s">
        <v>264</v>
      </c>
      <c r="I3490" t="s">
        <v>72</v>
      </c>
    </row>
    <row r="3491" spans="1:9" x14ac:dyDescent="0.25">
      <c r="A3491" t="s">
        <v>264</v>
      </c>
      <c r="B3491" t="s">
        <v>230</v>
      </c>
      <c r="C3491" t="s">
        <v>427</v>
      </c>
      <c r="D3491" s="1">
        <v>45149</v>
      </c>
      <c r="E3491" t="s">
        <v>422</v>
      </c>
      <c r="F3491">
        <v>8.5399999999999991</v>
      </c>
      <c r="G3491" t="s">
        <v>70</v>
      </c>
      <c r="H3491" t="s">
        <v>264</v>
      </c>
      <c r="I3491" t="s">
        <v>72</v>
      </c>
    </row>
    <row r="3492" spans="1:9" x14ac:dyDescent="0.25">
      <c r="A3492" t="s">
        <v>264</v>
      </c>
      <c r="B3492" t="s">
        <v>230</v>
      </c>
      <c r="C3492" t="s">
        <v>427</v>
      </c>
      <c r="D3492" s="1">
        <v>45152</v>
      </c>
      <c r="E3492" t="s">
        <v>422</v>
      </c>
      <c r="F3492">
        <v>95.21</v>
      </c>
      <c r="G3492" t="s">
        <v>70</v>
      </c>
      <c r="H3492" t="s">
        <v>264</v>
      </c>
      <c r="I3492" t="s">
        <v>72</v>
      </c>
    </row>
    <row r="3493" spans="1:9" x14ac:dyDescent="0.25">
      <c r="A3493" t="s">
        <v>264</v>
      </c>
      <c r="B3493" t="s">
        <v>230</v>
      </c>
      <c r="C3493" t="s">
        <v>427</v>
      </c>
      <c r="D3493" s="1">
        <v>45152</v>
      </c>
      <c r="E3493" t="s">
        <v>550</v>
      </c>
      <c r="F3493">
        <v>-51.43</v>
      </c>
      <c r="G3493" t="s">
        <v>68</v>
      </c>
      <c r="H3493" t="s">
        <v>69</v>
      </c>
      <c r="I3493" t="s">
        <v>69</v>
      </c>
    </row>
    <row r="3494" spans="1:9" x14ac:dyDescent="0.25">
      <c r="A3494" t="s">
        <v>264</v>
      </c>
      <c r="B3494" t="s">
        <v>230</v>
      </c>
      <c r="C3494" t="s">
        <v>427</v>
      </c>
      <c r="D3494" s="1">
        <v>45152</v>
      </c>
      <c r="E3494" t="s">
        <v>551</v>
      </c>
      <c r="F3494">
        <v>-6.75</v>
      </c>
      <c r="G3494" t="s">
        <v>76</v>
      </c>
      <c r="H3494" t="s">
        <v>87</v>
      </c>
      <c r="I3494" t="s">
        <v>88</v>
      </c>
    </row>
    <row r="3495" spans="1:9" x14ac:dyDescent="0.25">
      <c r="A3495" t="s">
        <v>264</v>
      </c>
      <c r="B3495" t="s">
        <v>230</v>
      </c>
      <c r="C3495" t="s">
        <v>427</v>
      </c>
      <c r="D3495" s="1">
        <v>45152</v>
      </c>
      <c r="E3495" t="s">
        <v>532</v>
      </c>
      <c r="F3495">
        <v>-17.8</v>
      </c>
      <c r="G3495" t="s">
        <v>68</v>
      </c>
      <c r="H3495" t="s">
        <v>69</v>
      </c>
      <c r="I3495" t="s">
        <v>69</v>
      </c>
    </row>
    <row r="3496" spans="1:9" x14ac:dyDescent="0.25">
      <c r="A3496" t="s">
        <v>264</v>
      </c>
      <c r="B3496" t="s">
        <v>230</v>
      </c>
      <c r="C3496" t="s">
        <v>427</v>
      </c>
      <c r="D3496" s="1">
        <v>45152</v>
      </c>
      <c r="E3496" t="s">
        <v>531</v>
      </c>
      <c r="F3496">
        <v>-0.03</v>
      </c>
      <c r="G3496" t="s">
        <v>89</v>
      </c>
      <c r="H3496" t="s">
        <v>90</v>
      </c>
      <c r="I3496" t="s">
        <v>128</v>
      </c>
    </row>
    <row r="3497" spans="1:9" x14ac:dyDescent="0.25">
      <c r="A3497" t="s">
        <v>264</v>
      </c>
      <c r="B3497" t="s">
        <v>230</v>
      </c>
      <c r="C3497" t="s">
        <v>427</v>
      </c>
      <c r="D3497" s="1">
        <v>45152</v>
      </c>
      <c r="E3497" t="s">
        <v>422</v>
      </c>
      <c r="F3497">
        <v>139.57</v>
      </c>
      <c r="G3497" t="s">
        <v>70</v>
      </c>
      <c r="H3497" t="s">
        <v>264</v>
      </c>
      <c r="I3497" t="s">
        <v>72</v>
      </c>
    </row>
    <row r="3498" spans="1:9" x14ac:dyDescent="0.25">
      <c r="A3498" t="s">
        <v>264</v>
      </c>
      <c r="B3498" t="s">
        <v>230</v>
      </c>
      <c r="C3498" t="s">
        <v>427</v>
      </c>
      <c r="D3498" s="1">
        <v>45152</v>
      </c>
      <c r="E3498" t="s">
        <v>552</v>
      </c>
      <c r="F3498">
        <v>-61.38</v>
      </c>
      <c r="G3498" t="s">
        <v>79</v>
      </c>
      <c r="H3498" t="s">
        <v>96</v>
      </c>
      <c r="I3498" t="s">
        <v>96</v>
      </c>
    </row>
    <row r="3499" spans="1:9" x14ac:dyDescent="0.25">
      <c r="A3499" t="s">
        <v>264</v>
      </c>
      <c r="B3499" t="s">
        <v>230</v>
      </c>
      <c r="C3499" t="s">
        <v>427</v>
      </c>
      <c r="D3499" s="1">
        <v>45152</v>
      </c>
      <c r="E3499" t="s">
        <v>482</v>
      </c>
      <c r="F3499">
        <v>-66.569999999999993</v>
      </c>
      <c r="G3499" t="s">
        <v>68</v>
      </c>
      <c r="H3499" t="s">
        <v>69</v>
      </c>
      <c r="I3499" t="s">
        <v>69</v>
      </c>
    </row>
    <row r="3500" spans="1:9" x14ac:dyDescent="0.25">
      <c r="A3500" t="s">
        <v>264</v>
      </c>
      <c r="B3500" t="s">
        <v>230</v>
      </c>
      <c r="C3500" t="s">
        <v>427</v>
      </c>
      <c r="D3500" s="1">
        <v>45152</v>
      </c>
      <c r="E3500" t="s">
        <v>537</v>
      </c>
      <c r="F3500">
        <v>-2.78</v>
      </c>
      <c r="G3500" t="s">
        <v>68</v>
      </c>
      <c r="H3500" t="s">
        <v>69</v>
      </c>
      <c r="I3500" t="s">
        <v>69</v>
      </c>
    </row>
    <row r="3501" spans="1:9" x14ac:dyDescent="0.25">
      <c r="A3501" t="s">
        <v>264</v>
      </c>
      <c r="B3501" t="s">
        <v>230</v>
      </c>
      <c r="C3501" t="s">
        <v>427</v>
      </c>
      <c r="D3501" s="1">
        <v>45152</v>
      </c>
      <c r="E3501" t="s">
        <v>472</v>
      </c>
      <c r="F3501">
        <v>-5.79</v>
      </c>
      <c r="G3501" t="s">
        <v>212</v>
      </c>
      <c r="H3501" t="s">
        <v>213</v>
      </c>
      <c r="I3501" t="s">
        <v>214</v>
      </c>
    </row>
    <row r="3502" spans="1:9" x14ac:dyDescent="0.25">
      <c r="A3502" t="s">
        <v>264</v>
      </c>
      <c r="B3502" t="s">
        <v>230</v>
      </c>
      <c r="C3502" t="s">
        <v>427</v>
      </c>
      <c r="D3502" s="1">
        <v>45155</v>
      </c>
      <c r="E3502" t="s">
        <v>480</v>
      </c>
      <c r="F3502">
        <v>-91.92</v>
      </c>
      <c r="G3502" t="s">
        <v>76</v>
      </c>
      <c r="H3502" t="s">
        <v>82</v>
      </c>
      <c r="I3502" t="s">
        <v>83</v>
      </c>
    </row>
    <row r="3503" spans="1:9" x14ac:dyDescent="0.25">
      <c r="A3503" t="s">
        <v>264</v>
      </c>
      <c r="B3503" t="s">
        <v>230</v>
      </c>
      <c r="C3503" t="s">
        <v>427</v>
      </c>
      <c r="D3503" s="1">
        <v>45153</v>
      </c>
      <c r="E3503" t="s">
        <v>550</v>
      </c>
      <c r="F3503">
        <v>33.11</v>
      </c>
      <c r="G3503" t="s">
        <v>68</v>
      </c>
      <c r="H3503" t="s">
        <v>69</v>
      </c>
      <c r="I3503" t="s">
        <v>69</v>
      </c>
    </row>
    <row r="3504" spans="1:9" x14ac:dyDescent="0.25">
      <c r="A3504" t="s">
        <v>264</v>
      </c>
      <c r="B3504" t="s">
        <v>230</v>
      </c>
      <c r="C3504" t="s">
        <v>427</v>
      </c>
      <c r="D3504" s="1">
        <v>45152</v>
      </c>
      <c r="E3504" t="s">
        <v>422</v>
      </c>
      <c r="F3504">
        <v>4.6900000000000004</v>
      </c>
      <c r="G3504" t="s">
        <v>70</v>
      </c>
      <c r="H3504" t="s">
        <v>264</v>
      </c>
      <c r="I3504" t="s">
        <v>72</v>
      </c>
    </row>
    <row r="3505" spans="1:9" x14ac:dyDescent="0.25">
      <c r="A3505" t="s">
        <v>264</v>
      </c>
      <c r="B3505" t="s">
        <v>230</v>
      </c>
      <c r="C3505" t="s">
        <v>427</v>
      </c>
      <c r="D3505" s="1">
        <v>45156</v>
      </c>
      <c r="E3505" t="s">
        <v>553</v>
      </c>
      <c r="F3505">
        <v>-48.26</v>
      </c>
      <c r="G3505" t="s">
        <v>76</v>
      </c>
      <c r="H3505" t="s">
        <v>87</v>
      </c>
      <c r="I3505" t="s">
        <v>88</v>
      </c>
    </row>
    <row r="3506" spans="1:9" x14ac:dyDescent="0.25">
      <c r="A3506" t="s">
        <v>264</v>
      </c>
      <c r="B3506" t="s">
        <v>230</v>
      </c>
      <c r="C3506" t="s">
        <v>427</v>
      </c>
      <c r="D3506" s="1">
        <v>45156</v>
      </c>
      <c r="E3506" t="s">
        <v>524</v>
      </c>
      <c r="F3506">
        <v>-14.41</v>
      </c>
      <c r="G3506" t="s">
        <v>89</v>
      </c>
      <c r="H3506" t="s">
        <v>90</v>
      </c>
      <c r="I3506" t="s">
        <v>128</v>
      </c>
    </row>
    <row r="3507" spans="1:9" x14ac:dyDescent="0.25">
      <c r="A3507" t="s">
        <v>264</v>
      </c>
      <c r="B3507" t="s">
        <v>230</v>
      </c>
      <c r="C3507" t="s">
        <v>427</v>
      </c>
      <c r="D3507" s="1">
        <v>45156</v>
      </c>
      <c r="E3507" t="s">
        <v>553</v>
      </c>
      <c r="F3507">
        <v>-9.1</v>
      </c>
      <c r="G3507" t="s">
        <v>76</v>
      </c>
      <c r="H3507" t="s">
        <v>87</v>
      </c>
      <c r="I3507" t="s">
        <v>88</v>
      </c>
    </row>
    <row r="3508" spans="1:9" x14ac:dyDescent="0.25">
      <c r="A3508" t="s">
        <v>264</v>
      </c>
      <c r="B3508" t="s">
        <v>230</v>
      </c>
      <c r="C3508" t="s">
        <v>427</v>
      </c>
      <c r="D3508" s="1">
        <v>45156</v>
      </c>
      <c r="E3508" t="s">
        <v>422</v>
      </c>
      <c r="F3508">
        <v>0.06</v>
      </c>
      <c r="G3508" t="s">
        <v>70</v>
      </c>
      <c r="H3508" t="s">
        <v>264</v>
      </c>
      <c r="I3508" t="s">
        <v>72</v>
      </c>
    </row>
    <row r="3509" spans="1:9" x14ac:dyDescent="0.25">
      <c r="A3509" t="s">
        <v>264</v>
      </c>
      <c r="B3509" t="s">
        <v>230</v>
      </c>
      <c r="C3509" t="s">
        <v>427</v>
      </c>
      <c r="D3509" s="1">
        <v>45159</v>
      </c>
      <c r="E3509" t="s">
        <v>422</v>
      </c>
      <c r="F3509">
        <v>267.37</v>
      </c>
      <c r="G3509" t="s">
        <v>70</v>
      </c>
      <c r="H3509" t="s">
        <v>264</v>
      </c>
      <c r="I3509" t="s">
        <v>72</v>
      </c>
    </row>
    <row r="3510" spans="1:9" x14ac:dyDescent="0.25">
      <c r="A3510" t="s">
        <v>264</v>
      </c>
      <c r="B3510" t="s">
        <v>230</v>
      </c>
      <c r="C3510" t="s">
        <v>427</v>
      </c>
      <c r="D3510" s="1">
        <v>45159</v>
      </c>
      <c r="E3510" t="s">
        <v>554</v>
      </c>
      <c r="F3510">
        <v>-115.44</v>
      </c>
      <c r="G3510" t="s">
        <v>68</v>
      </c>
      <c r="H3510" t="s">
        <v>69</v>
      </c>
      <c r="I3510" t="s">
        <v>69</v>
      </c>
    </row>
    <row r="3511" spans="1:9" x14ac:dyDescent="0.25">
      <c r="A3511" t="s">
        <v>264</v>
      </c>
      <c r="B3511" t="s">
        <v>230</v>
      </c>
      <c r="C3511" t="s">
        <v>427</v>
      </c>
      <c r="D3511" s="1">
        <v>45159</v>
      </c>
      <c r="E3511" t="s">
        <v>555</v>
      </c>
      <c r="F3511">
        <v>-62.91</v>
      </c>
      <c r="G3511" t="s">
        <v>68</v>
      </c>
      <c r="H3511" t="s">
        <v>69</v>
      </c>
      <c r="I3511" t="s">
        <v>69</v>
      </c>
    </row>
    <row r="3512" spans="1:9" x14ac:dyDescent="0.25">
      <c r="A3512" t="s">
        <v>264</v>
      </c>
      <c r="B3512" t="s">
        <v>230</v>
      </c>
      <c r="C3512" t="s">
        <v>427</v>
      </c>
      <c r="D3512" s="1">
        <v>45159</v>
      </c>
      <c r="E3512" t="s">
        <v>556</v>
      </c>
      <c r="F3512">
        <v>-14.54</v>
      </c>
      <c r="G3512" t="s">
        <v>76</v>
      </c>
      <c r="H3512" t="s">
        <v>484</v>
      </c>
      <c r="I3512" t="s">
        <v>485</v>
      </c>
    </row>
    <row r="3513" spans="1:9" x14ac:dyDescent="0.25">
      <c r="A3513" t="s">
        <v>264</v>
      </c>
      <c r="B3513" t="s">
        <v>230</v>
      </c>
      <c r="C3513" t="s">
        <v>427</v>
      </c>
      <c r="D3513" s="1">
        <v>45159</v>
      </c>
      <c r="E3513" t="s">
        <v>422</v>
      </c>
      <c r="F3513">
        <v>195.85</v>
      </c>
      <c r="G3513" t="s">
        <v>70</v>
      </c>
      <c r="H3513" t="s">
        <v>264</v>
      </c>
      <c r="I3513" t="s">
        <v>72</v>
      </c>
    </row>
    <row r="3514" spans="1:9" x14ac:dyDescent="0.25">
      <c r="A3514" t="s">
        <v>264</v>
      </c>
      <c r="B3514" t="s">
        <v>230</v>
      </c>
      <c r="C3514" t="s">
        <v>427</v>
      </c>
      <c r="D3514" s="1">
        <v>45159</v>
      </c>
      <c r="E3514" t="s">
        <v>422</v>
      </c>
      <c r="F3514">
        <v>0.34</v>
      </c>
      <c r="G3514" t="s">
        <v>70</v>
      </c>
      <c r="H3514" t="s">
        <v>264</v>
      </c>
      <c r="I3514" t="s">
        <v>72</v>
      </c>
    </row>
    <row r="3515" spans="1:9" x14ac:dyDescent="0.25">
      <c r="A3515" t="s">
        <v>264</v>
      </c>
      <c r="B3515" t="s">
        <v>230</v>
      </c>
      <c r="C3515" t="s">
        <v>427</v>
      </c>
      <c r="D3515" s="1">
        <v>45159</v>
      </c>
      <c r="E3515" t="s">
        <v>422</v>
      </c>
      <c r="F3515">
        <v>41.12</v>
      </c>
      <c r="G3515" t="s">
        <v>70</v>
      </c>
      <c r="H3515" t="s">
        <v>264</v>
      </c>
      <c r="I3515" t="s">
        <v>72</v>
      </c>
    </row>
    <row r="3516" spans="1:9" x14ac:dyDescent="0.25">
      <c r="A3516" t="s">
        <v>264</v>
      </c>
      <c r="B3516" t="s">
        <v>230</v>
      </c>
      <c r="C3516" t="s">
        <v>427</v>
      </c>
      <c r="D3516" s="1">
        <v>45159</v>
      </c>
      <c r="E3516" t="s">
        <v>486</v>
      </c>
      <c r="F3516">
        <v>-158.22</v>
      </c>
      <c r="G3516" t="s">
        <v>79</v>
      </c>
      <c r="H3516" t="s">
        <v>95</v>
      </c>
      <c r="I3516" t="s">
        <v>95</v>
      </c>
    </row>
    <row r="3517" spans="1:9" x14ac:dyDescent="0.25">
      <c r="A3517" t="s">
        <v>264</v>
      </c>
      <c r="B3517" t="s">
        <v>230</v>
      </c>
      <c r="C3517" t="s">
        <v>427</v>
      </c>
      <c r="D3517" s="1">
        <v>45159</v>
      </c>
      <c r="E3517" t="s">
        <v>486</v>
      </c>
      <c r="F3517">
        <v>-49.69</v>
      </c>
      <c r="G3517" t="s">
        <v>73</v>
      </c>
      <c r="H3517" t="s">
        <v>487</v>
      </c>
      <c r="I3517" t="s">
        <v>487</v>
      </c>
    </row>
    <row r="3518" spans="1:9" x14ac:dyDescent="0.25">
      <c r="A3518" t="s">
        <v>264</v>
      </c>
      <c r="B3518" t="s">
        <v>230</v>
      </c>
      <c r="C3518" t="s">
        <v>427</v>
      </c>
      <c r="D3518" s="1">
        <v>45159</v>
      </c>
      <c r="E3518" t="s">
        <v>486</v>
      </c>
      <c r="F3518">
        <v>-25.11</v>
      </c>
      <c r="G3518" t="s">
        <v>350</v>
      </c>
      <c r="H3518" t="s">
        <v>487</v>
      </c>
      <c r="I3518" t="s">
        <v>487</v>
      </c>
    </row>
    <row r="3519" spans="1:9" x14ac:dyDescent="0.25">
      <c r="A3519" t="s">
        <v>264</v>
      </c>
      <c r="B3519" t="s">
        <v>230</v>
      </c>
      <c r="C3519" t="s">
        <v>427</v>
      </c>
      <c r="D3519" s="1">
        <v>45159</v>
      </c>
      <c r="E3519" t="s">
        <v>537</v>
      </c>
      <c r="F3519">
        <v>-12.38</v>
      </c>
      <c r="G3519" t="s">
        <v>68</v>
      </c>
      <c r="H3519" t="s">
        <v>69</v>
      </c>
      <c r="I3519" t="s">
        <v>69</v>
      </c>
    </row>
    <row r="3520" spans="1:9" x14ac:dyDescent="0.25">
      <c r="A3520" t="s">
        <v>264</v>
      </c>
      <c r="B3520" t="s">
        <v>230</v>
      </c>
      <c r="C3520" t="s">
        <v>427</v>
      </c>
      <c r="D3520" s="1">
        <v>45159</v>
      </c>
      <c r="E3520" t="s">
        <v>557</v>
      </c>
      <c r="F3520">
        <v>-14.36</v>
      </c>
      <c r="G3520" t="s">
        <v>212</v>
      </c>
      <c r="H3520" t="s">
        <v>213</v>
      </c>
      <c r="I3520" t="s">
        <v>214</v>
      </c>
    </row>
    <row r="3521" spans="1:9" x14ac:dyDescent="0.25">
      <c r="A3521" t="s">
        <v>264</v>
      </c>
      <c r="B3521" t="s">
        <v>230</v>
      </c>
      <c r="C3521" t="s">
        <v>427</v>
      </c>
      <c r="D3521" s="1">
        <v>45159</v>
      </c>
      <c r="E3521" t="s">
        <v>524</v>
      </c>
      <c r="F3521">
        <v>-25.29</v>
      </c>
      <c r="G3521" t="s">
        <v>89</v>
      </c>
      <c r="H3521" t="s">
        <v>90</v>
      </c>
      <c r="I3521" t="s">
        <v>128</v>
      </c>
    </row>
    <row r="3522" spans="1:9" x14ac:dyDescent="0.25">
      <c r="A3522" t="s">
        <v>264</v>
      </c>
      <c r="B3522" t="s">
        <v>230</v>
      </c>
      <c r="C3522" t="s">
        <v>427</v>
      </c>
      <c r="D3522" s="1">
        <v>45159</v>
      </c>
      <c r="E3522" t="s">
        <v>445</v>
      </c>
      <c r="F3522">
        <v>-0.08</v>
      </c>
      <c r="G3522" t="s">
        <v>84</v>
      </c>
      <c r="H3522" t="s">
        <v>85</v>
      </c>
      <c r="I3522" t="s">
        <v>86</v>
      </c>
    </row>
    <row r="3523" spans="1:9" x14ac:dyDescent="0.25">
      <c r="A3523" t="s">
        <v>264</v>
      </c>
      <c r="B3523" t="s">
        <v>230</v>
      </c>
      <c r="C3523" t="s">
        <v>427</v>
      </c>
      <c r="D3523" s="1">
        <v>45159</v>
      </c>
      <c r="E3523" t="s">
        <v>446</v>
      </c>
      <c r="F3523">
        <v>-0.05</v>
      </c>
      <c r="G3523" t="s">
        <v>84</v>
      </c>
      <c r="H3523" t="s">
        <v>85</v>
      </c>
      <c r="I3523" t="s">
        <v>86</v>
      </c>
    </row>
    <row r="3524" spans="1:9" x14ac:dyDescent="0.25">
      <c r="A3524" t="s">
        <v>264</v>
      </c>
      <c r="B3524" t="s">
        <v>230</v>
      </c>
      <c r="C3524" t="s">
        <v>427</v>
      </c>
      <c r="D3524" s="1">
        <v>45159</v>
      </c>
      <c r="E3524" t="s">
        <v>558</v>
      </c>
      <c r="F3524">
        <v>-1.63</v>
      </c>
      <c r="G3524" t="s">
        <v>212</v>
      </c>
      <c r="H3524" t="s">
        <v>213</v>
      </c>
      <c r="I3524" t="s">
        <v>559</v>
      </c>
    </row>
    <row r="3525" spans="1:9" x14ac:dyDescent="0.25">
      <c r="A3525" t="s">
        <v>264</v>
      </c>
      <c r="B3525" t="s">
        <v>230</v>
      </c>
      <c r="C3525" t="s">
        <v>427</v>
      </c>
      <c r="D3525" s="1">
        <v>45159</v>
      </c>
      <c r="E3525" t="s">
        <v>560</v>
      </c>
      <c r="F3525">
        <v>-2.42</v>
      </c>
      <c r="G3525" t="s">
        <v>68</v>
      </c>
      <c r="H3525" t="s">
        <v>69</v>
      </c>
      <c r="I3525" t="s">
        <v>69</v>
      </c>
    </row>
    <row r="3526" spans="1:9" x14ac:dyDescent="0.25">
      <c r="A3526" t="s">
        <v>264</v>
      </c>
      <c r="B3526" t="s">
        <v>230</v>
      </c>
      <c r="C3526" t="s">
        <v>427</v>
      </c>
      <c r="D3526" s="1">
        <v>45161</v>
      </c>
      <c r="E3526" t="s">
        <v>422</v>
      </c>
      <c r="F3526">
        <v>0.16</v>
      </c>
      <c r="G3526" t="s">
        <v>70</v>
      </c>
      <c r="H3526" t="s">
        <v>264</v>
      </c>
      <c r="I3526" t="s">
        <v>72</v>
      </c>
    </row>
    <row r="3527" spans="1:9" x14ac:dyDescent="0.25">
      <c r="A3527" t="s">
        <v>264</v>
      </c>
      <c r="B3527" t="s">
        <v>230</v>
      </c>
      <c r="C3527" t="s">
        <v>427</v>
      </c>
      <c r="D3527" s="1">
        <v>45169</v>
      </c>
      <c r="E3527" t="s">
        <v>445</v>
      </c>
      <c r="F3527">
        <v>-0.06</v>
      </c>
      <c r="G3527" t="s">
        <v>84</v>
      </c>
      <c r="H3527" t="s">
        <v>85</v>
      </c>
      <c r="I3527" t="s">
        <v>86</v>
      </c>
    </row>
    <row r="3528" spans="1:9" x14ac:dyDescent="0.25">
      <c r="A3528" t="s">
        <v>264</v>
      </c>
      <c r="B3528" t="s">
        <v>230</v>
      </c>
      <c r="C3528" t="s">
        <v>427</v>
      </c>
      <c r="D3528" s="1">
        <v>45169</v>
      </c>
      <c r="E3528" t="s">
        <v>446</v>
      </c>
      <c r="F3528">
        <v>-0.14000000000000001</v>
      </c>
      <c r="G3528" t="s">
        <v>84</v>
      </c>
      <c r="H3528" t="s">
        <v>85</v>
      </c>
      <c r="I3528" t="s">
        <v>86</v>
      </c>
    </row>
    <row r="3529" spans="1:9" x14ac:dyDescent="0.25">
      <c r="A3529" t="s">
        <v>264</v>
      </c>
      <c r="B3529" t="s">
        <v>230</v>
      </c>
      <c r="C3529" t="s">
        <v>427</v>
      </c>
      <c r="D3529" s="1">
        <v>45169</v>
      </c>
      <c r="E3529" t="s">
        <v>561</v>
      </c>
      <c r="F3529">
        <v>-18.809999999999999</v>
      </c>
      <c r="G3529" t="s">
        <v>92</v>
      </c>
      <c r="H3529" t="s">
        <v>104</v>
      </c>
      <c r="I3529" t="s">
        <v>104</v>
      </c>
    </row>
    <row r="3530" spans="1:9" x14ac:dyDescent="0.25">
      <c r="A3530" t="s">
        <v>264</v>
      </c>
      <c r="B3530" t="s">
        <v>230</v>
      </c>
      <c r="C3530" t="s">
        <v>427</v>
      </c>
      <c r="D3530" s="1">
        <v>45168</v>
      </c>
      <c r="E3530" t="s">
        <v>426</v>
      </c>
      <c r="F3530">
        <v>-3.77</v>
      </c>
      <c r="G3530" t="s">
        <v>68</v>
      </c>
      <c r="H3530" t="s">
        <v>69</v>
      </c>
      <c r="I3530" t="s">
        <v>69</v>
      </c>
    </row>
    <row r="3531" spans="1:9" x14ac:dyDescent="0.25">
      <c r="A3531" t="s">
        <v>264</v>
      </c>
      <c r="B3531" t="s">
        <v>230</v>
      </c>
      <c r="C3531" t="s">
        <v>427</v>
      </c>
      <c r="D3531" s="1">
        <v>45169</v>
      </c>
      <c r="E3531" t="s">
        <v>422</v>
      </c>
      <c r="F3531">
        <v>0.32</v>
      </c>
      <c r="G3531" t="s">
        <v>70</v>
      </c>
      <c r="H3531" t="s">
        <v>264</v>
      </c>
      <c r="I3531" t="s">
        <v>72</v>
      </c>
    </row>
    <row r="3532" spans="1:9" x14ac:dyDescent="0.25">
      <c r="A3532" t="s">
        <v>264</v>
      </c>
      <c r="B3532" t="s">
        <v>230</v>
      </c>
      <c r="C3532" t="s">
        <v>427</v>
      </c>
      <c r="D3532" s="1">
        <v>45173</v>
      </c>
      <c r="E3532" t="s">
        <v>562</v>
      </c>
      <c r="F3532">
        <v>-207.36</v>
      </c>
      <c r="G3532" t="s">
        <v>76</v>
      </c>
      <c r="H3532" t="s">
        <v>77</v>
      </c>
      <c r="I3532" t="s">
        <v>78</v>
      </c>
    </row>
    <row r="3533" spans="1:9" x14ac:dyDescent="0.25">
      <c r="A3533" t="s">
        <v>264</v>
      </c>
      <c r="B3533" t="s">
        <v>230</v>
      </c>
      <c r="C3533" t="s">
        <v>427</v>
      </c>
      <c r="D3533" s="1">
        <v>45170</v>
      </c>
      <c r="E3533" t="s">
        <v>422</v>
      </c>
      <c r="F3533">
        <v>0.1</v>
      </c>
      <c r="G3533" t="s">
        <v>70</v>
      </c>
      <c r="H3533" t="s">
        <v>264</v>
      </c>
      <c r="I3533" t="s">
        <v>72</v>
      </c>
    </row>
    <row r="3534" spans="1:9" x14ac:dyDescent="0.25">
      <c r="A3534" t="s">
        <v>264</v>
      </c>
      <c r="B3534" t="s">
        <v>230</v>
      </c>
      <c r="C3534" t="s">
        <v>427</v>
      </c>
      <c r="D3534" s="1">
        <v>45173</v>
      </c>
      <c r="E3534" t="s">
        <v>422</v>
      </c>
      <c r="F3534">
        <v>372.2</v>
      </c>
      <c r="G3534" t="s">
        <v>70</v>
      </c>
      <c r="H3534" t="s">
        <v>264</v>
      </c>
      <c r="I3534" t="s">
        <v>72</v>
      </c>
    </row>
    <row r="3535" spans="1:9" x14ac:dyDescent="0.25">
      <c r="A3535" t="s">
        <v>264</v>
      </c>
      <c r="B3535" t="s">
        <v>230</v>
      </c>
      <c r="C3535" t="s">
        <v>427</v>
      </c>
      <c r="D3535" s="1">
        <v>45173</v>
      </c>
      <c r="E3535" t="s">
        <v>422</v>
      </c>
      <c r="F3535">
        <v>7.66</v>
      </c>
      <c r="G3535" t="s">
        <v>70</v>
      </c>
      <c r="H3535" t="s">
        <v>264</v>
      </c>
      <c r="I3535" t="s">
        <v>72</v>
      </c>
    </row>
    <row r="3536" spans="1:9" x14ac:dyDescent="0.25">
      <c r="A3536" t="s">
        <v>264</v>
      </c>
      <c r="B3536" t="s">
        <v>230</v>
      </c>
      <c r="C3536" t="s">
        <v>427</v>
      </c>
      <c r="D3536" s="1">
        <v>45173</v>
      </c>
      <c r="E3536" t="s">
        <v>563</v>
      </c>
      <c r="F3536">
        <v>-4.09</v>
      </c>
      <c r="G3536" t="s">
        <v>68</v>
      </c>
      <c r="H3536" t="s">
        <v>69</v>
      </c>
      <c r="I3536" t="s">
        <v>69</v>
      </c>
    </row>
    <row r="3537" spans="1:9" x14ac:dyDescent="0.25">
      <c r="A3537" t="s">
        <v>264</v>
      </c>
      <c r="B3537" t="s">
        <v>230</v>
      </c>
      <c r="C3537" t="s">
        <v>427</v>
      </c>
      <c r="D3537" s="1">
        <v>45173</v>
      </c>
      <c r="E3537" t="s">
        <v>422</v>
      </c>
      <c r="F3537">
        <v>108.67</v>
      </c>
      <c r="G3537" t="s">
        <v>70</v>
      </c>
      <c r="H3537" t="s">
        <v>264</v>
      </c>
      <c r="I3537" t="s">
        <v>72</v>
      </c>
    </row>
    <row r="3538" spans="1:9" x14ac:dyDescent="0.25">
      <c r="A3538" t="s">
        <v>264</v>
      </c>
      <c r="B3538" t="s">
        <v>230</v>
      </c>
      <c r="C3538" t="s">
        <v>427</v>
      </c>
      <c r="D3538" s="1">
        <v>45173</v>
      </c>
      <c r="E3538" t="s">
        <v>564</v>
      </c>
      <c r="F3538">
        <v>-68.900000000000006</v>
      </c>
      <c r="G3538" t="s">
        <v>76</v>
      </c>
      <c r="H3538" t="s">
        <v>77</v>
      </c>
      <c r="I3538" t="s">
        <v>565</v>
      </c>
    </row>
    <row r="3539" spans="1:9" x14ac:dyDescent="0.25">
      <c r="A3539" t="s">
        <v>264</v>
      </c>
      <c r="B3539" t="s">
        <v>230</v>
      </c>
      <c r="C3539" t="s">
        <v>427</v>
      </c>
      <c r="D3539" s="1">
        <v>45174</v>
      </c>
      <c r="E3539" t="s">
        <v>566</v>
      </c>
      <c r="F3539">
        <v>-1.04</v>
      </c>
      <c r="G3539" t="s">
        <v>79</v>
      </c>
      <c r="H3539" t="s">
        <v>80</v>
      </c>
      <c r="I3539" t="s">
        <v>80</v>
      </c>
    </row>
    <row r="3540" spans="1:9" x14ac:dyDescent="0.25">
      <c r="A3540" t="s">
        <v>264</v>
      </c>
      <c r="B3540" t="s">
        <v>230</v>
      </c>
      <c r="C3540" t="s">
        <v>427</v>
      </c>
      <c r="D3540" s="1">
        <v>45174</v>
      </c>
      <c r="E3540" t="s">
        <v>567</v>
      </c>
      <c r="F3540">
        <v>-0.04</v>
      </c>
      <c r="G3540" t="s">
        <v>79</v>
      </c>
      <c r="H3540" t="s">
        <v>80</v>
      </c>
      <c r="I3540" t="s">
        <v>80</v>
      </c>
    </row>
    <row r="3541" spans="1:9" x14ac:dyDescent="0.25">
      <c r="A3541" t="s">
        <v>264</v>
      </c>
      <c r="B3541" t="s">
        <v>230</v>
      </c>
      <c r="C3541" t="s">
        <v>427</v>
      </c>
      <c r="D3541" s="1">
        <v>45176</v>
      </c>
      <c r="E3541" t="s">
        <v>509</v>
      </c>
      <c r="F3541">
        <v>-21.71</v>
      </c>
      <c r="G3541" t="s">
        <v>92</v>
      </c>
      <c r="H3541" t="s">
        <v>510</v>
      </c>
      <c r="I3541" t="s">
        <v>510</v>
      </c>
    </row>
    <row r="3542" spans="1:9" x14ac:dyDescent="0.25">
      <c r="A3542" t="s">
        <v>264</v>
      </c>
      <c r="B3542" t="s">
        <v>230</v>
      </c>
      <c r="C3542" t="s">
        <v>427</v>
      </c>
      <c r="D3542" s="1">
        <v>45174</v>
      </c>
      <c r="E3542" t="s">
        <v>422</v>
      </c>
      <c r="F3542">
        <v>22.3</v>
      </c>
      <c r="G3542" t="s">
        <v>70</v>
      </c>
      <c r="H3542" t="s">
        <v>264</v>
      </c>
      <c r="I3542" t="s">
        <v>72</v>
      </c>
    </row>
    <row r="3543" spans="1:9" x14ac:dyDescent="0.25">
      <c r="A3543" t="s">
        <v>264</v>
      </c>
      <c r="B3543" t="s">
        <v>230</v>
      </c>
      <c r="C3543" t="s">
        <v>427</v>
      </c>
      <c r="D3543" s="1">
        <v>45176</v>
      </c>
      <c r="E3543" t="s">
        <v>486</v>
      </c>
      <c r="F3543">
        <v>-474.67</v>
      </c>
      <c r="G3543" t="s">
        <v>347</v>
      </c>
      <c r="H3543" t="s">
        <v>568</v>
      </c>
      <c r="I3543" t="s">
        <v>568</v>
      </c>
    </row>
    <row r="3544" spans="1:9" x14ac:dyDescent="0.25">
      <c r="A3544" t="s">
        <v>264</v>
      </c>
      <c r="B3544" t="s">
        <v>230</v>
      </c>
      <c r="C3544" t="s">
        <v>427</v>
      </c>
      <c r="D3544" s="1">
        <v>45176</v>
      </c>
      <c r="E3544" t="s">
        <v>486</v>
      </c>
      <c r="F3544">
        <v>-1.18</v>
      </c>
      <c r="G3544" t="s">
        <v>79</v>
      </c>
      <c r="H3544" t="s">
        <v>512</v>
      </c>
      <c r="I3544" t="s">
        <v>512</v>
      </c>
    </row>
    <row r="3545" spans="1:9" x14ac:dyDescent="0.25">
      <c r="A3545" t="s">
        <v>264</v>
      </c>
      <c r="B3545" t="s">
        <v>230</v>
      </c>
      <c r="C3545" t="s">
        <v>427</v>
      </c>
      <c r="D3545" s="1">
        <v>45177</v>
      </c>
      <c r="E3545" t="s">
        <v>422</v>
      </c>
      <c r="F3545">
        <v>1591.66</v>
      </c>
      <c r="G3545" t="s">
        <v>70</v>
      </c>
      <c r="H3545" t="s">
        <v>264</v>
      </c>
      <c r="I3545" t="s">
        <v>72</v>
      </c>
    </row>
    <row r="3546" spans="1:9" x14ac:dyDescent="0.25">
      <c r="A3546" t="s">
        <v>264</v>
      </c>
      <c r="B3546" t="s">
        <v>230</v>
      </c>
      <c r="C3546" t="s">
        <v>427</v>
      </c>
      <c r="D3546" s="1">
        <v>45180</v>
      </c>
      <c r="E3546" t="s">
        <v>569</v>
      </c>
      <c r="F3546">
        <v>-118.55</v>
      </c>
      <c r="G3546" t="s">
        <v>76</v>
      </c>
      <c r="H3546" t="s">
        <v>87</v>
      </c>
      <c r="I3546" t="s">
        <v>88</v>
      </c>
    </row>
    <row r="3547" spans="1:9" x14ac:dyDescent="0.25">
      <c r="A3547" t="s">
        <v>264</v>
      </c>
      <c r="B3547" t="s">
        <v>230</v>
      </c>
      <c r="C3547" t="s">
        <v>427</v>
      </c>
      <c r="D3547" s="1">
        <v>45180</v>
      </c>
      <c r="E3547" t="s">
        <v>570</v>
      </c>
      <c r="F3547">
        <v>-213.8</v>
      </c>
      <c r="G3547" t="s">
        <v>76</v>
      </c>
      <c r="H3547" t="s">
        <v>77</v>
      </c>
      <c r="I3547" t="s">
        <v>78</v>
      </c>
    </row>
    <row r="3548" spans="1:9" x14ac:dyDescent="0.25">
      <c r="A3548" t="s">
        <v>264</v>
      </c>
      <c r="B3548" t="s">
        <v>230</v>
      </c>
      <c r="C3548" t="s">
        <v>427</v>
      </c>
      <c r="D3548" s="1">
        <v>45180</v>
      </c>
      <c r="E3548" t="s">
        <v>570</v>
      </c>
      <c r="F3548">
        <v>-13.81</v>
      </c>
      <c r="G3548" t="s">
        <v>76</v>
      </c>
      <c r="H3548" t="s">
        <v>77</v>
      </c>
      <c r="I3548" t="s">
        <v>78</v>
      </c>
    </row>
    <row r="3549" spans="1:9" x14ac:dyDescent="0.25">
      <c r="A3549" t="s">
        <v>264</v>
      </c>
      <c r="B3549" t="s">
        <v>230</v>
      </c>
      <c r="C3549" t="s">
        <v>427</v>
      </c>
      <c r="D3549" s="1">
        <v>45180</v>
      </c>
      <c r="E3549" t="s">
        <v>570</v>
      </c>
      <c r="F3549">
        <v>-2.31</v>
      </c>
      <c r="G3549" t="s">
        <v>76</v>
      </c>
      <c r="H3549" t="s">
        <v>77</v>
      </c>
      <c r="I3549" t="s">
        <v>78</v>
      </c>
    </row>
    <row r="3550" spans="1:9" x14ac:dyDescent="0.25">
      <c r="A3550" t="s">
        <v>264</v>
      </c>
      <c r="B3550" t="s">
        <v>230</v>
      </c>
      <c r="C3550" t="s">
        <v>427</v>
      </c>
      <c r="D3550" s="1">
        <v>45180</v>
      </c>
      <c r="E3550" t="s">
        <v>570</v>
      </c>
      <c r="F3550">
        <v>-16.78</v>
      </c>
      <c r="G3550" t="s">
        <v>76</v>
      </c>
      <c r="H3550" t="s">
        <v>77</v>
      </c>
      <c r="I3550" t="s">
        <v>78</v>
      </c>
    </row>
    <row r="3551" spans="1:9" x14ac:dyDescent="0.25">
      <c r="A3551" t="s">
        <v>264</v>
      </c>
      <c r="B3551" t="s">
        <v>230</v>
      </c>
      <c r="C3551" t="s">
        <v>427</v>
      </c>
      <c r="D3551" s="1">
        <v>45177</v>
      </c>
      <c r="E3551" t="s">
        <v>422</v>
      </c>
      <c r="F3551">
        <v>278.37</v>
      </c>
      <c r="G3551" t="s">
        <v>70</v>
      </c>
      <c r="H3551" t="s">
        <v>264</v>
      </c>
      <c r="I3551" t="s">
        <v>72</v>
      </c>
    </row>
    <row r="3552" spans="1:9" x14ac:dyDescent="0.25">
      <c r="A3552" t="s">
        <v>264</v>
      </c>
      <c r="B3552" t="s">
        <v>230</v>
      </c>
      <c r="C3552" t="s">
        <v>427</v>
      </c>
      <c r="D3552" s="1">
        <v>45180</v>
      </c>
      <c r="E3552" t="s">
        <v>571</v>
      </c>
      <c r="F3552">
        <v>1.51</v>
      </c>
      <c r="G3552" t="s">
        <v>68</v>
      </c>
      <c r="H3552" t="s">
        <v>69</v>
      </c>
      <c r="I3552" t="s">
        <v>69</v>
      </c>
    </row>
    <row r="3553" spans="1:9" x14ac:dyDescent="0.25">
      <c r="A3553" t="s">
        <v>264</v>
      </c>
      <c r="B3553" t="s">
        <v>230</v>
      </c>
      <c r="C3553" t="s">
        <v>427</v>
      </c>
      <c r="D3553" s="1">
        <v>45180</v>
      </c>
      <c r="E3553" t="s">
        <v>422</v>
      </c>
      <c r="F3553">
        <v>43.89</v>
      </c>
      <c r="G3553" t="s">
        <v>70</v>
      </c>
      <c r="H3553" t="s">
        <v>264</v>
      </c>
      <c r="I3553" t="s">
        <v>72</v>
      </c>
    </row>
    <row r="3554" spans="1:9" x14ac:dyDescent="0.25">
      <c r="A3554" t="s">
        <v>264</v>
      </c>
      <c r="B3554" t="s">
        <v>230</v>
      </c>
      <c r="C3554" t="s">
        <v>427</v>
      </c>
      <c r="D3554" s="1">
        <v>45180</v>
      </c>
      <c r="E3554" t="s">
        <v>422</v>
      </c>
      <c r="F3554">
        <v>704.59</v>
      </c>
      <c r="G3554" t="s">
        <v>70</v>
      </c>
      <c r="H3554" t="s">
        <v>264</v>
      </c>
      <c r="I3554" t="s">
        <v>72</v>
      </c>
    </row>
    <row r="3555" spans="1:9" x14ac:dyDescent="0.25">
      <c r="A3555" t="s">
        <v>264</v>
      </c>
      <c r="B3555" t="s">
        <v>230</v>
      </c>
      <c r="C3555" t="s">
        <v>427</v>
      </c>
      <c r="D3555" s="1">
        <v>45180</v>
      </c>
      <c r="E3555" t="s">
        <v>517</v>
      </c>
      <c r="F3555">
        <v>-368.71</v>
      </c>
      <c r="G3555" t="s">
        <v>76</v>
      </c>
      <c r="H3555" t="s">
        <v>82</v>
      </c>
      <c r="I3555" t="s">
        <v>83</v>
      </c>
    </row>
    <row r="3556" spans="1:9" x14ac:dyDescent="0.25">
      <c r="A3556" t="s">
        <v>264</v>
      </c>
      <c r="B3556" t="s">
        <v>230</v>
      </c>
      <c r="C3556" t="s">
        <v>427</v>
      </c>
      <c r="D3556" s="1">
        <v>45180</v>
      </c>
      <c r="E3556" t="s">
        <v>517</v>
      </c>
      <c r="F3556">
        <v>-60.05</v>
      </c>
      <c r="G3556" t="s">
        <v>76</v>
      </c>
      <c r="H3556" t="s">
        <v>82</v>
      </c>
      <c r="I3556" t="s">
        <v>83</v>
      </c>
    </row>
    <row r="3557" spans="1:9" x14ac:dyDescent="0.25">
      <c r="A3557" t="s">
        <v>264</v>
      </c>
      <c r="B3557" t="s">
        <v>230</v>
      </c>
      <c r="C3557" t="s">
        <v>427</v>
      </c>
      <c r="D3557" s="1">
        <v>45180</v>
      </c>
      <c r="E3557" t="s">
        <v>571</v>
      </c>
      <c r="F3557">
        <v>-82.83</v>
      </c>
      <c r="G3557" t="s">
        <v>76</v>
      </c>
      <c r="H3557" t="s">
        <v>87</v>
      </c>
      <c r="I3557" t="s">
        <v>88</v>
      </c>
    </row>
    <row r="3558" spans="1:9" x14ac:dyDescent="0.25">
      <c r="A3558" t="s">
        <v>264</v>
      </c>
      <c r="B3558" t="s">
        <v>230</v>
      </c>
      <c r="C3558" t="s">
        <v>427</v>
      </c>
      <c r="D3558" s="1">
        <v>45180</v>
      </c>
      <c r="E3558" t="s">
        <v>572</v>
      </c>
      <c r="F3558">
        <v>-2.2599999999999998</v>
      </c>
      <c r="G3558" t="s">
        <v>76</v>
      </c>
      <c r="H3558" t="s">
        <v>82</v>
      </c>
      <c r="I3558" t="s">
        <v>83</v>
      </c>
    </row>
    <row r="3559" spans="1:9" x14ac:dyDescent="0.25">
      <c r="A3559" t="s">
        <v>264</v>
      </c>
      <c r="B3559" t="s">
        <v>230</v>
      </c>
      <c r="C3559" t="s">
        <v>427</v>
      </c>
      <c r="D3559" s="1">
        <v>45180</v>
      </c>
      <c r="E3559" t="s">
        <v>573</v>
      </c>
      <c r="F3559">
        <v>-37.01</v>
      </c>
      <c r="G3559" t="s">
        <v>68</v>
      </c>
      <c r="H3559" t="s">
        <v>69</v>
      </c>
      <c r="I3559" t="s">
        <v>69</v>
      </c>
    </row>
    <row r="3560" spans="1:9" x14ac:dyDescent="0.25">
      <c r="A3560" t="s">
        <v>264</v>
      </c>
      <c r="B3560" t="s">
        <v>230</v>
      </c>
      <c r="C3560" t="s">
        <v>427</v>
      </c>
      <c r="D3560" s="1">
        <v>45180</v>
      </c>
      <c r="E3560" t="s">
        <v>422</v>
      </c>
      <c r="F3560">
        <v>0.2</v>
      </c>
      <c r="G3560" t="s">
        <v>70</v>
      </c>
      <c r="H3560" t="s">
        <v>264</v>
      </c>
      <c r="I3560" t="s">
        <v>72</v>
      </c>
    </row>
    <row r="3561" spans="1:9" x14ac:dyDescent="0.25">
      <c r="A3561" t="s">
        <v>264</v>
      </c>
      <c r="B3561" t="s">
        <v>230</v>
      </c>
      <c r="C3561" t="s">
        <v>427</v>
      </c>
      <c r="D3561" s="1">
        <v>45180</v>
      </c>
      <c r="E3561" t="s">
        <v>422</v>
      </c>
      <c r="F3561">
        <v>41.82</v>
      </c>
      <c r="G3561" t="s">
        <v>70</v>
      </c>
      <c r="H3561" t="s">
        <v>264</v>
      </c>
      <c r="I3561" t="s">
        <v>72</v>
      </c>
    </row>
    <row r="3562" spans="1:9" x14ac:dyDescent="0.25">
      <c r="A3562" t="s">
        <v>264</v>
      </c>
      <c r="B3562" t="s">
        <v>230</v>
      </c>
      <c r="C3562" t="s">
        <v>427</v>
      </c>
      <c r="D3562" s="1">
        <v>45180</v>
      </c>
      <c r="E3562" t="s">
        <v>422</v>
      </c>
      <c r="F3562">
        <v>117.68</v>
      </c>
      <c r="G3562" t="s">
        <v>70</v>
      </c>
      <c r="H3562" t="s">
        <v>264</v>
      </c>
      <c r="I3562" t="s">
        <v>72</v>
      </c>
    </row>
    <row r="3563" spans="1:9" x14ac:dyDescent="0.25">
      <c r="A3563" t="s">
        <v>264</v>
      </c>
      <c r="B3563" t="s">
        <v>230</v>
      </c>
      <c r="C3563" t="s">
        <v>427</v>
      </c>
      <c r="D3563" s="1">
        <v>45180</v>
      </c>
      <c r="E3563" t="s">
        <v>574</v>
      </c>
      <c r="F3563">
        <v>-11.57</v>
      </c>
      <c r="G3563" t="s">
        <v>89</v>
      </c>
      <c r="H3563" t="s">
        <v>90</v>
      </c>
      <c r="I3563" t="s">
        <v>98</v>
      </c>
    </row>
    <row r="3564" spans="1:9" x14ac:dyDescent="0.25">
      <c r="A3564" t="s">
        <v>264</v>
      </c>
      <c r="B3564" t="s">
        <v>230</v>
      </c>
      <c r="C3564" t="s">
        <v>427</v>
      </c>
      <c r="D3564" s="1">
        <v>45180</v>
      </c>
      <c r="E3564" t="s">
        <v>575</v>
      </c>
      <c r="F3564">
        <v>-60.15</v>
      </c>
      <c r="G3564" t="s">
        <v>73</v>
      </c>
      <c r="H3564" t="s">
        <v>576</v>
      </c>
      <c r="I3564" t="s">
        <v>576</v>
      </c>
    </row>
    <row r="3565" spans="1:9" x14ac:dyDescent="0.25">
      <c r="A3565" t="s">
        <v>264</v>
      </c>
      <c r="B3565" t="s">
        <v>230</v>
      </c>
      <c r="C3565" t="s">
        <v>427</v>
      </c>
      <c r="D3565" s="1">
        <v>45180</v>
      </c>
      <c r="E3565" t="s">
        <v>566</v>
      </c>
      <c r="F3565">
        <v>-64.33</v>
      </c>
      <c r="G3565" t="s">
        <v>79</v>
      </c>
      <c r="H3565" t="s">
        <v>80</v>
      </c>
      <c r="I3565" t="s">
        <v>80</v>
      </c>
    </row>
    <row r="3566" spans="1:9" x14ac:dyDescent="0.25">
      <c r="A3566" t="s">
        <v>264</v>
      </c>
      <c r="B3566" t="s">
        <v>230</v>
      </c>
      <c r="C3566" t="s">
        <v>427</v>
      </c>
      <c r="D3566" s="1">
        <v>45180</v>
      </c>
      <c r="E3566" t="s">
        <v>567</v>
      </c>
      <c r="F3566">
        <v>-0.11</v>
      </c>
      <c r="G3566" t="s">
        <v>79</v>
      </c>
      <c r="H3566" t="s">
        <v>80</v>
      </c>
      <c r="I3566" t="s">
        <v>80</v>
      </c>
    </row>
    <row r="3567" spans="1:9" x14ac:dyDescent="0.25">
      <c r="A3567" t="s">
        <v>264</v>
      </c>
      <c r="B3567" t="s">
        <v>230</v>
      </c>
      <c r="C3567" t="s">
        <v>427</v>
      </c>
      <c r="D3567" s="1">
        <v>45180</v>
      </c>
      <c r="E3567" t="s">
        <v>577</v>
      </c>
      <c r="F3567">
        <v>-7.46</v>
      </c>
      <c r="G3567" t="s">
        <v>76</v>
      </c>
      <c r="H3567" t="s">
        <v>87</v>
      </c>
      <c r="I3567" t="s">
        <v>88</v>
      </c>
    </row>
    <row r="3568" spans="1:9" x14ac:dyDescent="0.25">
      <c r="A3568" t="s">
        <v>264</v>
      </c>
      <c r="B3568" t="s">
        <v>230</v>
      </c>
      <c r="C3568" t="s">
        <v>427</v>
      </c>
      <c r="D3568" s="1">
        <v>45182</v>
      </c>
      <c r="E3568" t="s">
        <v>534</v>
      </c>
      <c r="F3568">
        <v>-156.54</v>
      </c>
      <c r="G3568" t="s">
        <v>79</v>
      </c>
      <c r="H3568" t="s">
        <v>81</v>
      </c>
      <c r="I3568" t="s">
        <v>81</v>
      </c>
    </row>
    <row r="3569" spans="1:9" x14ac:dyDescent="0.25">
      <c r="A3569" t="s">
        <v>264</v>
      </c>
      <c r="B3569" t="s">
        <v>230</v>
      </c>
      <c r="C3569" t="s">
        <v>427</v>
      </c>
      <c r="D3569" s="1">
        <v>45182</v>
      </c>
      <c r="E3569" t="s">
        <v>578</v>
      </c>
      <c r="F3569">
        <v>-44.84</v>
      </c>
      <c r="G3569" t="s">
        <v>68</v>
      </c>
      <c r="H3569" t="s">
        <v>69</v>
      </c>
      <c r="I3569" t="s">
        <v>69</v>
      </c>
    </row>
    <row r="3570" spans="1:9" x14ac:dyDescent="0.25">
      <c r="A3570" t="s">
        <v>264</v>
      </c>
      <c r="B3570" t="s">
        <v>230</v>
      </c>
      <c r="C3570" t="s">
        <v>427</v>
      </c>
      <c r="D3570" s="1">
        <v>45181</v>
      </c>
      <c r="E3570" t="s">
        <v>422</v>
      </c>
      <c r="F3570">
        <v>8.4700000000000006</v>
      </c>
      <c r="G3570" t="s">
        <v>70</v>
      </c>
      <c r="H3570" t="s">
        <v>264</v>
      </c>
      <c r="I3570" t="s">
        <v>72</v>
      </c>
    </row>
    <row r="3571" spans="1:9" x14ac:dyDescent="0.25">
      <c r="A3571" t="s">
        <v>264</v>
      </c>
      <c r="B3571" t="s">
        <v>230</v>
      </c>
      <c r="C3571" t="s">
        <v>427</v>
      </c>
      <c r="D3571" s="1">
        <v>45183</v>
      </c>
      <c r="E3571" t="s">
        <v>422</v>
      </c>
      <c r="F3571">
        <v>62.67</v>
      </c>
      <c r="G3571" t="s">
        <v>70</v>
      </c>
      <c r="H3571" t="s">
        <v>264</v>
      </c>
      <c r="I3571" t="s">
        <v>72</v>
      </c>
    </row>
    <row r="3572" spans="1:9" x14ac:dyDescent="0.25">
      <c r="A3572" t="s">
        <v>264</v>
      </c>
      <c r="B3572" t="s">
        <v>230</v>
      </c>
      <c r="C3572" t="s">
        <v>427</v>
      </c>
      <c r="D3572" s="1">
        <v>45183</v>
      </c>
      <c r="E3572" t="s">
        <v>555</v>
      </c>
      <c r="F3572">
        <v>-60.59</v>
      </c>
      <c r="G3572" t="s">
        <v>68</v>
      </c>
      <c r="H3572" t="s">
        <v>69</v>
      </c>
      <c r="I3572" t="s">
        <v>69</v>
      </c>
    </row>
    <row r="3573" spans="1:9" x14ac:dyDescent="0.25">
      <c r="A3573" t="s">
        <v>264</v>
      </c>
      <c r="B3573" t="s">
        <v>230</v>
      </c>
      <c r="C3573" t="s">
        <v>427</v>
      </c>
      <c r="D3573" s="1">
        <v>45182</v>
      </c>
      <c r="E3573" t="s">
        <v>422</v>
      </c>
      <c r="F3573">
        <v>209.23</v>
      </c>
      <c r="G3573" t="s">
        <v>70</v>
      </c>
      <c r="H3573" t="s">
        <v>264</v>
      </c>
      <c r="I3573" t="s">
        <v>72</v>
      </c>
    </row>
    <row r="3574" spans="1:9" x14ac:dyDescent="0.25">
      <c r="A3574" t="s">
        <v>264</v>
      </c>
      <c r="B3574" t="s">
        <v>230</v>
      </c>
      <c r="C3574" t="s">
        <v>427</v>
      </c>
      <c r="D3574" s="1">
        <v>45187</v>
      </c>
      <c r="E3574" t="s">
        <v>480</v>
      </c>
      <c r="F3574">
        <v>-64.17</v>
      </c>
      <c r="G3574" t="s">
        <v>76</v>
      </c>
      <c r="H3574" t="s">
        <v>82</v>
      </c>
      <c r="I3574" t="s">
        <v>83</v>
      </c>
    </row>
    <row r="3575" spans="1:9" x14ac:dyDescent="0.25">
      <c r="A3575" t="s">
        <v>264</v>
      </c>
      <c r="B3575" t="s">
        <v>230</v>
      </c>
      <c r="C3575" t="s">
        <v>427</v>
      </c>
      <c r="D3575" s="1">
        <v>45187</v>
      </c>
      <c r="E3575" t="s">
        <v>422</v>
      </c>
      <c r="F3575">
        <v>174.78</v>
      </c>
      <c r="G3575" t="s">
        <v>70</v>
      </c>
      <c r="H3575" t="s">
        <v>264</v>
      </c>
      <c r="I3575" t="s">
        <v>72</v>
      </c>
    </row>
    <row r="3576" spans="1:9" x14ac:dyDescent="0.25">
      <c r="A3576" t="s">
        <v>264</v>
      </c>
      <c r="B3576" t="s">
        <v>230</v>
      </c>
      <c r="C3576" t="s">
        <v>427</v>
      </c>
      <c r="D3576" s="1">
        <v>45187</v>
      </c>
      <c r="E3576" t="s">
        <v>465</v>
      </c>
      <c r="F3576">
        <v>-171.27</v>
      </c>
      <c r="G3576" t="s">
        <v>212</v>
      </c>
      <c r="H3576" t="s">
        <v>213</v>
      </c>
      <c r="I3576" t="s">
        <v>214</v>
      </c>
    </row>
    <row r="3577" spans="1:9" x14ac:dyDescent="0.25">
      <c r="A3577" t="s">
        <v>264</v>
      </c>
      <c r="B3577" t="s">
        <v>230</v>
      </c>
      <c r="C3577" t="s">
        <v>427</v>
      </c>
      <c r="D3577" s="1">
        <v>45187</v>
      </c>
      <c r="E3577" t="s">
        <v>579</v>
      </c>
      <c r="F3577">
        <v>-16.670000000000002</v>
      </c>
      <c r="G3577" t="s">
        <v>76</v>
      </c>
      <c r="H3577" t="s">
        <v>87</v>
      </c>
      <c r="I3577" t="s">
        <v>88</v>
      </c>
    </row>
    <row r="3578" spans="1:9" x14ac:dyDescent="0.25">
      <c r="A3578" t="s">
        <v>264</v>
      </c>
      <c r="B3578" t="s">
        <v>230</v>
      </c>
      <c r="C3578" t="s">
        <v>427</v>
      </c>
      <c r="D3578" s="1">
        <v>45187</v>
      </c>
      <c r="E3578" t="s">
        <v>428</v>
      </c>
      <c r="F3578">
        <v>-106.3</v>
      </c>
      <c r="G3578" t="s">
        <v>68</v>
      </c>
      <c r="H3578" t="s">
        <v>69</v>
      </c>
      <c r="I3578" t="s">
        <v>69</v>
      </c>
    </row>
    <row r="3579" spans="1:9" x14ac:dyDescent="0.25">
      <c r="A3579" t="s">
        <v>264</v>
      </c>
      <c r="B3579" t="s">
        <v>230</v>
      </c>
      <c r="C3579" t="s">
        <v>427</v>
      </c>
      <c r="D3579" s="1">
        <v>45187</v>
      </c>
      <c r="E3579" t="s">
        <v>475</v>
      </c>
      <c r="F3579">
        <v>-17.97</v>
      </c>
      <c r="G3579" t="s">
        <v>92</v>
      </c>
      <c r="H3579" t="s">
        <v>93</v>
      </c>
      <c r="I3579" t="s">
        <v>94</v>
      </c>
    </row>
    <row r="3580" spans="1:9" x14ac:dyDescent="0.25">
      <c r="A3580" t="s">
        <v>264</v>
      </c>
      <c r="B3580" t="s">
        <v>230</v>
      </c>
      <c r="C3580" t="s">
        <v>427</v>
      </c>
      <c r="D3580" s="1">
        <v>45187</v>
      </c>
      <c r="E3580" t="s">
        <v>530</v>
      </c>
      <c r="F3580">
        <v>-24.88</v>
      </c>
      <c r="G3580" t="s">
        <v>212</v>
      </c>
      <c r="H3580" t="s">
        <v>213</v>
      </c>
      <c r="I3580" t="s">
        <v>214</v>
      </c>
    </row>
    <row r="3581" spans="1:9" x14ac:dyDescent="0.25">
      <c r="A3581" t="s">
        <v>264</v>
      </c>
      <c r="B3581" t="s">
        <v>230</v>
      </c>
      <c r="C3581" t="s">
        <v>427</v>
      </c>
      <c r="D3581" s="1">
        <v>45184</v>
      </c>
      <c r="E3581" t="s">
        <v>422</v>
      </c>
      <c r="F3581">
        <v>24.01</v>
      </c>
      <c r="G3581" t="s">
        <v>70</v>
      </c>
      <c r="H3581" t="s">
        <v>264</v>
      </c>
      <c r="I3581" t="s">
        <v>72</v>
      </c>
    </row>
    <row r="3582" spans="1:9" x14ac:dyDescent="0.25">
      <c r="A3582" t="s">
        <v>264</v>
      </c>
      <c r="B3582" t="s">
        <v>230</v>
      </c>
      <c r="C3582" t="s">
        <v>427</v>
      </c>
      <c r="D3582" s="1">
        <v>45187</v>
      </c>
      <c r="E3582" t="s">
        <v>422</v>
      </c>
      <c r="F3582">
        <v>657.15</v>
      </c>
      <c r="G3582" t="s">
        <v>70</v>
      </c>
      <c r="H3582" t="s">
        <v>264</v>
      </c>
      <c r="I3582" t="s">
        <v>72</v>
      </c>
    </row>
    <row r="3583" spans="1:9" x14ac:dyDescent="0.25">
      <c r="A3583" t="s">
        <v>264</v>
      </c>
      <c r="B3583" t="s">
        <v>230</v>
      </c>
      <c r="C3583" t="s">
        <v>427</v>
      </c>
      <c r="D3583" s="1">
        <v>45187</v>
      </c>
      <c r="E3583" t="s">
        <v>580</v>
      </c>
      <c r="F3583">
        <v>-496.9</v>
      </c>
      <c r="G3583" t="s">
        <v>79</v>
      </c>
      <c r="H3583" t="s">
        <v>96</v>
      </c>
      <c r="I3583" t="s">
        <v>96</v>
      </c>
    </row>
    <row r="3584" spans="1:9" x14ac:dyDescent="0.25">
      <c r="A3584" t="s">
        <v>264</v>
      </c>
      <c r="B3584" t="s">
        <v>230</v>
      </c>
      <c r="C3584" t="s">
        <v>427</v>
      </c>
      <c r="D3584" s="1">
        <v>45187</v>
      </c>
      <c r="E3584" t="s">
        <v>475</v>
      </c>
      <c r="F3584">
        <v>-1.76</v>
      </c>
      <c r="G3584" t="s">
        <v>92</v>
      </c>
      <c r="H3584" t="s">
        <v>93</v>
      </c>
      <c r="I3584" t="s">
        <v>94</v>
      </c>
    </row>
    <row r="3585" spans="1:9" x14ac:dyDescent="0.25">
      <c r="A3585" t="s">
        <v>264</v>
      </c>
      <c r="B3585" t="s">
        <v>230</v>
      </c>
      <c r="C3585" t="s">
        <v>427</v>
      </c>
      <c r="D3585" s="1">
        <v>45190</v>
      </c>
      <c r="E3585" t="s">
        <v>486</v>
      </c>
      <c r="F3585">
        <v>-178.03</v>
      </c>
      <c r="G3585" t="s">
        <v>350</v>
      </c>
      <c r="H3585" t="s">
        <v>487</v>
      </c>
      <c r="I3585" t="s">
        <v>487</v>
      </c>
    </row>
    <row r="3586" spans="1:9" x14ac:dyDescent="0.25">
      <c r="A3586" t="s">
        <v>264</v>
      </c>
      <c r="B3586" t="s">
        <v>230</v>
      </c>
      <c r="C3586" t="s">
        <v>427</v>
      </c>
      <c r="D3586" s="1">
        <v>45190</v>
      </c>
      <c r="E3586" t="s">
        <v>486</v>
      </c>
      <c r="F3586">
        <v>-122.14</v>
      </c>
      <c r="G3586" t="s">
        <v>79</v>
      </c>
      <c r="H3586" t="s">
        <v>95</v>
      </c>
      <c r="I3586" t="s">
        <v>95</v>
      </c>
    </row>
    <row r="3587" spans="1:9" x14ac:dyDescent="0.25">
      <c r="A3587" t="s">
        <v>264</v>
      </c>
      <c r="B3587" t="s">
        <v>230</v>
      </c>
      <c r="C3587" t="s">
        <v>427</v>
      </c>
      <c r="D3587" s="1">
        <v>45190</v>
      </c>
      <c r="E3587" t="s">
        <v>486</v>
      </c>
      <c r="F3587">
        <v>-46.39</v>
      </c>
      <c r="G3587" t="s">
        <v>73</v>
      </c>
      <c r="H3587" t="s">
        <v>487</v>
      </c>
      <c r="I3587" t="s">
        <v>487</v>
      </c>
    </row>
    <row r="3588" spans="1:9" x14ac:dyDescent="0.25">
      <c r="A3588" t="s">
        <v>264</v>
      </c>
      <c r="B3588" t="s">
        <v>230</v>
      </c>
      <c r="C3588" t="s">
        <v>427</v>
      </c>
      <c r="D3588" s="1">
        <v>45191</v>
      </c>
      <c r="E3588" t="s">
        <v>422</v>
      </c>
      <c r="F3588">
        <v>15.5</v>
      </c>
      <c r="G3588" t="s">
        <v>70</v>
      </c>
      <c r="H3588" t="s">
        <v>264</v>
      </c>
      <c r="I3588" t="s">
        <v>72</v>
      </c>
    </row>
    <row r="3589" spans="1:9" x14ac:dyDescent="0.25">
      <c r="A3589" t="s">
        <v>264</v>
      </c>
      <c r="B3589" t="s">
        <v>230</v>
      </c>
      <c r="C3589" t="s">
        <v>427</v>
      </c>
      <c r="D3589" s="1">
        <v>45191</v>
      </c>
      <c r="E3589" t="s">
        <v>428</v>
      </c>
      <c r="F3589">
        <v>-20.27</v>
      </c>
      <c r="G3589" t="s">
        <v>68</v>
      </c>
      <c r="H3589" t="s">
        <v>69</v>
      </c>
      <c r="I3589" t="s">
        <v>69</v>
      </c>
    </row>
    <row r="3590" spans="1:9" x14ac:dyDescent="0.25">
      <c r="A3590" t="s">
        <v>264</v>
      </c>
      <c r="B3590" t="s">
        <v>230</v>
      </c>
      <c r="C3590" t="s">
        <v>427</v>
      </c>
      <c r="D3590" s="1">
        <v>45190</v>
      </c>
      <c r="E3590" t="s">
        <v>422</v>
      </c>
      <c r="F3590">
        <v>492.41</v>
      </c>
      <c r="G3590" t="s">
        <v>70</v>
      </c>
      <c r="H3590" t="s">
        <v>264</v>
      </c>
      <c r="I3590" t="s">
        <v>72</v>
      </c>
    </row>
    <row r="3591" spans="1:9" x14ac:dyDescent="0.25">
      <c r="A3591" t="s">
        <v>264</v>
      </c>
      <c r="B3591" t="s">
        <v>230</v>
      </c>
      <c r="C3591" t="s">
        <v>427</v>
      </c>
      <c r="D3591" s="1">
        <v>45194</v>
      </c>
      <c r="E3591" t="s">
        <v>422</v>
      </c>
      <c r="F3591">
        <v>9.6199999999999992</v>
      </c>
      <c r="G3591" t="s">
        <v>70</v>
      </c>
      <c r="H3591" t="s">
        <v>264</v>
      </c>
      <c r="I3591" t="s">
        <v>72</v>
      </c>
    </row>
    <row r="3592" spans="1:9" x14ac:dyDescent="0.25">
      <c r="A3592" t="s">
        <v>264</v>
      </c>
      <c r="B3592" t="s">
        <v>230</v>
      </c>
      <c r="C3592" t="s">
        <v>427</v>
      </c>
      <c r="D3592" s="1">
        <v>45194</v>
      </c>
      <c r="E3592" t="s">
        <v>581</v>
      </c>
      <c r="F3592">
        <v>-114.62</v>
      </c>
      <c r="G3592" t="s">
        <v>212</v>
      </c>
      <c r="H3592" t="s">
        <v>213</v>
      </c>
      <c r="I3592" t="s">
        <v>559</v>
      </c>
    </row>
    <row r="3593" spans="1:9" x14ac:dyDescent="0.25">
      <c r="A3593" t="s">
        <v>264</v>
      </c>
      <c r="B3593" t="s">
        <v>230</v>
      </c>
      <c r="C3593" t="s">
        <v>427</v>
      </c>
      <c r="D3593" s="1">
        <v>45194</v>
      </c>
      <c r="E3593" t="s">
        <v>582</v>
      </c>
      <c r="F3593">
        <v>-63.77</v>
      </c>
      <c r="G3593" t="s">
        <v>212</v>
      </c>
      <c r="H3593" t="s">
        <v>213</v>
      </c>
      <c r="I3593" t="s">
        <v>214</v>
      </c>
    </row>
    <row r="3594" spans="1:9" x14ac:dyDescent="0.25">
      <c r="A3594" t="s">
        <v>264</v>
      </c>
      <c r="B3594" t="s">
        <v>230</v>
      </c>
      <c r="C3594" t="s">
        <v>427</v>
      </c>
      <c r="D3594" s="1">
        <v>45194</v>
      </c>
      <c r="E3594" t="s">
        <v>422</v>
      </c>
      <c r="F3594">
        <v>19.3</v>
      </c>
      <c r="G3594" t="s">
        <v>70</v>
      </c>
      <c r="H3594" t="s">
        <v>264</v>
      </c>
      <c r="I3594" t="s">
        <v>72</v>
      </c>
    </row>
    <row r="3595" spans="1:9" x14ac:dyDescent="0.25">
      <c r="A3595" t="s">
        <v>264</v>
      </c>
      <c r="B3595" t="s">
        <v>230</v>
      </c>
      <c r="C3595" t="s">
        <v>427</v>
      </c>
      <c r="D3595" s="1">
        <v>45195</v>
      </c>
      <c r="E3595" t="s">
        <v>422</v>
      </c>
      <c r="F3595">
        <v>2.89</v>
      </c>
      <c r="G3595" t="s">
        <v>70</v>
      </c>
      <c r="H3595" t="s">
        <v>264</v>
      </c>
      <c r="I3595" t="s">
        <v>72</v>
      </c>
    </row>
    <row r="3596" spans="1:9" x14ac:dyDescent="0.25">
      <c r="A3596" t="s">
        <v>264</v>
      </c>
      <c r="B3596" t="s">
        <v>230</v>
      </c>
      <c r="C3596" t="s">
        <v>427</v>
      </c>
      <c r="D3596" s="1">
        <v>45195</v>
      </c>
      <c r="E3596" t="s">
        <v>578</v>
      </c>
      <c r="F3596">
        <v>-67.09</v>
      </c>
      <c r="G3596" t="s">
        <v>68</v>
      </c>
      <c r="H3596" t="s">
        <v>69</v>
      </c>
      <c r="I3596" t="s">
        <v>69</v>
      </c>
    </row>
    <row r="3597" spans="1:9" x14ac:dyDescent="0.25">
      <c r="A3597" t="s">
        <v>264</v>
      </c>
      <c r="B3597" t="s">
        <v>230</v>
      </c>
      <c r="C3597" t="s">
        <v>427</v>
      </c>
      <c r="D3597" s="1">
        <v>45194</v>
      </c>
      <c r="E3597" t="s">
        <v>583</v>
      </c>
      <c r="F3597">
        <v>-9.4499999999999993</v>
      </c>
      <c r="G3597" t="s">
        <v>467</v>
      </c>
      <c r="H3597" t="s">
        <v>468</v>
      </c>
      <c r="I3597" t="s">
        <v>467</v>
      </c>
    </row>
    <row r="3598" spans="1:9" x14ac:dyDescent="0.25">
      <c r="A3598" t="s">
        <v>264</v>
      </c>
      <c r="B3598" t="s">
        <v>230</v>
      </c>
      <c r="C3598" t="s">
        <v>427</v>
      </c>
      <c r="D3598" s="1">
        <v>45197</v>
      </c>
      <c r="E3598" t="s">
        <v>445</v>
      </c>
      <c r="F3598">
        <v>-0.02</v>
      </c>
      <c r="G3598" t="s">
        <v>84</v>
      </c>
      <c r="H3598" t="s">
        <v>85</v>
      </c>
      <c r="I3598" t="s">
        <v>86</v>
      </c>
    </row>
    <row r="3599" spans="1:9" x14ac:dyDescent="0.25">
      <c r="A3599" t="s">
        <v>264</v>
      </c>
      <c r="B3599" t="s">
        <v>230</v>
      </c>
      <c r="C3599" t="s">
        <v>427</v>
      </c>
      <c r="D3599" s="1">
        <v>45197</v>
      </c>
      <c r="E3599" t="s">
        <v>446</v>
      </c>
      <c r="F3599">
        <v>-0.19</v>
      </c>
      <c r="G3599" t="s">
        <v>84</v>
      </c>
      <c r="H3599" t="s">
        <v>85</v>
      </c>
      <c r="I3599" t="s">
        <v>86</v>
      </c>
    </row>
    <row r="3600" spans="1:9" x14ac:dyDescent="0.25">
      <c r="A3600" t="s">
        <v>264</v>
      </c>
      <c r="B3600" t="s">
        <v>230</v>
      </c>
      <c r="C3600" t="s">
        <v>427</v>
      </c>
      <c r="D3600" s="1">
        <v>45197</v>
      </c>
      <c r="E3600" t="s">
        <v>584</v>
      </c>
      <c r="F3600">
        <v>-20.22</v>
      </c>
      <c r="G3600" t="s">
        <v>92</v>
      </c>
      <c r="H3600" t="s">
        <v>104</v>
      </c>
      <c r="I3600" t="s">
        <v>104</v>
      </c>
    </row>
    <row r="3601" spans="1:9" x14ac:dyDescent="0.25">
      <c r="A3601" t="s">
        <v>264</v>
      </c>
      <c r="B3601" t="s">
        <v>230</v>
      </c>
      <c r="C3601" t="s">
        <v>427</v>
      </c>
      <c r="D3601" s="1">
        <v>45196</v>
      </c>
      <c r="E3601" t="s">
        <v>438</v>
      </c>
      <c r="F3601">
        <v>-75.849999999999994</v>
      </c>
      <c r="G3601" t="s">
        <v>68</v>
      </c>
      <c r="H3601" t="s">
        <v>69</v>
      </c>
      <c r="I3601" t="s">
        <v>69</v>
      </c>
    </row>
    <row r="3602" spans="1:9" x14ac:dyDescent="0.25">
      <c r="A3602" t="s">
        <v>264</v>
      </c>
      <c r="B3602" t="s">
        <v>230</v>
      </c>
      <c r="C3602" t="s">
        <v>427</v>
      </c>
      <c r="D3602" s="1">
        <v>45195</v>
      </c>
      <c r="E3602" t="s">
        <v>422</v>
      </c>
      <c r="F3602">
        <v>34.93</v>
      </c>
      <c r="G3602" t="s">
        <v>70</v>
      </c>
      <c r="H3602" t="s">
        <v>264</v>
      </c>
      <c r="I3602" t="s">
        <v>72</v>
      </c>
    </row>
    <row r="3603" spans="1:9" x14ac:dyDescent="0.25">
      <c r="A3603" t="s">
        <v>264</v>
      </c>
      <c r="B3603" t="s">
        <v>230</v>
      </c>
      <c r="C3603" t="s">
        <v>427</v>
      </c>
      <c r="D3603" s="1">
        <v>45195</v>
      </c>
      <c r="E3603" t="s">
        <v>422</v>
      </c>
      <c r="F3603">
        <v>70.040000000000006</v>
      </c>
      <c r="G3603" t="s">
        <v>70</v>
      </c>
      <c r="H3603" t="s">
        <v>264</v>
      </c>
      <c r="I3603" t="s">
        <v>72</v>
      </c>
    </row>
    <row r="3604" spans="1:9" x14ac:dyDescent="0.25">
      <c r="A3604" t="s">
        <v>264</v>
      </c>
      <c r="B3604" t="s">
        <v>230</v>
      </c>
      <c r="C3604" t="s">
        <v>427</v>
      </c>
      <c r="D3604" s="1">
        <v>45196</v>
      </c>
      <c r="E3604" t="s">
        <v>422</v>
      </c>
      <c r="F3604">
        <v>15.84</v>
      </c>
      <c r="G3604" t="s">
        <v>70</v>
      </c>
      <c r="H3604" t="s">
        <v>264</v>
      </c>
      <c r="I3604" t="s">
        <v>72</v>
      </c>
    </row>
    <row r="3605" spans="1:9" x14ac:dyDescent="0.25">
      <c r="A3605" t="s">
        <v>264</v>
      </c>
      <c r="B3605" t="s">
        <v>230</v>
      </c>
      <c r="C3605" t="s">
        <v>427</v>
      </c>
      <c r="D3605" s="1">
        <v>45198</v>
      </c>
      <c r="E3605" t="s">
        <v>422</v>
      </c>
      <c r="F3605">
        <v>0.1</v>
      </c>
      <c r="G3605" t="s">
        <v>70</v>
      </c>
      <c r="H3605" t="s">
        <v>264</v>
      </c>
      <c r="I3605" t="s">
        <v>72</v>
      </c>
    </row>
    <row r="3606" spans="1:9" x14ac:dyDescent="0.25">
      <c r="A3606" t="s">
        <v>264</v>
      </c>
      <c r="B3606" t="s">
        <v>230</v>
      </c>
      <c r="C3606" t="s">
        <v>427</v>
      </c>
      <c r="D3606" s="1">
        <v>45201</v>
      </c>
      <c r="E3606" t="s">
        <v>422</v>
      </c>
      <c r="F3606">
        <v>18.86</v>
      </c>
      <c r="G3606" t="s">
        <v>70</v>
      </c>
      <c r="H3606" t="s">
        <v>264</v>
      </c>
      <c r="I3606" t="s">
        <v>72</v>
      </c>
    </row>
    <row r="3607" spans="1:9" x14ac:dyDescent="0.25">
      <c r="A3607" t="s">
        <v>264</v>
      </c>
      <c r="B3607" t="s">
        <v>230</v>
      </c>
      <c r="C3607" t="s">
        <v>427</v>
      </c>
      <c r="D3607" s="1">
        <v>45201</v>
      </c>
      <c r="E3607" t="s">
        <v>438</v>
      </c>
      <c r="F3607">
        <v>-7.76</v>
      </c>
      <c r="G3607" t="s">
        <v>68</v>
      </c>
      <c r="H3607" t="s">
        <v>69</v>
      </c>
      <c r="I3607" t="s">
        <v>69</v>
      </c>
    </row>
    <row r="3608" spans="1:9" x14ac:dyDescent="0.25">
      <c r="A3608" t="s">
        <v>264</v>
      </c>
      <c r="B3608" t="s">
        <v>230</v>
      </c>
      <c r="C3608" t="s">
        <v>427</v>
      </c>
      <c r="D3608" s="1">
        <v>45208</v>
      </c>
      <c r="E3608" t="s">
        <v>509</v>
      </c>
      <c r="F3608">
        <v>-4.66</v>
      </c>
      <c r="G3608" t="s">
        <v>92</v>
      </c>
      <c r="H3608" t="s">
        <v>510</v>
      </c>
      <c r="I3608" t="s">
        <v>510</v>
      </c>
    </row>
    <row r="3609" spans="1:9" x14ac:dyDescent="0.25">
      <c r="A3609" t="s">
        <v>264</v>
      </c>
      <c r="B3609" t="s">
        <v>230</v>
      </c>
      <c r="C3609" t="s">
        <v>427</v>
      </c>
      <c r="D3609" s="1">
        <v>45205</v>
      </c>
      <c r="E3609" t="s">
        <v>585</v>
      </c>
      <c r="F3609">
        <v>300.66000000000003</v>
      </c>
      <c r="G3609" t="s">
        <v>79</v>
      </c>
      <c r="H3609" t="s">
        <v>96</v>
      </c>
      <c r="I3609" t="s">
        <v>96</v>
      </c>
    </row>
    <row r="3610" spans="1:9" x14ac:dyDescent="0.25">
      <c r="A3610" t="s">
        <v>264</v>
      </c>
      <c r="B3610" t="s">
        <v>230</v>
      </c>
      <c r="C3610" t="s">
        <v>427</v>
      </c>
      <c r="D3610" s="1">
        <v>45205</v>
      </c>
      <c r="E3610" t="s">
        <v>585</v>
      </c>
      <c r="F3610">
        <v>-141.56</v>
      </c>
      <c r="G3610" t="s">
        <v>79</v>
      </c>
      <c r="H3610" t="s">
        <v>96</v>
      </c>
      <c r="I3610" t="s">
        <v>96</v>
      </c>
    </row>
    <row r="3611" spans="1:9" x14ac:dyDescent="0.25">
      <c r="A3611" t="s">
        <v>264</v>
      </c>
      <c r="B3611" t="s">
        <v>230</v>
      </c>
      <c r="C3611" t="s">
        <v>427</v>
      </c>
      <c r="D3611" s="1">
        <v>45205</v>
      </c>
      <c r="E3611" t="s">
        <v>586</v>
      </c>
      <c r="F3611">
        <v>-28.48</v>
      </c>
      <c r="G3611" t="s">
        <v>212</v>
      </c>
      <c r="H3611" t="s">
        <v>213</v>
      </c>
      <c r="I3611" t="s">
        <v>214</v>
      </c>
    </row>
    <row r="3612" spans="1:9" x14ac:dyDescent="0.25">
      <c r="A3612" t="s">
        <v>264</v>
      </c>
      <c r="B3612" t="s">
        <v>230</v>
      </c>
      <c r="C3612" t="s">
        <v>427</v>
      </c>
      <c r="D3612" s="1">
        <v>45205</v>
      </c>
      <c r="E3612" t="s">
        <v>587</v>
      </c>
      <c r="F3612">
        <v>-68.19</v>
      </c>
      <c r="G3612" t="s">
        <v>212</v>
      </c>
      <c r="H3612" t="s">
        <v>212</v>
      </c>
      <c r="I3612" t="s">
        <v>478</v>
      </c>
    </row>
    <row r="3613" spans="1:9" x14ac:dyDescent="0.25">
      <c r="A3613" t="s">
        <v>264</v>
      </c>
      <c r="B3613" t="s">
        <v>230</v>
      </c>
      <c r="C3613" t="s">
        <v>427</v>
      </c>
      <c r="D3613" s="1">
        <v>45205</v>
      </c>
      <c r="E3613" t="s">
        <v>588</v>
      </c>
      <c r="F3613">
        <v>-28.79</v>
      </c>
      <c r="G3613" t="s">
        <v>76</v>
      </c>
      <c r="H3613" t="s">
        <v>87</v>
      </c>
      <c r="I3613" t="s">
        <v>88</v>
      </c>
    </row>
    <row r="3614" spans="1:9" x14ac:dyDescent="0.25">
      <c r="A3614" t="s">
        <v>264</v>
      </c>
      <c r="B3614" t="s">
        <v>230</v>
      </c>
      <c r="C3614" t="s">
        <v>427</v>
      </c>
      <c r="D3614" s="1">
        <v>45204</v>
      </c>
      <c r="E3614" t="s">
        <v>422</v>
      </c>
      <c r="F3614">
        <v>286.17</v>
      </c>
      <c r="G3614" t="s">
        <v>70</v>
      </c>
      <c r="H3614" t="s">
        <v>264</v>
      </c>
      <c r="I3614" t="s">
        <v>72</v>
      </c>
    </row>
    <row r="3615" spans="1:9" x14ac:dyDescent="0.25">
      <c r="A3615" t="s">
        <v>264</v>
      </c>
      <c r="B3615" t="s">
        <v>230</v>
      </c>
      <c r="C3615" t="s">
        <v>427</v>
      </c>
      <c r="D3615" s="1">
        <v>45204</v>
      </c>
      <c r="E3615" t="s">
        <v>422</v>
      </c>
      <c r="F3615">
        <v>5.04</v>
      </c>
      <c r="G3615" t="s">
        <v>70</v>
      </c>
      <c r="H3615" t="s">
        <v>264</v>
      </c>
      <c r="I3615" t="s">
        <v>72</v>
      </c>
    </row>
    <row r="3616" spans="1:9" x14ac:dyDescent="0.25">
      <c r="A3616" t="s">
        <v>264</v>
      </c>
      <c r="B3616" t="s">
        <v>230</v>
      </c>
      <c r="C3616" t="s">
        <v>427</v>
      </c>
      <c r="D3616" s="1">
        <v>45204</v>
      </c>
      <c r="E3616" t="s">
        <v>473</v>
      </c>
      <c r="F3616">
        <v>-16.71</v>
      </c>
      <c r="G3616" t="s">
        <v>89</v>
      </c>
      <c r="H3616" t="s">
        <v>90</v>
      </c>
      <c r="I3616" t="s">
        <v>474</v>
      </c>
    </row>
    <row r="3617" spans="1:9" x14ac:dyDescent="0.25">
      <c r="A3617" t="s">
        <v>264</v>
      </c>
      <c r="B3617" t="s">
        <v>230</v>
      </c>
      <c r="C3617" t="s">
        <v>427</v>
      </c>
      <c r="D3617" s="1">
        <v>45208</v>
      </c>
      <c r="E3617" t="s">
        <v>486</v>
      </c>
      <c r="F3617">
        <v>-46.33</v>
      </c>
      <c r="G3617" t="s">
        <v>79</v>
      </c>
      <c r="H3617" t="s">
        <v>512</v>
      </c>
      <c r="I3617" t="s">
        <v>512</v>
      </c>
    </row>
    <row r="3618" spans="1:9" x14ac:dyDescent="0.25">
      <c r="A3618" t="s">
        <v>264</v>
      </c>
      <c r="B3618" t="s">
        <v>230</v>
      </c>
      <c r="C3618" t="s">
        <v>427</v>
      </c>
      <c r="D3618" s="1">
        <v>45205</v>
      </c>
      <c r="E3618" t="s">
        <v>422</v>
      </c>
      <c r="F3618">
        <v>134.49</v>
      </c>
      <c r="G3618" t="s">
        <v>70</v>
      </c>
      <c r="H3618" t="s">
        <v>264</v>
      </c>
      <c r="I3618" t="s">
        <v>72</v>
      </c>
    </row>
    <row r="3619" spans="1:9" x14ac:dyDescent="0.25">
      <c r="A3619" t="s">
        <v>264</v>
      </c>
      <c r="B3619" t="s">
        <v>230</v>
      </c>
      <c r="C3619" t="s">
        <v>427</v>
      </c>
      <c r="D3619" s="1">
        <v>45208</v>
      </c>
      <c r="E3619" t="s">
        <v>422</v>
      </c>
      <c r="F3619">
        <v>140.13999999999999</v>
      </c>
      <c r="G3619" t="s">
        <v>70</v>
      </c>
      <c r="H3619" t="s">
        <v>264</v>
      </c>
      <c r="I3619" t="s">
        <v>72</v>
      </c>
    </row>
    <row r="3620" spans="1:9" x14ac:dyDescent="0.25">
      <c r="A3620" t="s">
        <v>264</v>
      </c>
      <c r="B3620" t="s">
        <v>230</v>
      </c>
      <c r="C3620" t="s">
        <v>427</v>
      </c>
      <c r="D3620" s="1">
        <v>45208</v>
      </c>
      <c r="E3620" t="s">
        <v>422</v>
      </c>
      <c r="F3620">
        <v>98.65</v>
      </c>
      <c r="G3620" t="s">
        <v>70</v>
      </c>
      <c r="H3620" t="s">
        <v>264</v>
      </c>
      <c r="I3620" t="s">
        <v>72</v>
      </c>
    </row>
    <row r="3621" spans="1:9" x14ac:dyDescent="0.25">
      <c r="A3621" t="s">
        <v>264</v>
      </c>
      <c r="B3621" t="s">
        <v>230</v>
      </c>
      <c r="C3621" t="s">
        <v>427</v>
      </c>
      <c r="D3621" s="1">
        <v>45208</v>
      </c>
      <c r="E3621" t="s">
        <v>422</v>
      </c>
      <c r="F3621">
        <v>24.78</v>
      </c>
      <c r="G3621" t="s">
        <v>70</v>
      </c>
      <c r="H3621" t="s">
        <v>264</v>
      </c>
      <c r="I3621" t="s">
        <v>72</v>
      </c>
    </row>
    <row r="3622" spans="1:9" x14ac:dyDescent="0.25">
      <c r="A3622" t="s">
        <v>264</v>
      </c>
      <c r="B3622" t="s">
        <v>230</v>
      </c>
      <c r="C3622" t="s">
        <v>427</v>
      </c>
      <c r="D3622" s="1">
        <v>45208</v>
      </c>
      <c r="E3622" t="s">
        <v>589</v>
      </c>
      <c r="F3622">
        <v>-35.340000000000003</v>
      </c>
      <c r="G3622" t="s">
        <v>76</v>
      </c>
      <c r="H3622" t="s">
        <v>77</v>
      </c>
      <c r="I3622" t="s">
        <v>78</v>
      </c>
    </row>
    <row r="3623" spans="1:9" x14ac:dyDescent="0.25">
      <c r="A3623" t="s">
        <v>264</v>
      </c>
      <c r="B3623" t="s">
        <v>230</v>
      </c>
      <c r="C3623" t="s">
        <v>427</v>
      </c>
      <c r="D3623" s="1">
        <v>45208</v>
      </c>
      <c r="E3623" t="s">
        <v>590</v>
      </c>
      <c r="F3623">
        <v>-58.96</v>
      </c>
      <c r="G3623" t="s">
        <v>212</v>
      </c>
      <c r="H3623" t="s">
        <v>213</v>
      </c>
      <c r="I3623" t="s">
        <v>214</v>
      </c>
    </row>
    <row r="3624" spans="1:9" x14ac:dyDescent="0.25">
      <c r="A3624" t="s">
        <v>264</v>
      </c>
      <c r="B3624" t="s">
        <v>230</v>
      </c>
      <c r="C3624" t="s">
        <v>427</v>
      </c>
      <c r="D3624" s="1">
        <v>45208</v>
      </c>
      <c r="E3624" t="s">
        <v>428</v>
      </c>
      <c r="F3624">
        <v>-2.19</v>
      </c>
      <c r="G3624" t="s">
        <v>68</v>
      </c>
      <c r="H3624" t="s">
        <v>69</v>
      </c>
      <c r="I3624" t="s">
        <v>69</v>
      </c>
    </row>
    <row r="3625" spans="1:9" x14ac:dyDescent="0.25">
      <c r="A3625" t="s">
        <v>264</v>
      </c>
      <c r="B3625" t="s">
        <v>230</v>
      </c>
      <c r="C3625" t="s">
        <v>427</v>
      </c>
      <c r="D3625" s="1">
        <v>45208</v>
      </c>
      <c r="E3625" t="s">
        <v>525</v>
      </c>
      <c r="F3625">
        <v>-18.12</v>
      </c>
      <c r="G3625" t="s">
        <v>68</v>
      </c>
      <c r="H3625" t="s">
        <v>69</v>
      </c>
      <c r="I3625" t="s">
        <v>69</v>
      </c>
    </row>
    <row r="3626" spans="1:9" x14ac:dyDescent="0.25">
      <c r="A3626" t="s">
        <v>264</v>
      </c>
      <c r="B3626" t="s">
        <v>230</v>
      </c>
      <c r="C3626" t="s">
        <v>427</v>
      </c>
      <c r="D3626" s="1">
        <v>45209</v>
      </c>
      <c r="E3626" t="s">
        <v>591</v>
      </c>
      <c r="F3626">
        <v>-6.64</v>
      </c>
      <c r="G3626" t="s">
        <v>212</v>
      </c>
      <c r="H3626" t="s">
        <v>213</v>
      </c>
      <c r="I3626" t="s">
        <v>559</v>
      </c>
    </row>
    <row r="3627" spans="1:9" x14ac:dyDescent="0.25">
      <c r="A3627" t="s">
        <v>264</v>
      </c>
      <c r="B3627" t="s">
        <v>230</v>
      </c>
      <c r="C3627" t="s">
        <v>427</v>
      </c>
      <c r="D3627" s="1">
        <v>45208</v>
      </c>
      <c r="E3627" t="s">
        <v>533</v>
      </c>
      <c r="F3627">
        <v>-46.16</v>
      </c>
      <c r="G3627" t="s">
        <v>89</v>
      </c>
      <c r="H3627" t="s">
        <v>90</v>
      </c>
      <c r="I3627" t="s">
        <v>98</v>
      </c>
    </row>
    <row r="3628" spans="1:9" x14ac:dyDescent="0.25">
      <c r="A3628" t="s">
        <v>264</v>
      </c>
      <c r="B3628" t="s">
        <v>230</v>
      </c>
      <c r="C3628" t="s">
        <v>427</v>
      </c>
      <c r="D3628" s="1">
        <v>45208</v>
      </c>
      <c r="E3628" t="s">
        <v>443</v>
      </c>
      <c r="F3628">
        <v>-0.17</v>
      </c>
      <c r="G3628" t="s">
        <v>79</v>
      </c>
      <c r="H3628" t="s">
        <v>96</v>
      </c>
      <c r="I3628" t="s">
        <v>96</v>
      </c>
    </row>
    <row r="3629" spans="1:9" x14ac:dyDescent="0.25">
      <c r="A3629" t="s">
        <v>264</v>
      </c>
      <c r="B3629" t="s">
        <v>230</v>
      </c>
      <c r="C3629" t="s">
        <v>427</v>
      </c>
      <c r="D3629" s="1">
        <v>45210</v>
      </c>
      <c r="E3629" t="s">
        <v>575</v>
      </c>
      <c r="F3629">
        <v>-11.2</v>
      </c>
      <c r="G3629" t="s">
        <v>73</v>
      </c>
      <c r="H3629" t="s">
        <v>576</v>
      </c>
      <c r="I3629" t="s">
        <v>576</v>
      </c>
    </row>
    <row r="3630" spans="1:9" x14ac:dyDescent="0.25">
      <c r="A3630" t="s">
        <v>264</v>
      </c>
      <c r="B3630" t="s">
        <v>230</v>
      </c>
      <c r="C3630" t="s">
        <v>427</v>
      </c>
      <c r="D3630" s="1">
        <v>45211</v>
      </c>
      <c r="E3630" t="s">
        <v>534</v>
      </c>
      <c r="F3630">
        <v>-134.86000000000001</v>
      </c>
      <c r="G3630" t="s">
        <v>79</v>
      </c>
      <c r="H3630" t="s">
        <v>81</v>
      </c>
      <c r="I3630" t="s">
        <v>81</v>
      </c>
    </row>
    <row r="3631" spans="1:9" x14ac:dyDescent="0.25">
      <c r="A3631" t="s">
        <v>264</v>
      </c>
      <c r="B3631" t="s">
        <v>230</v>
      </c>
      <c r="C3631" t="s">
        <v>427</v>
      </c>
      <c r="D3631" s="1">
        <v>45210</v>
      </c>
      <c r="E3631" t="s">
        <v>422</v>
      </c>
      <c r="F3631">
        <v>286.64</v>
      </c>
      <c r="G3631" t="s">
        <v>70</v>
      </c>
      <c r="H3631" t="s">
        <v>264</v>
      </c>
      <c r="I3631" t="s">
        <v>72</v>
      </c>
    </row>
    <row r="3632" spans="1:9" x14ac:dyDescent="0.25">
      <c r="A3632" t="s">
        <v>264</v>
      </c>
      <c r="B3632" t="s">
        <v>230</v>
      </c>
      <c r="C3632" t="s">
        <v>427</v>
      </c>
      <c r="D3632" s="1">
        <v>45210</v>
      </c>
      <c r="E3632" t="s">
        <v>422</v>
      </c>
      <c r="F3632">
        <v>202.03</v>
      </c>
      <c r="G3632" t="s">
        <v>70</v>
      </c>
      <c r="H3632" t="s">
        <v>264</v>
      </c>
      <c r="I3632" t="s">
        <v>72</v>
      </c>
    </row>
    <row r="3633" spans="1:9" x14ac:dyDescent="0.25">
      <c r="A3633" t="s">
        <v>264</v>
      </c>
      <c r="B3633" t="s">
        <v>230</v>
      </c>
      <c r="C3633" t="s">
        <v>427</v>
      </c>
      <c r="D3633" s="1">
        <v>45215</v>
      </c>
      <c r="E3633" t="s">
        <v>592</v>
      </c>
      <c r="F3633">
        <v>-1.03</v>
      </c>
      <c r="G3633" t="s">
        <v>68</v>
      </c>
      <c r="H3633" t="s">
        <v>69</v>
      </c>
      <c r="I3633" t="s">
        <v>69</v>
      </c>
    </row>
    <row r="3634" spans="1:9" x14ac:dyDescent="0.25">
      <c r="A3634" t="s">
        <v>264</v>
      </c>
      <c r="B3634" t="s">
        <v>230</v>
      </c>
      <c r="C3634" t="s">
        <v>427</v>
      </c>
      <c r="D3634" s="1">
        <v>45212</v>
      </c>
      <c r="E3634" t="s">
        <v>589</v>
      </c>
      <c r="F3634">
        <v>136.44</v>
      </c>
      <c r="G3634" t="s">
        <v>76</v>
      </c>
      <c r="H3634" t="s">
        <v>77</v>
      </c>
      <c r="I3634" t="s">
        <v>78</v>
      </c>
    </row>
    <row r="3635" spans="1:9" x14ac:dyDescent="0.25">
      <c r="A3635" t="s">
        <v>264</v>
      </c>
      <c r="B3635" t="s">
        <v>230</v>
      </c>
      <c r="C3635" t="s">
        <v>427</v>
      </c>
      <c r="D3635" s="1">
        <v>45212</v>
      </c>
      <c r="E3635" t="s">
        <v>428</v>
      </c>
      <c r="F3635">
        <v>-82.91</v>
      </c>
      <c r="G3635" t="s">
        <v>68</v>
      </c>
      <c r="H3635" t="s">
        <v>69</v>
      </c>
      <c r="I3635" t="s">
        <v>69</v>
      </c>
    </row>
    <row r="3636" spans="1:9" x14ac:dyDescent="0.25">
      <c r="A3636" t="s">
        <v>264</v>
      </c>
      <c r="B3636" t="s">
        <v>230</v>
      </c>
      <c r="C3636" t="s">
        <v>427</v>
      </c>
      <c r="D3636" s="1">
        <v>45212</v>
      </c>
      <c r="E3636" t="s">
        <v>593</v>
      </c>
      <c r="F3636">
        <v>-17.190000000000001</v>
      </c>
      <c r="G3636" t="s">
        <v>68</v>
      </c>
      <c r="H3636" t="s">
        <v>69</v>
      </c>
      <c r="I3636" t="s">
        <v>69</v>
      </c>
    </row>
    <row r="3637" spans="1:9" x14ac:dyDescent="0.25">
      <c r="A3637" t="s">
        <v>264</v>
      </c>
      <c r="B3637" t="s">
        <v>230</v>
      </c>
      <c r="C3637" t="s">
        <v>427</v>
      </c>
      <c r="D3637" s="1">
        <v>45215</v>
      </c>
      <c r="E3637" t="s">
        <v>443</v>
      </c>
      <c r="F3637">
        <v>-77.319999999999993</v>
      </c>
      <c r="G3637" t="s">
        <v>79</v>
      </c>
      <c r="H3637" t="s">
        <v>96</v>
      </c>
      <c r="I3637" t="s">
        <v>96</v>
      </c>
    </row>
    <row r="3638" spans="1:9" x14ac:dyDescent="0.25">
      <c r="A3638" t="s">
        <v>264</v>
      </c>
      <c r="B3638" t="s">
        <v>230</v>
      </c>
      <c r="C3638" t="s">
        <v>427</v>
      </c>
      <c r="D3638" s="1">
        <v>45215</v>
      </c>
      <c r="E3638" t="s">
        <v>475</v>
      </c>
      <c r="F3638">
        <v>-7.21</v>
      </c>
      <c r="G3638" t="s">
        <v>92</v>
      </c>
      <c r="H3638" t="s">
        <v>93</v>
      </c>
      <c r="I3638" t="s">
        <v>94</v>
      </c>
    </row>
    <row r="3639" spans="1:9" x14ac:dyDescent="0.25">
      <c r="A3639" t="s">
        <v>264</v>
      </c>
      <c r="B3639" t="s">
        <v>230</v>
      </c>
      <c r="C3639" t="s">
        <v>427</v>
      </c>
      <c r="D3639" s="1">
        <v>45215</v>
      </c>
      <c r="E3639" t="s">
        <v>475</v>
      </c>
      <c r="F3639">
        <v>-14.8</v>
      </c>
      <c r="G3639" t="s">
        <v>92</v>
      </c>
      <c r="H3639" t="s">
        <v>93</v>
      </c>
      <c r="I3639" t="s">
        <v>94</v>
      </c>
    </row>
    <row r="3640" spans="1:9" x14ac:dyDescent="0.25">
      <c r="A3640" t="s">
        <v>264</v>
      </c>
      <c r="B3640" t="s">
        <v>230</v>
      </c>
      <c r="C3640" t="s">
        <v>427</v>
      </c>
      <c r="D3640" s="1">
        <v>45217</v>
      </c>
      <c r="E3640" t="s">
        <v>480</v>
      </c>
      <c r="F3640">
        <v>-40.93</v>
      </c>
      <c r="G3640" t="s">
        <v>76</v>
      </c>
      <c r="H3640" t="s">
        <v>82</v>
      </c>
      <c r="I3640" t="s">
        <v>83</v>
      </c>
    </row>
    <row r="3641" spans="1:9" x14ac:dyDescent="0.25">
      <c r="A3641" t="s">
        <v>264</v>
      </c>
      <c r="B3641" t="s">
        <v>230</v>
      </c>
      <c r="C3641" t="s">
        <v>427</v>
      </c>
      <c r="D3641" s="1">
        <v>45219</v>
      </c>
      <c r="E3641" t="s">
        <v>438</v>
      </c>
      <c r="F3641">
        <v>-156.80000000000001</v>
      </c>
      <c r="G3641" t="s">
        <v>68</v>
      </c>
      <c r="H3641" t="s">
        <v>69</v>
      </c>
      <c r="I3641" t="s">
        <v>69</v>
      </c>
    </row>
    <row r="3642" spans="1:9" x14ac:dyDescent="0.25">
      <c r="A3642" t="s">
        <v>264</v>
      </c>
      <c r="B3642" t="s">
        <v>230</v>
      </c>
      <c r="C3642" t="s">
        <v>427</v>
      </c>
      <c r="D3642" s="1">
        <v>45218</v>
      </c>
      <c r="E3642" t="s">
        <v>443</v>
      </c>
      <c r="F3642">
        <v>-3.85</v>
      </c>
      <c r="G3642" t="s">
        <v>79</v>
      </c>
      <c r="H3642" t="s">
        <v>96</v>
      </c>
      <c r="I3642" t="s">
        <v>96</v>
      </c>
    </row>
    <row r="3643" spans="1:9" x14ac:dyDescent="0.25">
      <c r="A3643" t="s">
        <v>264</v>
      </c>
      <c r="B3643" t="s">
        <v>230</v>
      </c>
      <c r="C3643" t="s">
        <v>427</v>
      </c>
      <c r="D3643" s="1">
        <v>45223</v>
      </c>
      <c r="E3643" t="s">
        <v>486</v>
      </c>
      <c r="F3643">
        <v>-32.03</v>
      </c>
      <c r="G3643" t="s">
        <v>350</v>
      </c>
      <c r="H3643" t="s">
        <v>487</v>
      </c>
      <c r="I3643" t="s">
        <v>487</v>
      </c>
    </row>
    <row r="3644" spans="1:9" x14ac:dyDescent="0.25">
      <c r="A3644" t="s">
        <v>264</v>
      </c>
      <c r="B3644" t="s">
        <v>230</v>
      </c>
      <c r="C3644" t="s">
        <v>427</v>
      </c>
      <c r="D3644" s="1">
        <v>45223</v>
      </c>
      <c r="E3644" t="s">
        <v>486</v>
      </c>
      <c r="F3644">
        <v>-101.37</v>
      </c>
      <c r="G3644" t="s">
        <v>73</v>
      </c>
      <c r="H3644" t="s">
        <v>487</v>
      </c>
      <c r="I3644" t="s">
        <v>487</v>
      </c>
    </row>
    <row r="3645" spans="1:9" x14ac:dyDescent="0.25">
      <c r="A3645" t="s">
        <v>264</v>
      </c>
      <c r="B3645" t="s">
        <v>230</v>
      </c>
      <c r="C3645" t="s">
        <v>427</v>
      </c>
      <c r="D3645" s="1">
        <v>45219</v>
      </c>
      <c r="E3645" t="s">
        <v>422</v>
      </c>
      <c r="F3645">
        <v>131.96</v>
      </c>
      <c r="G3645" t="s">
        <v>70</v>
      </c>
      <c r="H3645" t="s">
        <v>264</v>
      </c>
      <c r="I3645" t="s">
        <v>72</v>
      </c>
    </row>
    <row r="3646" spans="1:9" x14ac:dyDescent="0.25">
      <c r="A3646" t="s">
        <v>264</v>
      </c>
      <c r="B3646" t="s">
        <v>230</v>
      </c>
      <c r="C3646" t="s">
        <v>427</v>
      </c>
      <c r="D3646" s="1">
        <v>45223</v>
      </c>
      <c r="E3646" t="s">
        <v>422</v>
      </c>
      <c r="F3646">
        <v>186.89</v>
      </c>
      <c r="G3646" t="s">
        <v>70</v>
      </c>
      <c r="H3646" t="s">
        <v>264</v>
      </c>
      <c r="I3646" t="s">
        <v>72</v>
      </c>
    </row>
    <row r="3647" spans="1:9" x14ac:dyDescent="0.25">
      <c r="A3647" t="s">
        <v>264</v>
      </c>
      <c r="B3647" t="s">
        <v>230</v>
      </c>
      <c r="C3647" t="s">
        <v>427</v>
      </c>
      <c r="D3647" s="1">
        <v>45223</v>
      </c>
      <c r="E3647" t="s">
        <v>422</v>
      </c>
      <c r="F3647">
        <v>7.94</v>
      </c>
      <c r="G3647" t="s">
        <v>70</v>
      </c>
      <c r="H3647" t="s">
        <v>264</v>
      </c>
      <c r="I3647" t="s">
        <v>72</v>
      </c>
    </row>
    <row r="3648" spans="1:9" x14ac:dyDescent="0.25">
      <c r="A3648" t="s">
        <v>264</v>
      </c>
      <c r="B3648" t="s">
        <v>230</v>
      </c>
      <c r="C3648" t="s">
        <v>427</v>
      </c>
      <c r="D3648" s="1">
        <v>45223</v>
      </c>
      <c r="E3648" t="s">
        <v>594</v>
      </c>
      <c r="F3648">
        <v>-40.049999999999997</v>
      </c>
      <c r="G3648" t="s">
        <v>79</v>
      </c>
      <c r="H3648" t="s">
        <v>95</v>
      </c>
      <c r="I3648" t="s">
        <v>95</v>
      </c>
    </row>
    <row r="3649" spans="1:9" x14ac:dyDescent="0.25">
      <c r="A3649" t="s">
        <v>264</v>
      </c>
      <c r="B3649" t="s">
        <v>230</v>
      </c>
      <c r="C3649" t="s">
        <v>427</v>
      </c>
      <c r="D3649" s="1">
        <v>45223</v>
      </c>
      <c r="E3649" t="s">
        <v>563</v>
      </c>
      <c r="F3649">
        <v>-20.2</v>
      </c>
      <c r="G3649" t="s">
        <v>68</v>
      </c>
      <c r="H3649" t="s">
        <v>69</v>
      </c>
      <c r="I3649" t="s">
        <v>69</v>
      </c>
    </row>
    <row r="3650" spans="1:9" x14ac:dyDescent="0.25">
      <c r="A3650" t="s">
        <v>264</v>
      </c>
      <c r="B3650" t="s">
        <v>230</v>
      </c>
      <c r="C3650" t="s">
        <v>427</v>
      </c>
      <c r="D3650" s="1">
        <v>45223</v>
      </c>
      <c r="E3650" t="s">
        <v>422</v>
      </c>
      <c r="F3650">
        <v>413.88</v>
      </c>
      <c r="G3650" t="s">
        <v>70</v>
      </c>
      <c r="H3650" t="s">
        <v>264</v>
      </c>
      <c r="I3650" t="s">
        <v>72</v>
      </c>
    </row>
    <row r="3651" spans="1:9" x14ac:dyDescent="0.25">
      <c r="A3651" t="s">
        <v>264</v>
      </c>
      <c r="B3651" t="s">
        <v>230</v>
      </c>
      <c r="C3651" t="s">
        <v>427</v>
      </c>
      <c r="D3651" s="1">
        <v>45223</v>
      </c>
      <c r="E3651" t="s">
        <v>439</v>
      </c>
      <c r="F3651">
        <v>-355.48</v>
      </c>
      <c r="G3651" t="s">
        <v>79</v>
      </c>
      <c r="H3651" t="s">
        <v>96</v>
      </c>
      <c r="I3651" t="s">
        <v>96</v>
      </c>
    </row>
    <row r="3652" spans="1:9" x14ac:dyDescent="0.25">
      <c r="A3652" t="s">
        <v>264</v>
      </c>
      <c r="B3652" t="s">
        <v>230</v>
      </c>
      <c r="C3652" t="s">
        <v>427</v>
      </c>
      <c r="D3652" s="1">
        <v>45223</v>
      </c>
      <c r="E3652" t="s">
        <v>529</v>
      </c>
      <c r="F3652">
        <v>-13.05</v>
      </c>
      <c r="G3652" t="s">
        <v>68</v>
      </c>
      <c r="H3652" t="s">
        <v>69</v>
      </c>
      <c r="I3652" t="s">
        <v>69</v>
      </c>
    </row>
    <row r="3653" spans="1:9" x14ac:dyDescent="0.25">
      <c r="A3653" t="s">
        <v>264</v>
      </c>
      <c r="B3653" t="s">
        <v>230</v>
      </c>
      <c r="C3653" t="s">
        <v>427</v>
      </c>
      <c r="D3653" s="1">
        <v>45223</v>
      </c>
      <c r="E3653" t="s">
        <v>422</v>
      </c>
      <c r="F3653">
        <v>117.77</v>
      </c>
      <c r="G3653" t="s">
        <v>70</v>
      </c>
      <c r="H3653" t="s">
        <v>264</v>
      </c>
      <c r="I3653" t="s">
        <v>72</v>
      </c>
    </row>
    <row r="3654" spans="1:9" x14ac:dyDescent="0.25">
      <c r="A3654" t="s">
        <v>264</v>
      </c>
      <c r="B3654" t="s">
        <v>230</v>
      </c>
      <c r="C3654" t="s">
        <v>427</v>
      </c>
      <c r="D3654" s="1">
        <v>45223</v>
      </c>
      <c r="E3654" t="s">
        <v>595</v>
      </c>
      <c r="F3654">
        <v>-139.59</v>
      </c>
      <c r="G3654" t="s">
        <v>467</v>
      </c>
      <c r="H3654" t="s">
        <v>468</v>
      </c>
      <c r="I3654" t="s">
        <v>467</v>
      </c>
    </row>
    <row r="3655" spans="1:9" x14ac:dyDescent="0.25">
      <c r="A3655" t="s">
        <v>264</v>
      </c>
      <c r="B3655" t="s">
        <v>230</v>
      </c>
      <c r="C3655" t="s">
        <v>427</v>
      </c>
      <c r="D3655" s="1">
        <v>45223</v>
      </c>
      <c r="E3655" t="s">
        <v>554</v>
      </c>
      <c r="F3655">
        <v>-34.15</v>
      </c>
      <c r="G3655" t="s">
        <v>68</v>
      </c>
      <c r="H3655" t="s">
        <v>69</v>
      </c>
      <c r="I3655" t="s">
        <v>69</v>
      </c>
    </row>
    <row r="3656" spans="1:9" x14ac:dyDescent="0.25">
      <c r="A3656" t="s">
        <v>264</v>
      </c>
      <c r="B3656" t="s">
        <v>230</v>
      </c>
      <c r="C3656" t="s">
        <v>427</v>
      </c>
      <c r="D3656" s="1">
        <v>45224</v>
      </c>
      <c r="E3656" t="s">
        <v>422</v>
      </c>
      <c r="F3656">
        <v>30.9</v>
      </c>
      <c r="G3656" t="s">
        <v>70</v>
      </c>
      <c r="H3656" t="s">
        <v>264</v>
      </c>
      <c r="I3656" t="s">
        <v>72</v>
      </c>
    </row>
    <row r="3657" spans="1:9" x14ac:dyDescent="0.25">
      <c r="A3657" t="s">
        <v>264</v>
      </c>
      <c r="B3657" t="s">
        <v>230</v>
      </c>
      <c r="C3657" t="s">
        <v>427</v>
      </c>
      <c r="D3657" s="1">
        <v>45224</v>
      </c>
      <c r="E3657" t="s">
        <v>596</v>
      </c>
      <c r="F3657">
        <v>-2.34</v>
      </c>
      <c r="G3657" t="s">
        <v>76</v>
      </c>
      <c r="H3657" t="s">
        <v>87</v>
      </c>
      <c r="I3657" t="s">
        <v>88</v>
      </c>
    </row>
    <row r="3658" spans="1:9" x14ac:dyDescent="0.25">
      <c r="A3658" t="s">
        <v>264</v>
      </c>
      <c r="B3658" t="s">
        <v>230</v>
      </c>
      <c r="C3658" t="s">
        <v>427</v>
      </c>
      <c r="D3658" s="1">
        <v>45225</v>
      </c>
      <c r="E3658" t="s">
        <v>579</v>
      </c>
      <c r="F3658">
        <v>-106.96</v>
      </c>
      <c r="G3658" t="s">
        <v>76</v>
      </c>
      <c r="H3658" t="s">
        <v>87</v>
      </c>
      <c r="I3658" t="s">
        <v>88</v>
      </c>
    </row>
    <row r="3659" spans="1:9" x14ac:dyDescent="0.25">
      <c r="A3659" t="s">
        <v>264</v>
      </c>
      <c r="B3659" t="s">
        <v>230</v>
      </c>
      <c r="C3659" t="s">
        <v>427</v>
      </c>
      <c r="D3659" s="1">
        <v>45225</v>
      </c>
      <c r="E3659" t="s">
        <v>578</v>
      </c>
      <c r="F3659">
        <v>-31.08</v>
      </c>
      <c r="G3659" t="s">
        <v>68</v>
      </c>
      <c r="H3659" t="s">
        <v>69</v>
      </c>
      <c r="I3659" t="s">
        <v>69</v>
      </c>
    </row>
    <row r="3660" spans="1:9" x14ac:dyDescent="0.25">
      <c r="A3660" t="s">
        <v>264</v>
      </c>
      <c r="B3660" t="s">
        <v>230</v>
      </c>
      <c r="C3660" t="s">
        <v>427</v>
      </c>
      <c r="D3660" s="1">
        <v>45224</v>
      </c>
      <c r="E3660" t="s">
        <v>422</v>
      </c>
      <c r="F3660">
        <v>79.290000000000006</v>
      </c>
      <c r="G3660" t="s">
        <v>70</v>
      </c>
      <c r="H3660" t="s">
        <v>264</v>
      </c>
      <c r="I3660" t="s">
        <v>72</v>
      </c>
    </row>
    <row r="3661" spans="1:9" x14ac:dyDescent="0.25">
      <c r="A3661" t="s">
        <v>264</v>
      </c>
      <c r="B3661" t="s">
        <v>230</v>
      </c>
      <c r="C3661" t="s">
        <v>427</v>
      </c>
      <c r="D3661" s="1">
        <v>45224</v>
      </c>
      <c r="E3661" t="s">
        <v>422</v>
      </c>
      <c r="F3661">
        <v>5.76</v>
      </c>
      <c r="G3661" t="s">
        <v>70</v>
      </c>
      <c r="H3661" t="s">
        <v>264</v>
      </c>
      <c r="I3661" t="s">
        <v>72</v>
      </c>
    </row>
    <row r="3662" spans="1:9" x14ac:dyDescent="0.25">
      <c r="A3662" t="s">
        <v>264</v>
      </c>
      <c r="B3662" t="s">
        <v>230</v>
      </c>
      <c r="C3662" t="s">
        <v>427</v>
      </c>
      <c r="D3662" s="1">
        <v>45224</v>
      </c>
      <c r="E3662" t="s">
        <v>428</v>
      </c>
      <c r="F3662">
        <v>-98.22</v>
      </c>
      <c r="G3662" t="s">
        <v>68</v>
      </c>
      <c r="H3662" t="s">
        <v>69</v>
      </c>
      <c r="I3662" t="s">
        <v>69</v>
      </c>
    </row>
    <row r="3663" spans="1:9" x14ac:dyDescent="0.25">
      <c r="A3663" t="s">
        <v>264</v>
      </c>
      <c r="B3663" t="s">
        <v>230</v>
      </c>
      <c r="C3663" t="s">
        <v>427</v>
      </c>
      <c r="D3663" s="1">
        <v>45229</v>
      </c>
      <c r="E3663" t="s">
        <v>445</v>
      </c>
      <c r="F3663">
        <v>-0.04</v>
      </c>
      <c r="G3663" t="s">
        <v>84</v>
      </c>
      <c r="H3663" t="s">
        <v>85</v>
      </c>
      <c r="I3663" t="s">
        <v>86</v>
      </c>
    </row>
    <row r="3664" spans="1:9" x14ac:dyDescent="0.25">
      <c r="A3664" t="s">
        <v>264</v>
      </c>
      <c r="B3664" t="s">
        <v>230</v>
      </c>
      <c r="C3664" t="s">
        <v>427</v>
      </c>
      <c r="D3664" s="1">
        <v>45229</v>
      </c>
      <c r="E3664" t="s">
        <v>446</v>
      </c>
      <c r="F3664">
        <v>-0.03</v>
      </c>
      <c r="G3664" t="s">
        <v>84</v>
      </c>
      <c r="H3664" t="s">
        <v>85</v>
      </c>
      <c r="I3664" t="s">
        <v>86</v>
      </c>
    </row>
    <row r="3665" spans="1:9" x14ac:dyDescent="0.25">
      <c r="A3665" t="s">
        <v>264</v>
      </c>
      <c r="B3665" t="s">
        <v>230</v>
      </c>
      <c r="C3665" t="s">
        <v>427</v>
      </c>
      <c r="D3665" s="1">
        <v>45229</v>
      </c>
      <c r="E3665" t="s">
        <v>597</v>
      </c>
      <c r="F3665">
        <v>-5.25</v>
      </c>
      <c r="G3665" t="s">
        <v>92</v>
      </c>
      <c r="H3665" t="s">
        <v>104</v>
      </c>
      <c r="I3665" t="s">
        <v>104</v>
      </c>
    </row>
    <row r="3666" spans="1:9" x14ac:dyDescent="0.25">
      <c r="A3666" t="s">
        <v>264</v>
      </c>
      <c r="B3666" t="s">
        <v>230</v>
      </c>
      <c r="C3666" t="s">
        <v>427</v>
      </c>
      <c r="D3666" s="1">
        <v>45229</v>
      </c>
      <c r="E3666" t="s">
        <v>555</v>
      </c>
      <c r="F3666">
        <v>-117.64</v>
      </c>
      <c r="G3666" t="s">
        <v>68</v>
      </c>
      <c r="H3666" t="s">
        <v>69</v>
      </c>
      <c r="I3666" t="s">
        <v>69</v>
      </c>
    </row>
    <row r="3667" spans="1:9" x14ac:dyDescent="0.25">
      <c r="A3667" t="s">
        <v>264</v>
      </c>
      <c r="B3667" t="s">
        <v>230</v>
      </c>
      <c r="C3667" t="s">
        <v>427</v>
      </c>
      <c r="D3667" s="1">
        <v>45226</v>
      </c>
      <c r="E3667" t="s">
        <v>422</v>
      </c>
      <c r="F3667">
        <v>13.24</v>
      </c>
      <c r="G3667" t="s">
        <v>70</v>
      </c>
      <c r="H3667" t="s">
        <v>264</v>
      </c>
      <c r="I3667" t="s">
        <v>72</v>
      </c>
    </row>
    <row r="3668" spans="1:9" x14ac:dyDescent="0.25">
      <c r="A3668" t="s">
        <v>264</v>
      </c>
      <c r="B3668" t="s">
        <v>230</v>
      </c>
      <c r="C3668" t="s">
        <v>427</v>
      </c>
      <c r="D3668" s="1">
        <v>45226</v>
      </c>
      <c r="E3668" t="s">
        <v>422</v>
      </c>
      <c r="F3668">
        <v>107.72</v>
      </c>
      <c r="G3668" t="s">
        <v>70</v>
      </c>
      <c r="H3668" t="s">
        <v>264</v>
      </c>
      <c r="I3668" t="s">
        <v>72</v>
      </c>
    </row>
    <row r="3669" spans="1:9" x14ac:dyDescent="0.25">
      <c r="A3669" t="s">
        <v>264</v>
      </c>
      <c r="B3669" t="s">
        <v>230</v>
      </c>
      <c r="C3669" t="s">
        <v>427</v>
      </c>
      <c r="D3669" s="1">
        <v>45229</v>
      </c>
      <c r="E3669" t="s">
        <v>422</v>
      </c>
      <c r="F3669">
        <v>49.16</v>
      </c>
      <c r="G3669" t="s">
        <v>70</v>
      </c>
      <c r="H3669" t="s">
        <v>264</v>
      </c>
      <c r="I3669" t="s">
        <v>72</v>
      </c>
    </row>
    <row r="3670" spans="1:9" x14ac:dyDescent="0.25">
      <c r="A3670" t="s">
        <v>264</v>
      </c>
      <c r="B3670" t="s">
        <v>230</v>
      </c>
      <c r="C3670" t="s">
        <v>427</v>
      </c>
      <c r="D3670" s="1">
        <v>45229</v>
      </c>
      <c r="E3670" t="s">
        <v>598</v>
      </c>
      <c r="F3670">
        <v>-199.44</v>
      </c>
      <c r="G3670" t="s">
        <v>89</v>
      </c>
      <c r="H3670" t="s">
        <v>90</v>
      </c>
      <c r="I3670" t="s">
        <v>98</v>
      </c>
    </row>
    <row r="3671" spans="1:9" x14ac:dyDescent="0.25">
      <c r="A3671" t="s">
        <v>264</v>
      </c>
      <c r="B3671" t="s">
        <v>230</v>
      </c>
      <c r="C3671" t="s">
        <v>427</v>
      </c>
      <c r="D3671" s="1">
        <v>45229</v>
      </c>
      <c r="E3671" t="s">
        <v>599</v>
      </c>
      <c r="F3671">
        <v>-24.12</v>
      </c>
      <c r="G3671" t="s">
        <v>76</v>
      </c>
      <c r="H3671" t="s">
        <v>77</v>
      </c>
      <c r="I3671" t="s">
        <v>539</v>
      </c>
    </row>
    <row r="3672" spans="1:9" x14ac:dyDescent="0.25">
      <c r="A3672" t="s">
        <v>264</v>
      </c>
      <c r="B3672" t="s">
        <v>230</v>
      </c>
      <c r="C3672" t="s">
        <v>427</v>
      </c>
      <c r="D3672" s="1">
        <v>45229</v>
      </c>
      <c r="E3672" t="s">
        <v>600</v>
      </c>
      <c r="F3672">
        <v>-12.58</v>
      </c>
      <c r="G3672" t="s">
        <v>68</v>
      </c>
      <c r="H3672" t="s">
        <v>69</v>
      </c>
      <c r="I3672" t="s">
        <v>69</v>
      </c>
    </row>
    <row r="3673" spans="1:9" x14ac:dyDescent="0.25">
      <c r="A3673" t="s">
        <v>264</v>
      </c>
      <c r="B3673" t="s">
        <v>230</v>
      </c>
      <c r="C3673" t="s">
        <v>427</v>
      </c>
      <c r="D3673" s="1">
        <v>45231</v>
      </c>
      <c r="E3673" t="s">
        <v>455</v>
      </c>
      <c r="F3673">
        <v>112.45</v>
      </c>
      <c r="G3673" t="s">
        <v>84</v>
      </c>
      <c r="H3673" t="s">
        <v>85</v>
      </c>
      <c r="I3673" t="s">
        <v>86</v>
      </c>
    </row>
    <row r="3674" spans="1:9" x14ac:dyDescent="0.25">
      <c r="A3674" t="s">
        <v>264</v>
      </c>
      <c r="B3674" t="s">
        <v>230</v>
      </c>
      <c r="C3674" t="s">
        <v>427</v>
      </c>
      <c r="D3674" s="1">
        <v>45231</v>
      </c>
      <c r="E3674" t="s">
        <v>456</v>
      </c>
      <c r="F3674">
        <v>-115.96</v>
      </c>
      <c r="G3674" t="s">
        <v>84</v>
      </c>
      <c r="H3674" t="s">
        <v>85</v>
      </c>
      <c r="I3674" t="s">
        <v>86</v>
      </c>
    </row>
    <row r="3675" spans="1:9" x14ac:dyDescent="0.25">
      <c r="A3675" t="s">
        <v>264</v>
      </c>
      <c r="B3675" t="s">
        <v>230</v>
      </c>
      <c r="C3675" t="s">
        <v>427</v>
      </c>
      <c r="D3675" s="1">
        <v>45231</v>
      </c>
      <c r="E3675" t="s">
        <v>422</v>
      </c>
      <c r="F3675">
        <v>0.1</v>
      </c>
      <c r="G3675" t="s">
        <v>70</v>
      </c>
      <c r="H3675" t="s">
        <v>264</v>
      </c>
      <c r="I3675" t="s">
        <v>72</v>
      </c>
    </row>
    <row r="3676" spans="1:9" x14ac:dyDescent="0.25">
      <c r="A3676" t="s">
        <v>264</v>
      </c>
      <c r="B3676" t="s">
        <v>230</v>
      </c>
      <c r="C3676" t="s">
        <v>427</v>
      </c>
      <c r="D3676" s="1">
        <v>45232</v>
      </c>
      <c r="E3676" t="s">
        <v>428</v>
      </c>
      <c r="F3676">
        <v>-26.04</v>
      </c>
      <c r="G3676" t="s">
        <v>68</v>
      </c>
      <c r="H3676" t="s">
        <v>69</v>
      </c>
      <c r="I3676" t="s">
        <v>69</v>
      </c>
    </row>
    <row r="3677" spans="1:9" x14ac:dyDescent="0.25">
      <c r="A3677" t="s">
        <v>264</v>
      </c>
      <c r="B3677" t="s">
        <v>230</v>
      </c>
      <c r="C3677" t="s">
        <v>427</v>
      </c>
      <c r="D3677" s="1">
        <v>45232</v>
      </c>
      <c r="E3677" t="s">
        <v>601</v>
      </c>
      <c r="F3677">
        <v>-2.27</v>
      </c>
      <c r="G3677" t="s">
        <v>68</v>
      </c>
      <c r="H3677" t="s">
        <v>69</v>
      </c>
      <c r="I3677" t="s">
        <v>69</v>
      </c>
    </row>
    <row r="3678" spans="1:9" x14ac:dyDescent="0.25">
      <c r="A3678" t="s">
        <v>264</v>
      </c>
      <c r="B3678" t="s">
        <v>230</v>
      </c>
      <c r="C3678" t="s">
        <v>427</v>
      </c>
      <c r="D3678" s="1">
        <v>45236</v>
      </c>
      <c r="E3678" t="s">
        <v>422</v>
      </c>
      <c r="F3678">
        <v>26.53</v>
      </c>
      <c r="G3678" t="s">
        <v>70</v>
      </c>
      <c r="H3678" t="s">
        <v>264</v>
      </c>
      <c r="I3678" t="s">
        <v>72</v>
      </c>
    </row>
    <row r="3679" spans="1:9" x14ac:dyDescent="0.25">
      <c r="A3679" t="s">
        <v>264</v>
      </c>
      <c r="B3679" t="s">
        <v>230</v>
      </c>
      <c r="C3679" t="s">
        <v>427</v>
      </c>
      <c r="D3679" s="1">
        <v>45236</v>
      </c>
      <c r="E3679" t="s">
        <v>602</v>
      </c>
      <c r="F3679">
        <v>-68.38</v>
      </c>
      <c r="G3679" t="s">
        <v>212</v>
      </c>
      <c r="H3679" t="s">
        <v>212</v>
      </c>
      <c r="I3679" t="s">
        <v>353</v>
      </c>
    </row>
    <row r="3680" spans="1:9" x14ac:dyDescent="0.25">
      <c r="A3680" t="s">
        <v>264</v>
      </c>
      <c r="B3680" t="s">
        <v>230</v>
      </c>
      <c r="C3680" t="s">
        <v>427</v>
      </c>
      <c r="D3680" s="1">
        <v>45236</v>
      </c>
      <c r="E3680" t="s">
        <v>603</v>
      </c>
      <c r="F3680">
        <v>-5</v>
      </c>
      <c r="G3680" t="s">
        <v>68</v>
      </c>
      <c r="H3680" t="s">
        <v>69</v>
      </c>
      <c r="I3680" t="s">
        <v>69</v>
      </c>
    </row>
    <row r="3681" spans="1:9" x14ac:dyDescent="0.25">
      <c r="A3681" t="s">
        <v>264</v>
      </c>
      <c r="B3681" t="s">
        <v>230</v>
      </c>
      <c r="C3681" t="s">
        <v>427</v>
      </c>
      <c r="D3681" s="1">
        <v>45236</v>
      </c>
      <c r="E3681" t="s">
        <v>482</v>
      </c>
      <c r="F3681">
        <v>-7.94</v>
      </c>
      <c r="G3681" t="s">
        <v>68</v>
      </c>
      <c r="H3681" t="s">
        <v>69</v>
      </c>
      <c r="I3681" t="s">
        <v>69</v>
      </c>
    </row>
    <row r="3682" spans="1:9" x14ac:dyDescent="0.25">
      <c r="A3682" t="s">
        <v>264</v>
      </c>
      <c r="B3682" t="s">
        <v>230</v>
      </c>
      <c r="C3682" t="s">
        <v>427</v>
      </c>
      <c r="D3682" s="1">
        <v>45233</v>
      </c>
      <c r="E3682" t="s">
        <v>422</v>
      </c>
      <c r="F3682">
        <v>51.63</v>
      </c>
      <c r="G3682" t="s">
        <v>70</v>
      </c>
      <c r="H3682" t="s">
        <v>264</v>
      </c>
      <c r="I3682" t="s">
        <v>72</v>
      </c>
    </row>
    <row r="3683" spans="1:9" x14ac:dyDescent="0.25">
      <c r="A3683" t="s">
        <v>264</v>
      </c>
      <c r="B3683" t="s">
        <v>230</v>
      </c>
      <c r="C3683" t="s">
        <v>427</v>
      </c>
      <c r="D3683" s="1">
        <v>45236</v>
      </c>
      <c r="E3683" t="s">
        <v>422</v>
      </c>
      <c r="F3683">
        <v>127.15</v>
      </c>
      <c r="G3683" t="s">
        <v>70</v>
      </c>
      <c r="H3683" t="s">
        <v>264</v>
      </c>
      <c r="I3683" t="s">
        <v>72</v>
      </c>
    </row>
    <row r="3684" spans="1:9" x14ac:dyDescent="0.25">
      <c r="A3684" t="s">
        <v>264</v>
      </c>
      <c r="B3684" t="s">
        <v>230</v>
      </c>
      <c r="C3684" t="s">
        <v>427</v>
      </c>
      <c r="D3684" s="1">
        <v>45236</v>
      </c>
      <c r="E3684" t="s">
        <v>428</v>
      </c>
      <c r="F3684">
        <v>-16.89</v>
      </c>
      <c r="G3684" t="s">
        <v>68</v>
      </c>
      <c r="H3684" t="s">
        <v>69</v>
      </c>
      <c r="I3684" t="s">
        <v>69</v>
      </c>
    </row>
    <row r="3685" spans="1:9" x14ac:dyDescent="0.25">
      <c r="A3685" t="s">
        <v>264</v>
      </c>
      <c r="B3685" t="s">
        <v>230</v>
      </c>
      <c r="C3685" t="s">
        <v>427</v>
      </c>
      <c r="D3685" s="1">
        <v>45236</v>
      </c>
      <c r="E3685" t="s">
        <v>604</v>
      </c>
      <c r="F3685">
        <v>-101.22</v>
      </c>
      <c r="G3685" t="s">
        <v>79</v>
      </c>
      <c r="H3685" t="s">
        <v>96</v>
      </c>
      <c r="I3685" t="s">
        <v>96</v>
      </c>
    </row>
    <row r="3686" spans="1:9" x14ac:dyDescent="0.25">
      <c r="A3686" t="s">
        <v>264</v>
      </c>
      <c r="B3686" t="s">
        <v>230</v>
      </c>
      <c r="C3686" t="s">
        <v>427</v>
      </c>
      <c r="D3686" s="1">
        <v>45237</v>
      </c>
      <c r="E3686" t="s">
        <v>509</v>
      </c>
      <c r="F3686">
        <v>-18.62</v>
      </c>
      <c r="G3686" t="s">
        <v>92</v>
      </c>
      <c r="H3686" t="s">
        <v>510</v>
      </c>
      <c r="I3686" t="s">
        <v>510</v>
      </c>
    </row>
    <row r="3687" spans="1:9" x14ac:dyDescent="0.25">
      <c r="A3687" t="s">
        <v>264</v>
      </c>
      <c r="B3687" t="s">
        <v>230</v>
      </c>
      <c r="C3687" t="s">
        <v>427</v>
      </c>
      <c r="D3687" s="1">
        <v>45236</v>
      </c>
      <c r="E3687" t="s">
        <v>422</v>
      </c>
      <c r="F3687">
        <v>15.59</v>
      </c>
      <c r="G3687" t="s">
        <v>70</v>
      </c>
      <c r="H3687" t="s">
        <v>264</v>
      </c>
      <c r="I3687" t="s">
        <v>72</v>
      </c>
    </row>
    <row r="3688" spans="1:9" x14ac:dyDescent="0.25">
      <c r="A3688" t="s">
        <v>264</v>
      </c>
      <c r="B3688" t="s">
        <v>230</v>
      </c>
      <c r="C3688" t="s">
        <v>427</v>
      </c>
      <c r="D3688" s="1">
        <v>45238</v>
      </c>
      <c r="E3688" t="s">
        <v>445</v>
      </c>
      <c r="F3688">
        <v>-1.03</v>
      </c>
      <c r="G3688" t="s">
        <v>84</v>
      </c>
      <c r="H3688" t="s">
        <v>85</v>
      </c>
      <c r="I3688" t="s">
        <v>86</v>
      </c>
    </row>
    <row r="3689" spans="1:9" x14ac:dyDescent="0.25">
      <c r="A3689" t="s">
        <v>264</v>
      </c>
      <c r="B3689" t="s">
        <v>230</v>
      </c>
      <c r="C3689" t="s">
        <v>427</v>
      </c>
      <c r="D3689" s="1">
        <v>45238</v>
      </c>
      <c r="E3689" t="s">
        <v>446</v>
      </c>
      <c r="F3689">
        <v>-3.64</v>
      </c>
      <c r="G3689" t="s">
        <v>84</v>
      </c>
      <c r="H3689" t="s">
        <v>85</v>
      </c>
      <c r="I3689" t="s">
        <v>86</v>
      </c>
    </row>
    <row r="3690" spans="1:9" x14ac:dyDescent="0.25">
      <c r="A3690" t="s">
        <v>264</v>
      </c>
      <c r="B3690" t="s">
        <v>230</v>
      </c>
      <c r="C3690" t="s">
        <v>427</v>
      </c>
      <c r="D3690" s="1">
        <v>45238</v>
      </c>
      <c r="E3690" t="s">
        <v>605</v>
      </c>
      <c r="F3690">
        <v>-450.8</v>
      </c>
      <c r="G3690" t="s">
        <v>76</v>
      </c>
      <c r="H3690" t="s">
        <v>484</v>
      </c>
      <c r="I3690" t="s">
        <v>485</v>
      </c>
    </row>
    <row r="3691" spans="1:9" x14ac:dyDescent="0.25">
      <c r="A3691" t="s">
        <v>264</v>
      </c>
      <c r="B3691" t="s">
        <v>230</v>
      </c>
      <c r="C3691" t="s">
        <v>427</v>
      </c>
      <c r="D3691" s="1">
        <v>45237</v>
      </c>
      <c r="E3691" t="s">
        <v>486</v>
      </c>
      <c r="F3691">
        <v>-43.89</v>
      </c>
      <c r="G3691" t="s">
        <v>79</v>
      </c>
      <c r="H3691" t="s">
        <v>512</v>
      </c>
      <c r="I3691" t="s">
        <v>512</v>
      </c>
    </row>
    <row r="3692" spans="1:9" x14ac:dyDescent="0.25">
      <c r="A3692" t="s">
        <v>264</v>
      </c>
      <c r="B3692" t="s">
        <v>230</v>
      </c>
      <c r="C3692" t="s">
        <v>427</v>
      </c>
      <c r="D3692" s="1">
        <v>45236</v>
      </c>
      <c r="E3692" t="s">
        <v>422</v>
      </c>
      <c r="F3692">
        <v>15.81</v>
      </c>
      <c r="G3692" t="s">
        <v>70</v>
      </c>
      <c r="H3692" t="s">
        <v>264</v>
      </c>
      <c r="I3692" t="s">
        <v>72</v>
      </c>
    </row>
    <row r="3693" spans="1:9" x14ac:dyDescent="0.25">
      <c r="A3693" t="s">
        <v>264</v>
      </c>
      <c r="B3693" t="s">
        <v>230</v>
      </c>
      <c r="C3693" t="s">
        <v>427</v>
      </c>
      <c r="D3693" s="1">
        <v>45237</v>
      </c>
      <c r="E3693" t="s">
        <v>422</v>
      </c>
      <c r="F3693">
        <v>569.75</v>
      </c>
      <c r="G3693" t="s">
        <v>70</v>
      </c>
      <c r="H3693" t="s">
        <v>264</v>
      </c>
      <c r="I3693" t="s">
        <v>72</v>
      </c>
    </row>
    <row r="3694" spans="1:9" x14ac:dyDescent="0.25">
      <c r="A3694" t="s">
        <v>264</v>
      </c>
      <c r="B3694" t="s">
        <v>230</v>
      </c>
      <c r="C3694" t="s">
        <v>427</v>
      </c>
      <c r="D3694" s="1">
        <v>45237</v>
      </c>
      <c r="E3694" t="s">
        <v>566</v>
      </c>
      <c r="F3694">
        <v>-73.55</v>
      </c>
      <c r="G3694" t="s">
        <v>79</v>
      </c>
      <c r="H3694" t="s">
        <v>80</v>
      </c>
      <c r="I3694" t="s">
        <v>80</v>
      </c>
    </row>
    <row r="3695" spans="1:9" x14ac:dyDescent="0.25">
      <c r="A3695" t="s">
        <v>264</v>
      </c>
      <c r="B3695" t="s">
        <v>230</v>
      </c>
      <c r="C3695" t="s">
        <v>427</v>
      </c>
      <c r="D3695" s="1">
        <v>45237</v>
      </c>
      <c r="E3695" t="s">
        <v>567</v>
      </c>
      <c r="F3695">
        <v>-0.36</v>
      </c>
      <c r="G3695" t="s">
        <v>79</v>
      </c>
      <c r="H3695" t="s">
        <v>80</v>
      </c>
      <c r="I3695" t="s">
        <v>80</v>
      </c>
    </row>
    <row r="3696" spans="1:9" x14ac:dyDescent="0.25">
      <c r="A3696" t="s">
        <v>264</v>
      </c>
      <c r="B3696" t="s">
        <v>230</v>
      </c>
      <c r="C3696" t="s">
        <v>427</v>
      </c>
      <c r="D3696" s="1">
        <v>45240</v>
      </c>
      <c r="E3696" t="s">
        <v>445</v>
      </c>
      <c r="F3696">
        <v>-0.45</v>
      </c>
      <c r="G3696" t="s">
        <v>84</v>
      </c>
      <c r="H3696" t="s">
        <v>85</v>
      </c>
      <c r="I3696" t="s">
        <v>86</v>
      </c>
    </row>
    <row r="3697" spans="1:9" x14ac:dyDescent="0.25">
      <c r="A3697" t="s">
        <v>264</v>
      </c>
      <c r="B3697" t="s">
        <v>230</v>
      </c>
      <c r="C3697" t="s">
        <v>427</v>
      </c>
      <c r="D3697" s="1">
        <v>45240</v>
      </c>
      <c r="E3697" t="s">
        <v>446</v>
      </c>
      <c r="F3697">
        <v>-1.01</v>
      </c>
      <c r="G3697" t="s">
        <v>84</v>
      </c>
      <c r="H3697" t="s">
        <v>85</v>
      </c>
      <c r="I3697" t="s">
        <v>86</v>
      </c>
    </row>
    <row r="3698" spans="1:9" x14ac:dyDescent="0.25">
      <c r="A3698" t="s">
        <v>264</v>
      </c>
      <c r="B3698" t="s">
        <v>230</v>
      </c>
      <c r="C3698" t="s">
        <v>427</v>
      </c>
      <c r="D3698" s="1">
        <v>45240</v>
      </c>
      <c r="E3698" t="s">
        <v>606</v>
      </c>
      <c r="F3698">
        <v>-59</v>
      </c>
      <c r="G3698" t="s">
        <v>212</v>
      </c>
      <c r="H3698" t="s">
        <v>213</v>
      </c>
      <c r="I3698" t="s">
        <v>559</v>
      </c>
    </row>
    <row r="3699" spans="1:9" x14ac:dyDescent="0.25">
      <c r="A3699" t="s">
        <v>264</v>
      </c>
      <c r="B3699" t="s">
        <v>230</v>
      </c>
      <c r="C3699" t="s">
        <v>427</v>
      </c>
      <c r="D3699" s="1">
        <v>45239</v>
      </c>
      <c r="E3699" t="s">
        <v>607</v>
      </c>
      <c r="F3699">
        <v>-60.7</v>
      </c>
      <c r="G3699" t="s">
        <v>212</v>
      </c>
      <c r="H3699" t="s">
        <v>213</v>
      </c>
      <c r="I3699" t="s">
        <v>214</v>
      </c>
    </row>
    <row r="3700" spans="1:9" x14ac:dyDescent="0.25">
      <c r="A3700" t="s">
        <v>264</v>
      </c>
      <c r="B3700" t="s">
        <v>230</v>
      </c>
      <c r="C3700" t="s">
        <v>427</v>
      </c>
      <c r="D3700" s="1">
        <v>45239</v>
      </c>
      <c r="E3700" t="s">
        <v>578</v>
      </c>
      <c r="F3700">
        <v>-12.95</v>
      </c>
      <c r="G3700" t="s">
        <v>68</v>
      </c>
      <c r="H3700" t="s">
        <v>69</v>
      </c>
      <c r="I3700" t="s">
        <v>69</v>
      </c>
    </row>
    <row r="3701" spans="1:9" x14ac:dyDescent="0.25">
      <c r="A3701" t="s">
        <v>264</v>
      </c>
      <c r="B3701" t="s">
        <v>230</v>
      </c>
      <c r="C3701" t="s">
        <v>427</v>
      </c>
      <c r="D3701" s="1">
        <v>45238</v>
      </c>
      <c r="E3701" t="s">
        <v>422</v>
      </c>
      <c r="F3701">
        <v>6.99</v>
      </c>
      <c r="G3701" t="s">
        <v>70</v>
      </c>
      <c r="H3701" t="s">
        <v>264</v>
      </c>
      <c r="I3701" t="s">
        <v>72</v>
      </c>
    </row>
    <row r="3702" spans="1:9" x14ac:dyDescent="0.25">
      <c r="A3702" t="s">
        <v>264</v>
      </c>
      <c r="B3702" t="s">
        <v>230</v>
      </c>
      <c r="C3702" t="s">
        <v>427</v>
      </c>
      <c r="D3702" s="1">
        <v>45240</v>
      </c>
      <c r="E3702" t="s">
        <v>534</v>
      </c>
      <c r="F3702">
        <v>-287.97000000000003</v>
      </c>
      <c r="G3702" t="s">
        <v>79</v>
      </c>
      <c r="H3702" t="s">
        <v>81</v>
      </c>
      <c r="I3702" t="s">
        <v>81</v>
      </c>
    </row>
    <row r="3703" spans="1:9" x14ac:dyDescent="0.25">
      <c r="A3703" t="s">
        <v>264</v>
      </c>
      <c r="B3703" t="s">
        <v>230</v>
      </c>
      <c r="C3703" t="s">
        <v>427</v>
      </c>
      <c r="D3703" s="1">
        <v>45239</v>
      </c>
      <c r="E3703" t="s">
        <v>422</v>
      </c>
      <c r="F3703">
        <v>83.26</v>
      </c>
      <c r="G3703" t="s">
        <v>70</v>
      </c>
      <c r="H3703" t="s">
        <v>264</v>
      </c>
      <c r="I3703" t="s">
        <v>72</v>
      </c>
    </row>
    <row r="3704" spans="1:9" x14ac:dyDescent="0.25">
      <c r="A3704" t="s">
        <v>264</v>
      </c>
      <c r="B3704" t="s">
        <v>230</v>
      </c>
      <c r="C3704" t="s">
        <v>427</v>
      </c>
      <c r="D3704" s="1">
        <v>45239</v>
      </c>
      <c r="E3704" t="s">
        <v>422</v>
      </c>
      <c r="F3704">
        <v>107.94</v>
      </c>
      <c r="G3704" t="s">
        <v>70</v>
      </c>
      <c r="H3704" t="s">
        <v>264</v>
      </c>
      <c r="I3704" t="s">
        <v>72</v>
      </c>
    </row>
    <row r="3705" spans="1:9" x14ac:dyDescent="0.25">
      <c r="A3705" t="s">
        <v>264</v>
      </c>
      <c r="B3705" t="s">
        <v>230</v>
      </c>
      <c r="C3705" t="s">
        <v>427</v>
      </c>
      <c r="D3705" s="1">
        <v>45239</v>
      </c>
      <c r="E3705" t="s">
        <v>422</v>
      </c>
      <c r="F3705">
        <v>8.1</v>
      </c>
      <c r="G3705" t="s">
        <v>70</v>
      </c>
      <c r="H3705" t="s">
        <v>264</v>
      </c>
      <c r="I3705" t="s">
        <v>72</v>
      </c>
    </row>
    <row r="3706" spans="1:9" x14ac:dyDescent="0.25">
      <c r="A3706" t="s">
        <v>264</v>
      </c>
      <c r="B3706" t="s">
        <v>230</v>
      </c>
      <c r="C3706" t="s">
        <v>427</v>
      </c>
      <c r="D3706" s="1">
        <v>45239</v>
      </c>
      <c r="E3706" t="s">
        <v>422</v>
      </c>
      <c r="F3706">
        <v>119.99</v>
      </c>
      <c r="G3706" t="s">
        <v>70</v>
      </c>
      <c r="H3706" t="s">
        <v>264</v>
      </c>
      <c r="I3706" t="s">
        <v>72</v>
      </c>
    </row>
    <row r="3707" spans="1:9" x14ac:dyDescent="0.25">
      <c r="A3707" t="s">
        <v>264</v>
      </c>
      <c r="B3707" t="s">
        <v>230</v>
      </c>
      <c r="C3707" t="s">
        <v>427</v>
      </c>
      <c r="D3707" s="1">
        <v>45239</v>
      </c>
      <c r="E3707" t="s">
        <v>428</v>
      </c>
      <c r="F3707">
        <v>-21.53</v>
      </c>
      <c r="G3707" t="s">
        <v>68</v>
      </c>
      <c r="H3707" t="s">
        <v>69</v>
      </c>
      <c r="I3707" t="s">
        <v>69</v>
      </c>
    </row>
    <row r="3708" spans="1:9" x14ac:dyDescent="0.25">
      <c r="A3708" t="s">
        <v>264</v>
      </c>
      <c r="B3708" t="s">
        <v>230</v>
      </c>
      <c r="C3708" t="s">
        <v>427</v>
      </c>
      <c r="D3708" s="1">
        <v>45239</v>
      </c>
      <c r="E3708" t="s">
        <v>465</v>
      </c>
      <c r="F3708">
        <v>-0.35</v>
      </c>
      <c r="G3708" t="s">
        <v>212</v>
      </c>
      <c r="H3708" t="s">
        <v>213</v>
      </c>
      <c r="I3708" t="s">
        <v>214</v>
      </c>
    </row>
    <row r="3709" spans="1:9" x14ac:dyDescent="0.25">
      <c r="A3709" t="s">
        <v>264</v>
      </c>
      <c r="B3709" t="s">
        <v>230</v>
      </c>
      <c r="C3709" t="s">
        <v>427</v>
      </c>
      <c r="D3709" s="1">
        <v>45243</v>
      </c>
      <c r="E3709" t="s">
        <v>575</v>
      </c>
      <c r="F3709">
        <v>-51.46</v>
      </c>
      <c r="G3709" t="s">
        <v>350</v>
      </c>
      <c r="H3709" t="s">
        <v>576</v>
      </c>
      <c r="I3709" t="s">
        <v>576</v>
      </c>
    </row>
    <row r="3710" spans="1:9" x14ac:dyDescent="0.25">
      <c r="A3710" t="s">
        <v>264</v>
      </c>
      <c r="B3710" t="s">
        <v>230</v>
      </c>
      <c r="C3710" t="s">
        <v>427</v>
      </c>
      <c r="D3710" s="1">
        <v>45240</v>
      </c>
      <c r="E3710" t="s">
        <v>422</v>
      </c>
      <c r="F3710">
        <v>63.19</v>
      </c>
      <c r="G3710" t="s">
        <v>70</v>
      </c>
      <c r="H3710" t="s">
        <v>264</v>
      </c>
      <c r="I3710" t="s">
        <v>72</v>
      </c>
    </row>
    <row r="3711" spans="1:9" x14ac:dyDescent="0.25">
      <c r="A3711" t="s">
        <v>264</v>
      </c>
      <c r="B3711" t="s">
        <v>230</v>
      </c>
      <c r="C3711" t="s">
        <v>427</v>
      </c>
      <c r="D3711" s="1">
        <v>45243</v>
      </c>
      <c r="E3711" t="s">
        <v>422</v>
      </c>
      <c r="F3711">
        <v>0.39</v>
      </c>
      <c r="G3711" t="s">
        <v>70</v>
      </c>
      <c r="H3711" t="s">
        <v>264</v>
      </c>
      <c r="I3711" t="s">
        <v>72</v>
      </c>
    </row>
    <row r="3712" spans="1:9" x14ac:dyDescent="0.25">
      <c r="A3712" t="s">
        <v>264</v>
      </c>
      <c r="B3712" t="s">
        <v>230</v>
      </c>
      <c r="C3712" t="s">
        <v>427</v>
      </c>
      <c r="D3712" s="1">
        <v>45243</v>
      </c>
      <c r="E3712" t="s">
        <v>422</v>
      </c>
      <c r="F3712">
        <v>6.52</v>
      </c>
      <c r="G3712" t="s">
        <v>70</v>
      </c>
      <c r="H3712" t="s">
        <v>264</v>
      </c>
      <c r="I3712" t="s">
        <v>72</v>
      </c>
    </row>
    <row r="3713" spans="1:9" x14ac:dyDescent="0.25">
      <c r="A3713" t="s">
        <v>264</v>
      </c>
      <c r="B3713" t="s">
        <v>230</v>
      </c>
      <c r="C3713" t="s">
        <v>427</v>
      </c>
      <c r="D3713" s="1">
        <v>45243</v>
      </c>
      <c r="E3713" t="s">
        <v>608</v>
      </c>
      <c r="F3713">
        <v>-10.27</v>
      </c>
      <c r="G3713" t="s">
        <v>92</v>
      </c>
      <c r="H3713" t="s">
        <v>93</v>
      </c>
      <c r="I3713" t="s">
        <v>94</v>
      </c>
    </row>
    <row r="3714" spans="1:9" x14ac:dyDescent="0.25">
      <c r="A3714" t="s">
        <v>264</v>
      </c>
      <c r="B3714" t="s">
        <v>230</v>
      </c>
      <c r="C3714" t="s">
        <v>427</v>
      </c>
      <c r="D3714" s="1">
        <v>45243</v>
      </c>
      <c r="E3714" t="s">
        <v>608</v>
      </c>
      <c r="F3714">
        <v>-5.91</v>
      </c>
      <c r="G3714" t="s">
        <v>92</v>
      </c>
      <c r="H3714" t="s">
        <v>93</v>
      </c>
      <c r="I3714" t="s">
        <v>94</v>
      </c>
    </row>
    <row r="3715" spans="1:9" x14ac:dyDescent="0.25">
      <c r="A3715" t="s">
        <v>264</v>
      </c>
      <c r="B3715" t="s">
        <v>230</v>
      </c>
      <c r="C3715" t="s">
        <v>427</v>
      </c>
      <c r="D3715" s="1">
        <v>45243</v>
      </c>
      <c r="E3715" t="s">
        <v>609</v>
      </c>
      <c r="F3715">
        <v>-10.74</v>
      </c>
      <c r="G3715" t="s">
        <v>92</v>
      </c>
      <c r="H3715" t="s">
        <v>93</v>
      </c>
      <c r="I3715" t="s">
        <v>94</v>
      </c>
    </row>
    <row r="3716" spans="1:9" x14ac:dyDescent="0.25">
      <c r="A3716" t="s">
        <v>264</v>
      </c>
      <c r="B3716" t="s">
        <v>230</v>
      </c>
      <c r="C3716" t="s">
        <v>427</v>
      </c>
      <c r="D3716" s="1">
        <v>45243</v>
      </c>
      <c r="E3716" t="s">
        <v>438</v>
      </c>
      <c r="F3716">
        <v>-6.44</v>
      </c>
      <c r="G3716" t="s">
        <v>68</v>
      </c>
      <c r="H3716" t="s">
        <v>69</v>
      </c>
      <c r="I3716" t="s">
        <v>69</v>
      </c>
    </row>
    <row r="3717" spans="1:9" x14ac:dyDescent="0.25">
      <c r="A3717" t="s">
        <v>264</v>
      </c>
      <c r="B3717" t="s">
        <v>230</v>
      </c>
      <c r="C3717" t="s">
        <v>427</v>
      </c>
      <c r="D3717" s="1">
        <v>45243</v>
      </c>
      <c r="E3717" t="s">
        <v>422</v>
      </c>
      <c r="F3717">
        <v>5.59</v>
      </c>
      <c r="G3717" t="s">
        <v>70</v>
      </c>
      <c r="H3717" t="s">
        <v>264</v>
      </c>
      <c r="I3717" t="s">
        <v>72</v>
      </c>
    </row>
    <row r="3718" spans="1:9" x14ac:dyDescent="0.25">
      <c r="A3718" t="s">
        <v>264</v>
      </c>
      <c r="B3718" t="s">
        <v>230</v>
      </c>
      <c r="C3718" t="s">
        <v>427</v>
      </c>
      <c r="D3718" s="1">
        <v>45243</v>
      </c>
      <c r="E3718" t="s">
        <v>610</v>
      </c>
      <c r="F3718">
        <v>-12.9</v>
      </c>
      <c r="G3718" t="s">
        <v>76</v>
      </c>
      <c r="H3718" t="s">
        <v>77</v>
      </c>
      <c r="I3718" t="s">
        <v>539</v>
      </c>
    </row>
    <row r="3719" spans="1:9" x14ac:dyDescent="0.25">
      <c r="A3719" t="s">
        <v>264</v>
      </c>
      <c r="B3719" t="s">
        <v>230</v>
      </c>
      <c r="C3719" t="s">
        <v>427</v>
      </c>
      <c r="D3719" s="1">
        <v>45244</v>
      </c>
      <c r="E3719" t="s">
        <v>443</v>
      </c>
      <c r="F3719">
        <v>-31.38</v>
      </c>
      <c r="G3719" t="s">
        <v>79</v>
      </c>
      <c r="H3719" t="s">
        <v>96</v>
      </c>
      <c r="I3719" t="s">
        <v>96</v>
      </c>
    </row>
    <row r="3720" spans="1:9" x14ac:dyDescent="0.25">
      <c r="A3720" t="s">
        <v>264</v>
      </c>
      <c r="B3720" t="s">
        <v>230</v>
      </c>
      <c r="C3720" t="s">
        <v>427</v>
      </c>
      <c r="D3720" s="1">
        <v>45243</v>
      </c>
      <c r="E3720" t="s">
        <v>422</v>
      </c>
      <c r="F3720">
        <v>12.92</v>
      </c>
      <c r="G3720" t="s">
        <v>70</v>
      </c>
      <c r="H3720" t="s">
        <v>264</v>
      </c>
      <c r="I3720" t="s">
        <v>72</v>
      </c>
    </row>
    <row r="3721" spans="1:9" x14ac:dyDescent="0.25">
      <c r="A3721" t="s">
        <v>264</v>
      </c>
      <c r="B3721" t="s">
        <v>230</v>
      </c>
      <c r="C3721" t="s">
        <v>427</v>
      </c>
      <c r="D3721" s="1">
        <v>45243</v>
      </c>
      <c r="E3721" t="s">
        <v>422</v>
      </c>
      <c r="F3721">
        <v>56.54</v>
      </c>
      <c r="G3721" t="s">
        <v>70</v>
      </c>
      <c r="H3721" t="s">
        <v>264</v>
      </c>
      <c r="I3721" t="s">
        <v>72</v>
      </c>
    </row>
    <row r="3722" spans="1:9" x14ac:dyDescent="0.25">
      <c r="A3722" t="s">
        <v>264</v>
      </c>
      <c r="B3722" t="s">
        <v>230</v>
      </c>
      <c r="C3722" t="s">
        <v>427</v>
      </c>
      <c r="D3722" s="1">
        <v>45246</v>
      </c>
      <c r="E3722" t="s">
        <v>480</v>
      </c>
      <c r="F3722">
        <v>-26.99</v>
      </c>
      <c r="G3722" t="s">
        <v>76</v>
      </c>
      <c r="H3722" t="s">
        <v>82</v>
      </c>
      <c r="I3722" t="s">
        <v>83</v>
      </c>
    </row>
    <row r="3723" spans="1:9" x14ac:dyDescent="0.25">
      <c r="A3723" t="s">
        <v>264</v>
      </c>
      <c r="B3723" t="s">
        <v>230</v>
      </c>
      <c r="C3723" t="s">
        <v>427</v>
      </c>
      <c r="D3723" s="1">
        <v>45245</v>
      </c>
      <c r="E3723" t="s">
        <v>422</v>
      </c>
      <c r="F3723">
        <v>145.96</v>
      </c>
      <c r="G3723" t="s">
        <v>70</v>
      </c>
      <c r="H3723" t="s">
        <v>264</v>
      </c>
      <c r="I3723" t="s">
        <v>72</v>
      </c>
    </row>
    <row r="3724" spans="1:9" x14ac:dyDescent="0.25">
      <c r="A3724" t="s">
        <v>264</v>
      </c>
      <c r="B3724" t="s">
        <v>230</v>
      </c>
      <c r="C3724" t="s">
        <v>427</v>
      </c>
      <c r="D3724" s="1">
        <v>45247</v>
      </c>
      <c r="E3724" t="s">
        <v>424</v>
      </c>
      <c r="F3724">
        <v>-98.07</v>
      </c>
      <c r="G3724" t="s">
        <v>68</v>
      </c>
      <c r="H3724" t="s">
        <v>69</v>
      </c>
      <c r="I3724" t="s">
        <v>69</v>
      </c>
    </row>
    <row r="3725" spans="1:9" x14ac:dyDescent="0.25">
      <c r="A3725" t="s">
        <v>264</v>
      </c>
      <c r="B3725" t="s">
        <v>230</v>
      </c>
      <c r="C3725" t="s">
        <v>427</v>
      </c>
      <c r="D3725" s="1">
        <v>45247</v>
      </c>
      <c r="E3725" t="s">
        <v>428</v>
      </c>
      <c r="F3725">
        <v>-64.05</v>
      </c>
      <c r="G3725" t="s">
        <v>68</v>
      </c>
      <c r="H3725" t="s">
        <v>69</v>
      </c>
      <c r="I3725" t="s">
        <v>69</v>
      </c>
    </row>
    <row r="3726" spans="1:9" x14ac:dyDescent="0.25">
      <c r="A3726" t="s">
        <v>264</v>
      </c>
      <c r="B3726" t="s">
        <v>230</v>
      </c>
      <c r="C3726" t="s">
        <v>427</v>
      </c>
      <c r="D3726" s="1">
        <v>45247</v>
      </c>
      <c r="E3726" t="s">
        <v>421</v>
      </c>
      <c r="F3726">
        <v>-9.8699999999999992</v>
      </c>
      <c r="G3726" t="s">
        <v>68</v>
      </c>
      <c r="H3726" t="s">
        <v>69</v>
      </c>
      <c r="I3726" t="s">
        <v>69</v>
      </c>
    </row>
    <row r="3727" spans="1:9" x14ac:dyDescent="0.25">
      <c r="A3727" t="s">
        <v>264</v>
      </c>
      <c r="B3727" t="s">
        <v>230</v>
      </c>
      <c r="C3727" t="s">
        <v>427</v>
      </c>
      <c r="D3727" s="1">
        <v>45246</v>
      </c>
      <c r="E3727" t="s">
        <v>422</v>
      </c>
      <c r="F3727">
        <v>136.72</v>
      </c>
      <c r="G3727" t="s">
        <v>70</v>
      </c>
      <c r="H3727" t="s">
        <v>264</v>
      </c>
      <c r="I3727" t="s">
        <v>72</v>
      </c>
    </row>
    <row r="3728" spans="1:9" x14ac:dyDescent="0.25">
      <c r="A3728" t="s">
        <v>264</v>
      </c>
      <c r="B3728" t="s">
        <v>230</v>
      </c>
      <c r="C3728" t="s">
        <v>427</v>
      </c>
      <c r="D3728" s="1">
        <v>45246</v>
      </c>
      <c r="E3728" t="s">
        <v>422</v>
      </c>
      <c r="F3728">
        <v>34.53</v>
      </c>
      <c r="G3728" t="s">
        <v>70</v>
      </c>
      <c r="H3728" t="s">
        <v>264</v>
      </c>
      <c r="I3728" t="s">
        <v>72</v>
      </c>
    </row>
    <row r="3729" spans="1:9" x14ac:dyDescent="0.25">
      <c r="A3729" t="s">
        <v>264</v>
      </c>
      <c r="B3729" t="s">
        <v>230</v>
      </c>
      <c r="C3729" t="s">
        <v>427</v>
      </c>
      <c r="D3729" s="1">
        <v>45246</v>
      </c>
      <c r="E3729" t="s">
        <v>543</v>
      </c>
      <c r="F3729">
        <v>-64.209999999999994</v>
      </c>
      <c r="G3729" t="s">
        <v>79</v>
      </c>
      <c r="H3729" t="s">
        <v>96</v>
      </c>
      <c r="I3729" t="s">
        <v>96</v>
      </c>
    </row>
    <row r="3730" spans="1:9" x14ac:dyDescent="0.25">
      <c r="A3730" t="s">
        <v>264</v>
      </c>
      <c r="B3730" t="s">
        <v>230</v>
      </c>
      <c r="C3730" t="s">
        <v>427</v>
      </c>
      <c r="D3730" s="1">
        <v>45246</v>
      </c>
      <c r="E3730" t="s">
        <v>611</v>
      </c>
      <c r="F3730">
        <v>-56.32</v>
      </c>
      <c r="G3730" t="s">
        <v>79</v>
      </c>
      <c r="H3730" t="s">
        <v>96</v>
      </c>
      <c r="I3730" t="s">
        <v>96</v>
      </c>
    </row>
    <row r="3731" spans="1:9" x14ac:dyDescent="0.25">
      <c r="A3731" t="s">
        <v>264</v>
      </c>
      <c r="B3731" t="s">
        <v>230</v>
      </c>
      <c r="C3731" t="s">
        <v>427</v>
      </c>
      <c r="D3731" s="1">
        <v>45246</v>
      </c>
      <c r="E3731" t="s">
        <v>543</v>
      </c>
      <c r="F3731">
        <v>-9.7899999999999991</v>
      </c>
      <c r="G3731" t="s">
        <v>79</v>
      </c>
      <c r="H3731" t="s">
        <v>96</v>
      </c>
      <c r="I3731" t="s">
        <v>96</v>
      </c>
    </row>
    <row r="3732" spans="1:9" x14ac:dyDescent="0.25">
      <c r="A3732" t="s">
        <v>264</v>
      </c>
      <c r="B3732" t="s">
        <v>230</v>
      </c>
      <c r="C3732" t="s">
        <v>427</v>
      </c>
      <c r="D3732" s="1">
        <v>45250</v>
      </c>
      <c r="E3732" t="s">
        <v>612</v>
      </c>
      <c r="F3732">
        <v>-187.44</v>
      </c>
      <c r="G3732" t="s">
        <v>467</v>
      </c>
      <c r="H3732" t="s">
        <v>468</v>
      </c>
      <c r="I3732" t="s">
        <v>467</v>
      </c>
    </row>
    <row r="3733" spans="1:9" x14ac:dyDescent="0.25">
      <c r="A3733" t="s">
        <v>264</v>
      </c>
      <c r="B3733" t="s">
        <v>230</v>
      </c>
      <c r="C3733" t="s">
        <v>427</v>
      </c>
      <c r="D3733" s="1">
        <v>45250</v>
      </c>
      <c r="E3733" t="s">
        <v>555</v>
      </c>
      <c r="F3733">
        <v>-20.49</v>
      </c>
      <c r="G3733" t="s">
        <v>68</v>
      </c>
      <c r="H3733" t="s">
        <v>69</v>
      </c>
      <c r="I3733" t="s">
        <v>69</v>
      </c>
    </row>
    <row r="3734" spans="1:9" x14ac:dyDescent="0.25">
      <c r="A3734" t="s">
        <v>264</v>
      </c>
      <c r="B3734" t="s">
        <v>230</v>
      </c>
      <c r="C3734" t="s">
        <v>427</v>
      </c>
      <c r="D3734" s="1">
        <v>45250</v>
      </c>
      <c r="E3734" t="s">
        <v>422</v>
      </c>
      <c r="F3734">
        <v>52.81</v>
      </c>
      <c r="G3734" t="s">
        <v>70</v>
      </c>
      <c r="H3734" t="s">
        <v>264</v>
      </c>
      <c r="I3734" t="s">
        <v>72</v>
      </c>
    </row>
    <row r="3735" spans="1:9" x14ac:dyDescent="0.25">
      <c r="A3735" t="s">
        <v>264</v>
      </c>
      <c r="B3735" t="s">
        <v>230</v>
      </c>
      <c r="C3735" t="s">
        <v>427</v>
      </c>
      <c r="D3735" s="1">
        <v>45250</v>
      </c>
      <c r="E3735" t="s">
        <v>422</v>
      </c>
      <c r="F3735">
        <v>62.51</v>
      </c>
      <c r="G3735" t="s">
        <v>70</v>
      </c>
      <c r="H3735" t="s">
        <v>264</v>
      </c>
      <c r="I3735" t="s">
        <v>72</v>
      </c>
    </row>
    <row r="3736" spans="1:9" x14ac:dyDescent="0.25">
      <c r="A3736" t="s">
        <v>264</v>
      </c>
      <c r="B3736" t="s">
        <v>230</v>
      </c>
      <c r="C3736" t="s">
        <v>427</v>
      </c>
      <c r="D3736" s="1">
        <v>45250</v>
      </c>
      <c r="E3736" t="s">
        <v>613</v>
      </c>
      <c r="F3736">
        <v>-191.41</v>
      </c>
      <c r="G3736" t="s">
        <v>76</v>
      </c>
      <c r="H3736" t="s">
        <v>87</v>
      </c>
      <c r="I3736" t="s">
        <v>88</v>
      </c>
    </row>
    <row r="3737" spans="1:9" x14ac:dyDescent="0.25">
      <c r="A3737" t="s">
        <v>264</v>
      </c>
      <c r="B3737" t="s">
        <v>230</v>
      </c>
      <c r="C3737" t="s">
        <v>427</v>
      </c>
      <c r="D3737" s="1">
        <v>45250</v>
      </c>
      <c r="E3737" t="s">
        <v>614</v>
      </c>
      <c r="F3737">
        <v>-12.56</v>
      </c>
      <c r="G3737" t="s">
        <v>212</v>
      </c>
      <c r="H3737" t="s">
        <v>213</v>
      </c>
      <c r="I3737" t="s">
        <v>214</v>
      </c>
    </row>
    <row r="3738" spans="1:9" x14ac:dyDescent="0.25">
      <c r="A3738" t="s">
        <v>264</v>
      </c>
      <c r="B3738" t="s">
        <v>230</v>
      </c>
      <c r="C3738" t="s">
        <v>427</v>
      </c>
      <c r="D3738" s="1">
        <v>45250</v>
      </c>
      <c r="E3738" t="s">
        <v>479</v>
      </c>
      <c r="F3738">
        <v>-4.13</v>
      </c>
      <c r="G3738" t="s">
        <v>89</v>
      </c>
      <c r="H3738" t="s">
        <v>90</v>
      </c>
      <c r="I3738" t="s">
        <v>128</v>
      </c>
    </row>
    <row r="3739" spans="1:9" x14ac:dyDescent="0.25">
      <c r="A3739" t="s">
        <v>264</v>
      </c>
      <c r="B3739" t="s">
        <v>230</v>
      </c>
      <c r="C3739" t="s">
        <v>427</v>
      </c>
      <c r="D3739" s="1">
        <v>45250</v>
      </c>
      <c r="E3739" t="s">
        <v>532</v>
      </c>
      <c r="F3739">
        <v>-8.65</v>
      </c>
      <c r="G3739" t="s">
        <v>68</v>
      </c>
      <c r="H3739" t="s">
        <v>69</v>
      </c>
      <c r="I3739" t="s">
        <v>69</v>
      </c>
    </row>
    <row r="3740" spans="1:9" x14ac:dyDescent="0.25">
      <c r="A3740" t="s">
        <v>264</v>
      </c>
      <c r="B3740" t="s">
        <v>230</v>
      </c>
      <c r="C3740" t="s">
        <v>427</v>
      </c>
      <c r="D3740" s="1">
        <v>45250</v>
      </c>
      <c r="E3740" t="s">
        <v>422</v>
      </c>
      <c r="F3740">
        <v>59.13</v>
      </c>
      <c r="G3740" t="s">
        <v>70</v>
      </c>
      <c r="H3740" t="s">
        <v>264</v>
      </c>
      <c r="I3740" t="s">
        <v>72</v>
      </c>
    </row>
    <row r="3741" spans="1:9" x14ac:dyDescent="0.25">
      <c r="A3741" t="s">
        <v>264</v>
      </c>
      <c r="B3741" t="s">
        <v>230</v>
      </c>
      <c r="C3741" t="s">
        <v>427</v>
      </c>
      <c r="D3741" s="1">
        <v>45250</v>
      </c>
      <c r="E3741" t="s">
        <v>422</v>
      </c>
      <c r="F3741">
        <v>538.29999999999995</v>
      </c>
      <c r="G3741" t="s">
        <v>70</v>
      </c>
      <c r="H3741" t="s">
        <v>264</v>
      </c>
      <c r="I3741" t="s">
        <v>72</v>
      </c>
    </row>
    <row r="3742" spans="1:9" x14ac:dyDescent="0.25">
      <c r="A3742" t="s">
        <v>264</v>
      </c>
      <c r="B3742" t="s">
        <v>230</v>
      </c>
      <c r="C3742" t="s">
        <v>427</v>
      </c>
      <c r="D3742" s="1">
        <v>45250</v>
      </c>
      <c r="E3742" t="s">
        <v>422</v>
      </c>
      <c r="F3742">
        <v>2265.81</v>
      </c>
      <c r="G3742" t="s">
        <v>70</v>
      </c>
      <c r="H3742" t="s">
        <v>264</v>
      </c>
      <c r="I3742" t="s">
        <v>72</v>
      </c>
    </row>
    <row r="3743" spans="1:9" x14ac:dyDescent="0.25">
      <c r="A3743" t="s">
        <v>264</v>
      </c>
      <c r="B3743" t="s">
        <v>230</v>
      </c>
      <c r="C3743" t="s">
        <v>427</v>
      </c>
      <c r="D3743" s="1">
        <v>45250</v>
      </c>
      <c r="E3743" t="s">
        <v>422</v>
      </c>
      <c r="F3743">
        <v>490.8</v>
      </c>
      <c r="G3743" t="s">
        <v>70</v>
      </c>
      <c r="H3743" t="s">
        <v>264</v>
      </c>
      <c r="I3743" t="s">
        <v>72</v>
      </c>
    </row>
    <row r="3744" spans="1:9" x14ac:dyDescent="0.25">
      <c r="A3744" t="s">
        <v>264</v>
      </c>
      <c r="B3744" t="s">
        <v>230</v>
      </c>
      <c r="C3744" t="s">
        <v>427</v>
      </c>
      <c r="D3744" s="1">
        <v>45250</v>
      </c>
      <c r="E3744" t="s">
        <v>422</v>
      </c>
      <c r="F3744">
        <v>9.33</v>
      </c>
      <c r="G3744" t="s">
        <v>70</v>
      </c>
      <c r="H3744" t="s">
        <v>264</v>
      </c>
      <c r="I3744" t="s">
        <v>72</v>
      </c>
    </row>
    <row r="3745" spans="1:9" x14ac:dyDescent="0.25">
      <c r="A3745" t="s">
        <v>264</v>
      </c>
      <c r="B3745" t="s">
        <v>230</v>
      </c>
      <c r="C3745" t="s">
        <v>427</v>
      </c>
      <c r="D3745" s="1">
        <v>45250</v>
      </c>
      <c r="E3745" t="s">
        <v>615</v>
      </c>
      <c r="F3745">
        <v>-20.16</v>
      </c>
      <c r="G3745" t="s">
        <v>79</v>
      </c>
      <c r="H3745" t="s">
        <v>96</v>
      </c>
      <c r="I3745" t="s">
        <v>96</v>
      </c>
    </row>
    <row r="3746" spans="1:9" x14ac:dyDescent="0.25">
      <c r="A3746" t="s">
        <v>264</v>
      </c>
      <c r="B3746" t="s">
        <v>230</v>
      </c>
      <c r="C3746" t="s">
        <v>427</v>
      </c>
      <c r="D3746" s="1">
        <v>45250</v>
      </c>
      <c r="E3746" t="s">
        <v>490</v>
      </c>
      <c r="F3746">
        <v>-1901.03</v>
      </c>
      <c r="G3746" t="s">
        <v>73</v>
      </c>
      <c r="H3746" t="s">
        <v>352</v>
      </c>
      <c r="I3746" t="s">
        <v>352</v>
      </c>
    </row>
    <row r="3747" spans="1:9" x14ac:dyDescent="0.25">
      <c r="A3747" t="s">
        <v>264</v>
      </c>
      <c r="B3747" t="s">
        <v>230</v>
      </c>
      <c r="C3747" t="s">
        <v>427</v>
      </c>
      <c r="D3747" s="1">
        <v>45250</v>
      </c>
      <c r="E3747" t="s">
        <v>616</v>
      </c>
      <c r="F3747">
        <v>-86.37</v>
      </c>
      <c r="G3747" t="s">
        <v>467</v>
      </c>
      <c r="H3747" t="s">
        <v>468</v>
      </c>
      <c r="I3747" t="s">
        <v>467</v>
      </c>
    </row>
    <row r="3748" spans="1:9" x14ac:dyDescent="0.25">
      <c r="A3748" t="s">
        <v>264</v>
      </c>
      <c r="B3748" t="s">
        <v>230</v>
      </c>
      <c r="C3748" t="s">
        <v>427</v>
      </c>
      <c r="D3748" s="1">
        <v>45250</v>
      </c>
      <c r="E3748" t="s">
        <v>482</v>
      </c>
      <c r="F3748">
        <v>-7.44</v>
      </c>
      <c r="G3748" t="s">
        <v>68</v>
      </c>
      <c r="H3748" t="s">
        <v>69</v>
      </c>
      <c r="I3748" t="s">
        <v>69</v>
      </c>
    </row>
    <row r="3749" spans="1:9" x14ac:dyDescent="0.25">
      <c r="A3749" t="s">
        <v>264</v>
      </c>
      <c r="B3749" t="s">
        <v>230</v>
      </c>
      <c r="C3749" t="s">
        <v>427</v>
      </c>
      <c r="D3749" s="1">
        <v>45250</v>
      </c>
      <c r="E3749" t="s">
        <v>491</v>
      </c>
      <c r="F3749">
        <v>-45.99</v>
      </c>
      <c r="G3749" t="s">
        <v>73</v>
      </c>
      <c r="H3749" t="s">
        <v>352</v>
      </c>
      <c r="I3749" t="s">
        <v>352</v>
      </c>
    </row>
    <row r="3750" spans="1:9" x14ac:dyDescent="0.25">
      <c r="A3750" t="s">
        <v>264</v>
      </c>
      <c r="B3750" t="s">
        <v>230</v>
      </c>
      <c r="C3750" t="s">
        <v>427</v>
      </c>
      <c r="D3750" s="1">
        <v>45250</v>
      </c>
      <c r="E3750" t="s">
        <v>617</v>
      </c>
      <c r="F3750">
        <v>-2.35</v>
      </c>
      <c r="G3750" t="s">
        <v>76</v>
      </c>
      <c r="H3750" t="s">
        <v>87</v>
      </c>
      <c r="I3750" t="s">
        <v>88</v>
      </c>
    </row>
    <row r="3751" spans="1:9" x14ac:dyDescent="0.25">
      <c r="A3751" t="s">
        <v>264</v>
      </c>
      <c r="B3751" t="s">
        <v>230</v>
      </c>
      <c r="C3751" t="s">
        <v>427</v>
      </c>
      <c r="D3751" s="1">
        <v>45251</v>
      </c>
      <c r="E3751" t="s">
        <v>486</v>
      </c>
      <c r="F3751">
        <v>-97.17</v>
      </c>
      <c r="G3751" t="s">
        <v>73</v>
      </c>
      <c r="H3751" t="s">
        <v>487</v>
      </c>
      <c r="I3751" t="s">
        <v>487</v>
      </c>
    </row>
    <row r="3752" spans="1:9" x14ac:dyDescent="0.25">
      <c r="A3752" t="s">
        <v>264</v>
      </c>
      <c r="B3752" t="s">
        <v>230</v>
      </c>
      <c r="C3752" t="s">
        <v>427</v>
      </c>
      <c r="D3752" s="1">
        <v>45251</v>
      </c>
      <c r="E3752" t="s">
        <v>486</v>
      </c>
      <c r="F3752">
        <v>-0.59</v>
      </c>
      <c r="G3752" t="s">
        <v>79</v>
      </c>
      <c r="H3752" t="s">
        <v>95</v>
      </c>
      <c r="I3752" t="s">
        <v>95</v>
      </c>
    </row>
    <row r="3753" spans="1:9" x14ac:dyDescent="0.25">
      <c r="A3753" t="s">
        <v>264</v>
      </c>
      <c r="B3753" t="s">
        <v>230</v>
      </c>
      <c r="C3753" t="s">
        <v>427</v>
      </c>
      <c r="D3753" s="1">
        <v>45251</v>
      </c>
      <c r="E3753" t="s">
        <v>486</v>
      </c>
      <c r="F3753">
        <v>-5.97</v>
      </c>
      <c r="G3753" t="s">
        <v>350</v>
      </c>
      <c r="H3753" t="s">
        <v>487</v>
      </c>
      <c r="I3753" t="s">
        <v>487</v>
      </c>
    </row>
    <row r="3754" spans="1:9" x14ac:dyDescent="0.25">
      <c r="A3754" t="s">
        <v>264</v>
      </c>
      <c r="B3754" t="s">
        <v>230</v>
      </c>
      <c r="C3754" t="s">
        <v>427</v>
      </c>
      <c r="D3754" s="1">
        <v>45251</v>
      </c>
      <c r="E3754" t="s">
        <v>425</v>
      </c>
      <c r="F3754">
        <v>-1.72</v>
      </c>
      <c r="G3754" t="s">
        <v>68</v>
      </c>
      <c r="H3754" t="s">
        <v>69</v>
      </c>
      <c r="I3754" t="s">
        <v>69</v>
      </c>
    </row>
    <row r="3755" spans="1:9" x14ac:dyDescent="0.25">
      <c r="A3755" t="s">
        <v>264</v>
      </c>
      <c r="B3755" t="s">
        <v>230</v>
      </c>
      <c r="C3755" t="s">
        <v>427</v>
      </c>
      <c r="D3755" s="1">
        <v>45250</v>
      </c>
      <c r="E3755" t="s">
        <v>422</v>
      </c>
      <c r="F3755">
        <v>350.19</v>
      </c>
      <c r="G3755" t="s">
        <v>70</v>
      </c>
      <c r="H3755" t="s">
        <v>264</v>
      </c>
      <c r="I3755" t="s">
        <v>72</v>
      </c>
    </row>
    <row r="3756" spans="1:9" x14ac:dyDescent="0.25">
      <c r="A3756" t="s">
        <v>264</v>
      </c>
      <c r="B3756" t="s">
        <v>230</v>
      </c>
      <c r="C3756" t="s">
        <v>427</v>
      </c>
      <c r="D3756" s="1">
        <v>45250</v>
      </c>
      <c r="E3756" t="s">
        <v>422</v>
      </c>
      <c r="F3756">
        <v>28.64</v>
      </c>
      <c r="G3756" t="s">
        <v>70</v>
      </c>
      <c r="H3756" t="s">
        <v>264</v>
      </c>
      <c r="I3756" t="s">
        <v>72</v>
      </c>
    </row>
    <row r="3757" spans="1:9" x14ac:dyDescent="0.25">
      <c r="A3757" t="s">
        <v>264</v>
      </c>
      <c r="B3757" t="s">
        <v>230</v>
      </c>
      <c r="C3757" t="s">
        <v>427</v>
      </c>
      <c r="D3757" s="1">
        <v>45253</v>
      </c>
      <c r="E3757" t="s">
        <v>554</v>
      </c>
      <c r="F3757">
        <v>3.79</v>
      </c>
      <c r="G3757" t="s">
        <v>68</v>
      </c>
      <c r="H3757" t="s">
        <v>69</v>
      </c>
      <c r="I3757" t="s">
        <v>69</v>
      </c>
    </row>
    <row r="3758" spans="1:9" x14ac:dyDescent="0.25">
      <c r="A3758" t="s">
        <v>264</v>
      </c>
      <c r="B3758" t="s">
        <v>230</v>
      </c>
      <c r="C3758" t="s">
        <v>427</v>
      </c>
      <c r="D3758" s="1">
        <v>45252</v>
      </c>
      <c r="E3758" t="s">
        <v>554</v>
      </c>
      <c r="F3758">
        <v>-113.32</v>
      </c>
      <c r="G3758" t="s">
        <v>68</v>
      </c>
      <c r="H3758" t="s">
        <v>69</v>
      </c>
      <c r="I3758" t="s">
        <v>69</v>
      </c>
    </row>
    <row r="3759" spans="1:9" x14ac:dyDescent="0.25">
      <c r="A3759" t="s">
        <v>264</v>
      </c>
      <c r="B3759" t="s">
        <v>230</v>
      </c>
      <c r="C3759" t="s">
        <v>427</v>
      </c>
      <c r="D3759" s="1">
        <v>45252</v>
      </c>
      <c r="E3759" t="s">
        <v>618</v>
      </c>
      <c r="F3759">
        <v>-13.5</v>
      </c>
      <c r="G3759" t="s">
        <v>89</v>
      </c>
      <c r="H3759" t="s">
        <v>90</v>
      </c>
      <c r="I3759" t="s">
        <v>474</v>
      </c>
    </row>
    <row r="3760" spans="1:9" x14ac:dyDescent="0.25">
      <c r="A3760" t="s">
        <v>264</v>
      </c>
      <c r="B3760" t="s">
        <v>230</v>
      </c>
      <c r="C3760" t="s">
        <v>427</v>
      </c>
      <c r="D3760" s="1">
        <v>45251</v>
      </c>
      <c r="E3760" t="s">
        <v>422</v>
      </c>
      <c r="F3760">
        <v>190.04</v>
      </c>
      <c r="G3760" t="s">
        <v>70</v>
      </c>
      <c r="H3760" t="s">
        <v>264</v>
      </c>
      <c r="I3760" t="s">
        <v>72</v>
      </c>
    </row>
    <row r="3761" spans="1:9" x14ac:dyDescent="0.25">
      <c r="A3761" t="s">
        <v>264</v>
      </c>
      <c r="B3761" t="s">
        <v>230</v>
      </c>
      <c r="C3761" t="s">
        <v>427</v>
      </c>
      <c r="D3761" s="1">
        <v>45251</v>
      </c>
      <c r="E3761" t="s">
        <v>619</v>
      </c>
      <c r="F3761">
        <v>-170.81</v>
      </c>
      <c r="G3761" t="s">
        <v>79</v>
      </c>
      <c r="H3761" t="s">
        <v>96</v>
      </c>
      <c r="I3761" t="s">
        <v>96</v>
      </c>
    </row>
    <row r="3762" spans="1:9" x14ac:dyDescent="0.25">
      <c r="A3762" t="s">
        <v>264</v>
      </c>
      <c r="B3762" t="s">
        <v>230</v>
      </c>
      <c r="C3762" t="s">
        <v>427</v>
      </c>
      <c r="D3762" s="1">
        <v>45252</v>
      </c>
      <c r="E3762" t="s">
        <v>422</v>
      </c>
      <c r="F3762">
        <v>225.44</v>
      </c>
      <c r="G3762" t="s">
        <v>70</v>
      </c>
      <c r="H3762" t="s">
        <v>264</v>
      </c>
      <c r="I3762" t="s">
        <v>72</v>
      </c>
    </row>
    <row r="3763" spans="1:9" x14ac:dyDescent="0.25">
      <c r="A3763" t="s">
        <v>264</v>
      </c>
      <c r="B3763" t="s">
        <v>230</v>
      </c>
      <c r="C3763" t="s">
        <v>427</v>
      </c>
      <c r="D3763" s="1">
        <v>45257</v>
      </c>
      <c r="E3763" t="s">
        <v>620</v>
      </c>
      <c r="F3763">
        <v>-143.41</v>
      </c>
      <c r="G3763" t="s">
        <v>76</v>
      </c>
      <c r="H3763" t="s">
        <v>87</v>
      </c>
      <c r="I3763" t="s">
        <v>88</v>
      </c>
    </row>
    <row r="3764" spans="1:9" x14ac:dyDescent="0.25">
      <c r="A3764" t="s">
        <v>264</v>
      </c>
      <c r="B3764" t="s">
        <v>230</v>
      </c>
      <c r="C3764" t="s">
        <v>427</v>
      </c>
      <c r="D3764" s="1">
        <v>45254</v>
      </c>
      <c r="E3764" t="s">
        <v>621</v>
      </c>
      <c r="F3764">
        <v>-14.9</v>
      </c>
      <c r="G3764" t="s">
        <v>212</v>
      </c>
      <c r="H3764" t="s">
        <v>213</v>
      </c>
      <c r="I3764" t="s">
        <v>214</v>
      </c>
    </row>
    <row r="3765" spans="1:9" x14ac:dyDescent="0.25">
      <c r="A3765" t="s">
        <v>264</v>
      </c>
      <c r="B3765" t="s">
        <v>230</v>
      </c>
      <c r="C3765" t="s">
        <v>427</v>
      </c>
      <c r="D3765" s="1">
        <v>45254</v>
      </c>
      <c r="E3765" t="s">
        <v>622</v>
      </c>
      <c r="F3765">
        <v>-170.2</v>
      </c>
      <c r="G3765" t="s">
        <v>76</v>
      </c>
      <c r="H3765" t="s">
        <v>87</v>
      </c>
      <c r="I3765" t="s">
        <v>88</v>
      </c>
    </row>
    <row r="3766" spans="1:9" x14ac:dyDescent="0.25">
      <c r="A3766" t="s">
        <v>264</v>
      </c>
      <c r="B3766" t="s">
        <v>230</v>
      </c>
      <c r="C3766" t="s">
        <v>427</v>
      </c>
      <c r="D3766" s="1">
        <v>45253</v>
      </c>
      <c r="E3766" t="s">
        <v>422</v>
      </c>
      <c r="F3766">
        <v>19.329999999999998</v>
      </c>
      <c r="G3766" t="s">
        <v>70</v>
      </c>
      <c r="H3766" t="s">
        <v>264</v>
      </c>
      <c r="I3766" t="s">
        <v>72</v>
      </c>
    </row>
    <row r="3767" spans="1:9" x14ac:dyDescent="0.25">
      <c r="A3767" t="s">
        <v>264</v>
      </c>
      <c r="B3767" t="s">
        <v>230</v>
      </c>
      <c r="C3767" t="s">
        <v>427</v>
      </c>
      <c r="D3767" s="1">
        <v>45253</v>
      </c>
      <c r="E3767" t="s">
        <v>616</v>
      </c>
      <c r="F3767">
        <v>-142.87</v>
      </c>
      <c r="G3767" t="s">
        <v>467</v>
      </c>
      <c r="H3767" t="s">
        <v>468</v>
      </c>
      <c r="I3767" t="s">
        <v>467</v>
      </c>
    </row>
    <row r="3768" spans="1:9" x14ac:dyDescent="0.25">
      <c r="A3768" t="s">
        <v>264</v>
      </c>
      <c r="B3768" t="s">
        <v>230</v>
      </c>
      <c r="C3768" t="s">
        <v>427</v>
      </c>
      <c r="D3768" s="1">
        <v>45257</v>
      </c>
      <c r="E3768" t="s">
        <v>623</v>
      </c>
      <c r="F3768">
        <v>-99.61</v>
      </c>
      <c r="G3768" t="s">
        <v>212</v>
      </c>
      <c r="H3768" t="s">
        <v>212</v>
      </c>
      <c r="I3768" t="s">
        <v>478</v>
      </c>
    </row>
    <row r="3769" spans="1:9" x14ac:dyDescent="0.25">
      <c r="A3769" t="s">
        <v>264</v>
      </c>
      <c r="B3769" t="s">
        <v>230</v>
      </c>
      <c r="C3769" t="s">
        <v>427</v>
      </c>
      <c r="D3769" s="1">
        <v>45257</v>
      </c>
      <c r="E3769" t="s">
        <v>624</v>
      </c>
      <c r="F3769">
        <v>-128.86000000000001</v>
      </c>
      <c r="G3769" t="s">
        <v>79</v>
      </c>
      <c r="H3769" t="s">
        <v>96</v>
      </c>
      <c r="I3769" t="s">
        <v>96</v>
      </c>
    </row>
    <row r="3770" spans="1:9" x14ac:dyDescent="0.25">
      <c r="A3770" t="s">
        <v>264</v>
      </c>
      <c r="B3770" t="s">
        <v>230</v>
      </c>
      <c r="C3770" t="s">
        <v>427</v>
      </c>
      <c r="D3770" s="1">
        <v>45257</v>
      </c>
      <c r="E3770" t="s">
        <v>428</v>
      </c>
      <c r="F3770">
        <v>-22.36</v>
      </c>
      <c r="G3770" t="s">
        <v>68</v>
      </c>
      <c r="H3770" t="s">
        <v>69</v>
      </c>
      <c r="I3770" t="s">
        <v>69</v>
      </c>
    </row>
    <row r="3771" spans="1:9" x14ac:dyDescent="0.25">
      <c r="A3771" t="s">
        <v>264</v>
      </c>
      <c r="B3771" t="s">
        <v>230</v>
      </c>
      <c r="C3771" t="s">
        <v>427</v>
      </c>
      <c r="D3771" s="1">
        <v>45257</v>
      </c>
      <c r="E3771" t="s">
        <v>489</v>
      </c>
      <c r="F3771">
        <v>-3.3</v>
      </c>
      <c r="G3771" t="s">
        <v>79</v>
      </c>
      <c r="H3771" t="s">
        <v>96</v>
      </c>
      <c r="I3771" t="s">
        <v>96</v>
      </c>
    </row>
    <row r="3772" spans="1:9" x14ac:dyDescent="0.25">
      <c r="A3772" t="s">
        <v>264</v>
      </c>
      <c r="B3772" t="s">
        <v>230</v>
      </c>
      <c r="C3772" t="s">
        <v>427</v>
      </c>
      <c r="D3772" s="1">
        <v>45254</v>
      </c>
      <c r="E3772" t="s">
        <v>422</v>
      </c>
      <c r="F3772">
        <v>277.23</v>
      </c>
      <c r="G3772" t="s">
        <v>70</v>
      </c>
      <c r="H3772" t="s">
        <v>264</v>
      </c>
      <c r="I3772" t="s">
        <v>72</v>
      </c>
    </row>
    <row r="3773" spans="1:9" x14ac:dyDescent="0.25">
      <c r="A3773" t="s">
        <v>264</v>
      </c>
      <c r="B3773" t="s">
        <v>230</v>
      </c>
      <c r="C3773" t="s">
        <v>427</v>
      </c>
      <c r="D3773" s="1">
        <v>45257</v>
      </c>
      <c r="E3773" t="s">
        <v>422</v>
      </c>
      <c r="F3773">
        <v>526.57000000000005</v>
      </c>
      <c r="G3773" t="s">
        <v>70</v>
      </c>
      <c r="H3773" t="s">
        <v>264</v>
      </c>
      <c r="I3773" t="s">
        <v>72</v>
      </c>
    </row>
    <row r="3774" spans="1:9" x14ac:dyDescent="0.25">
      <c r="A3774" t="s">
        <v>264</v>
      </c>
      <c r="B3774" t="s">
        <v>230</v>
      </c>
      <c r="C3774" t="s">
        <v>427</v>
      </c>
      <c r="D3774" s="1">
        <v>45257</v>
      </c>
      <c r="E3774" t="s">
        <v>422</v>
      </c>
      <c r="F3774">
        <v>671.34</v>
      </c>
      <c r="G3774" t="s">
        <v>70</v>
      </c>
      <c r="H3774" t="s">
        <v>264</v>
      </c>
      <c r="I3774" t="s">
        <v>72</v>
      </c>
    </row>
    <row r="3775" spans="1:9" x14ac:dyDescent="0.25">
      <c r="A3775" t="s">
        <v>264</v>
      </c>
      <c r="B3775" t="s">
        <v>230</v>
      </c>
      <c r="C3775" t="s">
        <v>427</v>
      </c>
      <c r="D3775" s="1">
        <v>45257</v>
      </c>
      <c r="E3775" t="s">
        <v>625</v>
      </c>
      <c r="F3775">
        <v>-31.79</v>
      </c>
      <c r="G3775" t="s">
        <v>79</v>
      </c>
      <c r="H3775" t="s">
        <v>96</v>
      </c>
      <c r="I3775" t="s">
        <v>96</v>
      </c>
    </row>
    <row r="3776" spans="1:9" x14ac:dyDescent="0.25">
      <c r="A3776" t="s">
        <v>264</v>
      </c>
      <c r="B3776" t="s">
        <v>230</v>
      </c>
      <c r="C3776" t="s">
        <v>427</v>
      </c>
      <c r="D3776" s="1">
        <v>45257</v>
      </c>
      <c r="E3776" t="s">
        <v>626</v>
      </c>
      <c r="F3776">
        <v>-46.89</v>
      </c>
      <c r="G3776" t="s">
        <v>212</v>
      </c>
      <c r="H3776" t="s">
        <v>213</v>
      </c>
      <c r="I3776" t="s">
        <v>214</v>
      </c>
    </row>
    <row r="3777" spans="1:9" x14ac:dyDescent="0.25">
      <c r="A3777" t="s">
        <v>264</v>
      </c>
      <c r="B3777" t="s">
        <v>230</v>
      </c>
      <c r="C3777" t="s">
        <v>427</v>
      </c>
      <c r="D3777" s="1">
        <v>45257</v>
      </c>
      <c r="E3777" t="s">
        <v>627</v>
      </c>
      <c r="F3777">
        <v>-5.04</v>
      </c>
      <c r="G3777" t="s">
        <v>76</v>
      </c>
      <c r="H3777" t="s">
        <v>87</v>
      </c>
      <c r="I3777" t="s">
        <v>88</v>
      </c>
    </row>
    <row r="3778" spans="1:9" x14ac:dyDescent="0.25">
      <c r="A3778" t="s">
        <v>264</v>
      </c>
      <c r="B3778" t="s">
        <v>230</v>
      </c>
      <c r="C3778" t="s">
        <v>427</v>
      </c>
      <c r="D3778" s="1">
        <v>45257</v>
      </c>
      <c r="E3778" t="s">
        <v>538</v>
      </c>
      <c r="F3778">
        <v>-96</v>
      </c>
      <c r="G3778" t="s">
        <v>76</v>
      </c>
      <c r="H3778" t="s">
        <v>77</v>
      </c>
      <c r="I3778" t="s">
        <v>539</v>
      </c>
    </row>
    <row r="3779" spans="1:9" x14ac:dyDescent="0.25">
      <c r="A3779" t="s">
        <v>264</v>
      </c>
      <c r="B3779" t="s">
        <v>230</v>
      </c>
      <c r="C3779" t="s">
        <v>427</v>
      </c>
      <c r="D3779" s="1">
        <v>45257</v>
      </c>
      <c r="E3779" t="s">
        <v>628</v>
      </c>
      <c r="F3779">
        <v>-21.09</v>
      </c>
      <c r="G3779" t="s">
        <v>212</v>
      </c>
      <c r="H3779" t="s">
        <v>213</v>
      </c>
      <c r="I3779" t="s">
        <v>214</v>
      </c>
    </row>
    <row r="3780" spans="1:9" x14ac:dyDescent="0.25">
      <c r="A3780" t="s">
        <v>264</v>
      </c>
      <c r="B3780" t="s">
        <v>230</v>
      </c>
      <c r="C3780" t="s">
        <v>427</v>
      </c>
      <c r="D3780" s="1">
        <v>45257</v>
      </c>
      <c r="E3780" t="s">
        <v>445</v>
      </c>
      <c r="F3780">
        <v>-0.05</v>
      </c>
      <c r="G3780" t="s">
        <v>84</v>
      </c>
      <c r="H3780" t="s">
        <v>85</v>
      </c>
      <c r="I3780" t="s">
        <v>86</v>
      </c>
    </row>
    <row r="3781" spans="1:9" x14ac:dyDescent="0.25">
      <c r="A3781" t="s">
        <v>264</v>
      </c>
      <c r="B3781" t="s">
        <v>230</v>
      </c>
      <c r="C3781" t="s">
        <v>427</v>
      </c>
      <c r="D3781" s="1">
        <v>45257</v>
      </c>
      <c r="E3781" t="s">
        <v>446</v>
      </c>
      <c r="F3781">
        <v>-0.1</v>
      </c>
      <c r="G3781" t="s">
        <v>84</v>
      </c>
      <c r="H3781" t="s">
        <v>85</v>
      </c>
      <c r="I3781" t="s">
        <v>86</v>
      </c>
    </row>
    <row r="3782" spans="1:9" x14ac:dyDescent="0.25">
      <c r="A3782" t="s">
        <v>264</v>
      </c>
      <c r="B3782" t="s">
        <v>230</v>
      </c>
      <c r="C3782" t="s">
        <v>427</v>
      </c>
      <c r="D3782" s="1">
        <v>45257</v>
      </c>
      <c r="E3782" t="s">
        <v>629</v>
      </c>
      <c r="F3782">
        <v>-21.05</v>
      </c>
      <c r="G3782" t="s">
        <v>92</v>
      </c>
      <c r="H3782" t="s">
        <v>104</v>
      </c>
      <c r="I3782" t="s">
        <v>104</v>
      </c>
    </row>
    <row r="3783" spans="1:9" x14ac:dyDescent="0.25">
      <c r="A3783" t="s">
        <v>264</v>
      </c>
      <c r="B3783" t="s">
        <v>230</v>
      </c>
      <c r="C3783" t="s">
        <v>427</v>
      </c>
      <c r="D3783" s="1">
        <v>45257</v>
      </c>
      <c r="E3783" t="s">
        <v>630</v>
      </c>
      <c r="F3783">
        <v>-33.729999999999997</v>
      </c>
      <c r="G3783" t="s">
        <v>212</v>
      </c>
      <c r="H3783" t="s">
        <v>213</v>
      </c>
      <c r="I3783" t="s">
        <v>214</v>
      </c>
    </row>
    <row r="3784" spans="1:9" x14ac:dyDescent="0.25">
      <c r="A3784" t="s">
        <v>264</v>
      </c>
      <c r="B3784" t="s">
        <v>230</v>
      </c>
      <c r="C3784" t="s">
        <v>427</v>
      </c>
      <c r="D3784" s="1">
        <v>45257</v>
      </c>
      <c r="E3784" t="s">
        <v>544</v>
      </c>
      <c r="F3784">
        <v>-12.46</v>
      </c>
      <c r="G3784" t="s">
        <v>68</v>
      </c>
      <c r="H3784" t="s">
        <v>69</v>
      </c>
      <c r="I3784" t="s">
        <v>69</v>
      </c>
    </row>
    <row r="3785" spans="1:9" x14ac:dyDescent="0.25">
      <c r="A3785" t="s">
        <v>264</v>
      </c>
      <c r="B3785" t="s">
        <v>230</v>
      </c>
      <c r="C3785" t="s">
        <v>427</v>
      </c>
      <c r="D3785" s="1">
        <v>45257</v>
      </c>
      <c r="E3785" t="s">
        <v>631</v>
      </c>
      <c r="F3785">
        <v>-2.2200000000000002</v>
      </c>
      <c r="G3785" t="s">
        <v>212</v>
      </c>
      <c r="H3785" t="s">
        <v>213</v>
      </c>
      <c r="I3785" t="s">
        <v>214</v>
      </c>
    </row>
    <row r="3786" spans="1:9" x14ac:dyDescent="0.25">
      <c r="A3786" t="s">
        <v>264</v>
      </c>
      <c r="B3786" t="s">
        <v>230</v>
      </c>
      <c r="C3786" t="s">
        <v>427</v>
      </c>
      <c r="D3786" s="1">
        <v>45257</v>
      </c>
      <c r="E3786" t="s">
        <v>422</v>
      </c>
      <c r="F3786">
        <v>15.13</v>
      </c>
      <c r="G3786" t="s">
        <v>70</v>
      </c>
      <c r="H3786" t="s">
        <v>264</v>
      </c>
      <c r="I3786" t="s">
        <v>72</v>
      </c>
    </row>
    <row r="3787" spans="1:9" x14ac:dyDescent="0.25">
      <c r="A3787" t="s">
        <v>264</v>
      </c>
      <c r="B3787" t="s">
        <v>230</v>
      </c>
      <c r="C3787" t="s">
        <v>427</v>
      </c>
      <c r="D3787" s="1">
        <v>45257</v>
      </c>
      <c r="E3787" t="s">
        <v>422</v>
      </c>
      <c r="F3787">
        <v>13.6</v>
      </c>
      <c r="G3787" t="s">
        <v>70</v>
      </c>
      <c r="H3787" t="s">
        <v>264</v>
      </c>
      <c r="I3787" t="s">
        <v>72</v>
      </c>
    </row>
    <row r="3788" spans="1:9" x14ac:dyDescent="0.25">
      <c r="A3788" t="s">
        <v>264</v>
      </c>
      <c r="B3788" t="s">
        <v>230</v>
      </c>
      <c r="C3788" t="s">
        <v>427</v>
      </c>
      <c r="D3788" s="1">
        <v>45259</v>
      </c>
      <c r="E3788" t="s">
        <v>632</v>
      </c>
      <c r="F3788">
        <v>-140.13999999999999</v>
      </c>
      <c r="G3788" t="s">
        <v>212</v>
      </c>
      <c r="H3788" t="s">
        <v>213</v>
      </c>
      <c r="I3788" t="s">
        <v>559</v>
      </c>
    </row>
    <row r="3789" spans="1:9" x14ac:dyDescent="0.25">
      <c r="A3789" t="s">
        <v>264</v>
      </c>
      <c r="B3789" t="s">
        <v>230</v>
      </c>
      <c r="C3789" t="s">
        <v>427</v>
      </c>
      <c r="D3789" s="1">
        <v>45258</v>
      </c>
      <c r="E3789" t="s">
        <v>633</v>
      </c>
      <c r="F3789">
        <v>-51.79</v>
      </c>
      <c r="G3789" t="s">
        <v>467</v>
      </c>
      <c r="H3789" t="s">
        <v>468</v>
      </c>
      <c r="I3789" t="s">
        <v>467</v>
      </c>
    </row>
    <row r="3790" spans="1:9" x14ac:dyDescent="0.25">
      <c r="A3790" t="s">
        <v>264</v>
      </c>
      <c r="B3790" t="s">
        <v>230</v>
      </c>
      <c r="C3790" t="s">
        <v>427</v>
      </c>
      <c r="D3790" s="1">
        <v>45258</v>
      </c>
      <c r="E3790" t="s">
        <v>633</v>
      </c>
      <c r="F3790">
        <v>-17.600000000000001</v>
      </c>
      <c r="G3790" t="s">
        <v>467</v>
      </c>
      <c r="H3790" t="s">
        <v>468</v>
      </c>
      <c r="I3790" t="s">
        <v>467</v>
      </c>
    </row>
    <row r="3791" spans="1:9" x14ac:dyDescent="0.25">
      <c r="A3791" t="s">
        <v>264</v>
      </c>
      <c r="B3791" t="s">
        <v>230</v>
      </c>
      <c r="C3791" t="s">
        <v>427</v>
      </c>
      <c r="D3791" s="1">
        <v>45259</v>
      </c>
      <c r="E3791" t="s">
        <v>615</v>
      </c>
      <c r="F3791">
        <v>784.87</v>
      </c>
      <c r="G3791" t="s">
        <v>79</v>
      </c>
      <c r="H3791" t="s">
        <v>96</v>
      </c>
      <c r="I3791" t="s">
        <v>96</v>
      </c>
    </row>
    <row r="3792" spans="1:9" x14ac:dyDescent="0.25">
      <c r="A3792" t="s">
        <v>264</v>
      </c>
      <c r="B3792" t="s">
        <v>230</v>
      </c>
      <c r="C3792" t="s">
        <v>427</v>
      </c>
      <c r="D3792" s="1">
        <v>45259</v>
      </c>
      <c r="E3792" t="s">
        <v>422</v>
      </c>
      <c r="F3792">
        <v>25.46</v>
      </c>
      <c r="G3792" t="s">
        <v>70</v>
      </c>
      <c r="H3792" t="s">
        <v>264</v>
      </c>
      <c r="I3792" t="s">
        <v>72</v>
      </c>
    </row>
    <row r="3793" spans="1:9" x14ac:dyDescent="0.25">
      <c r="A3793" t="s">
        <v>264</v>
      </c>
      <c r="B3793" t="s">
        <v>230</v>
      </c>
      <c r="C3793" t="s">
        <v>427</v>
      </c>
      <c r="D3793" s="1">
        <v>45259</v>
      </c>
      <c r="E3793" t="s">
        <v>422</v>
      </c>
      <c r="F3793">
        <v>29.28</v>
      </c>
      <c r="G3793" t="s">
        <v>70</v>
      </c>
      <c r="H3793" t="s">
        <v>264</v>
      </c>
      <c r="I3793" t="s">
        <v>72</v>
      </c>
    </row>
    <row r="3794" spans="1:9" x14ac:dyDescent="0.25">
      <c r="A3794" t="s">
        <v>264</v>
      </c>
      <c r="B3794" t="s">
        <v>230</v>
      </c>
      <c r="C3794" t="s">
        <v>427</v>
      </c>
      <c r="D3794" s="1">
        <v>45259</v>
      </c>
      <c r="E3794" t="s">
        <v>445</v>
      </c>
      <c r="F3794">
        <v>-0.88</v>
      </c>
      <c r="G3794" t="s">
        <v>84</v>
      </c>
      <c r="H3794" t="s">
        <v>85</v>
      </c>
      <c r="I3794" t="s">
        <v>86</v>
      </c>
    </row>
    <row r="3795" spans="1:9" x14ac:dyDescent="0.25">
      <c r="A3795" t="s">
        <v>264</v>
      </c>
      <c r="B3795" t="s">
        <v>230</v>
      </c>
      <c r="C3795" t="s">
        <v>427</v>
      </c>
      <c r="D3795" s="1">
        <v>45259</v>
      </c>
      <c r="E3795" t="s">
        <v>446</v>
      </c>
      <c r="F3795">
        <v>-1.78</v>
      </c>
      <c r="G3795" t="s">
        <v>84</v>
      </c>
      <c r="H3795" t="s">
        <v>85</v>
      </c>
      <c r="I3795" t="s">
        <v>86</v>
      </c>
    </row>
    <row r="3796" spans="1:9" x14ac:dyDescent="0.25">
      <c r="A3796" t="s">
        <v>264</v>
      </c>
      <c r="B3796" t="s">
        <v>230</v>
      </c>
      <c r="C3796" t="s">
        <v>427</v>
      </c>
      <c r="D3796" s="1">
        <v>45259</v>
      </c>
      <c r="E3796" t="s">
        <v>634</v>
      </c>
      <c r="F3796">
        <v>-177.55</v>
      </c>
      <c r="G3796" t="s">
        <v>212</v>
      </c>
      <c r="H3796" t="s">
        <v>213</v>
      </c>
      <c r="I3796" t="s">
        <v>559</v>
      </c>
    </row>
    <row r="3797" spans="1:9" x14ac:dyDescent="0.25">
      <c r="A3797" t="s">
        <v>264</v>
      </c>
      <c r="B3797" t="s">
        <v>230</v>
      </c>
      <c r="C3797" t="s">
        <v>427</v>
      </c>
      <c r="D3797" s="1">
        <v>45259</v>
      </c>
      <c r="E3797" t="s">
        <v>635</v>
      </c>
      <c r="F3797">
        <v>-72.540000000000006</v>
      </c>
      <c r="G3797" t="s">
        <v>89</v>
      </c>
      <c r="H3797" t="s">
        <v>90</v>
      </c>
      <c r="I3797" t="s">
        <v>98</v>
      </c>
    </row>
    <row r="3798" spans="1:9" x14ac:dyDescent="0.25">
      <c r="A3798" t="s">
        <v>264</v>
      </c>
      <c r="B3798" t="s">
        <v>230</v>
      </c>
      <c r="C3798" t="s">
        <v>427</v>
      </c>
      <c r="D3798" s="1">
        <v>45259</v>
      </c>
      <c r="E3798" t="s">
        <v>636</v>
      </c>
      <c r="F3798">
        <v>-29.12</v>
      </c>
      <c r="G3798" t="s">
        <v>68</v>
      </c>
      <c r="H3798" t="s">
        <v>69</v>
      </c>
      <c r="I3798" t="s">
        <v>69</v>
      </c>
    </row>
    <row r="3799" spans="1:9" x14ac:dyDescent="0.25">
      <c r="A3799" t="s">
        <v>264</v>
      </c>
      <c r="B3799" t="s">
        <v>230</v>
      </c>
      <c r="C3799" t="s">
        <v>427</v>
      </c>
      <c r="D3799" s="1">
        <v>45258</v>
      </c>
      <c r="E3799" t="s">
        <v>422</v>
      </c>
      <c r="F3799">
        <v>46.81</v>
      </c>
      <c r="G3799" t="s">
        <v>70</v>
      </c>
      <c r="H3799" t="s">
        <v>264</v>
      </c>
      <c r="I3799" t="s">
        <v>72</v>
      </c>
    </row>
    <row r="3800" spans="1:9" x14ac:dyDescent="0.25">
      <c r="A3800" t="s">
        <v>264</v>
      </c>
      <c r="B3800" t="s">
        <v>230</v>
      </c>
      <c r="C3800" t="s">
        <v>427</v>
      </c>
      <c r="D3800" s="1">
        <v>45259</v>
      </c>
      <c r="E3800" t="s">
        <v>422</v>
      </c>
      <c r="F3800">
        <v>99.96</v>
      </c>
      <c r="G3800" t="s">
        <v>70</v>
      </c>
      <c r="H3800" t="s">
        <v>264</v>
      </c>
      <c r="I3800" t="s">
        <v>72</v>
      </c>
    </row>
    <row r="3801" spans="1:9" x14ac:dyDescent="0.25">
      <c r="A3801" t="s">
        <v>264</v>
      </c>
      <c r="B3801" t="s">
        <v>230</v>
      </c>
      <c r="C3801" t="s">
        <v>427</v>
      </c>
      <c r="D3801" s="1">
        <v>45259</v>
      </c>
      <c r="E3801" t="s">
        <v>637</v>
      </c>
      <c r="F3801">
        <v>-30.26</v>
      </c>
      <c r="G3801" t="s">
        <v>68</v>
      </c>
      <c r="H3801" t="s">
        <v>69</v>
      </c>
      <c r="I3801" t="s">
        <v>69</v>
      </c>
    </row>
    <row r="3802" spans="1:9" x14ac:dyDescent="0.25">
      <c r="A3802" t="s">
        <v>264</v>
      </c>
      <c r="B3802" t="s">
        <v>230</v>
      </c>
      <c r="C3802" t="s">
        <v>427</v>
      </c>
      <c r="D3802" s="1">
        <v>45261</v>
      </c>
      <c r="E3802" t="s">
        <v>638</v>
      </c>
      <c r="F3802">
        <v>-168.32</v>
      </c>
      <c r="G3802" t="s">
        <v>76</v>
      </c>
      <c r="H3802" t="s">
        <v>82</v>
      </c>
      <c r="I3802" t="s">
        <v>83</v>
      </c>
    </row>
    <row r="3803" spans="1:9" x14ac:dyDescent="0.25">
      <c r="A3803" t="s">
        <v>264</v>
      </c>
      <c r="B3803" t="s">
        <v>230</v>
      </c>
      <c r="C3803" t="s">
        <v>427</v>
      </c>
      <c r="D3803" s="1">
        <v>45261</v>
      </c>
      <c r="E3803" t="s">
        <v>639</v>
      </c>
      <c r="F3803">
        <v>-101.65</v>
      </c>
      <c r="G3803" t="s">
        <v>76</v>
      </c>
      <c r="H3803" t="s">
        <v>87</v>
      </c>
      <c r="I3803" t="s">
        <v>88</v>
      </c>
    </row>
    <row r="3804" spans="1:9" x14ac:dyDescent="0.25">
      <c r="A3804" t="s">
        <v>264</v>
      </c>
      <c r="B3804" t="s">
        <v>230</v>
      </c>
      <c r="C3804" t="s">
        <v>427</v>
      </c>
      <c r="D3804" s="1">
        <v>45261</v>
      </c>
      <c r="E3804" t="s">
        <v>636</v>
      </c>
      <c r="F3804">
        <v>-29.72</v>
      </c>
      <c r="G3804" t="s">
        <v>68</v>
      </c>
      <c r="H3804" t="s">
        <v>69</v>
      </c>
      <c r="I3804" t="s">
        <v>69</v>
      </c>
    </row>
    <row r="3805" spans="1:9" x14ac:dyDescent="0.25">
      <c r="A3805" t="s">
        <v>264</v>
      </c>
      <c r="B3805" t="s">
        <v>230</v>
      </c>
      <c r="C3805" t="s">
        <v>427</v>
      </c>
      <c r="D3805" s="1">
        <v>45261</v>
      </c>
      <c r="E3805" t="s">
        <v>640</v>
      </c>
      <c r="F3805">
        <v>-13.26</v>
      </c>
      <c r="G3805" t="s">
        <v>68</v>
      </c>
      <c r="H3805" t="s">
        <v>69</v>
      </c>
      <c r="I3805" t="s">
        <v>69</v>
      </c>
    </row>
    <row r="3806" spans="1:9" x14ac:dyDescent="0.25">
      <c r="A3806" t="s">
        <v>264</v>
      </c>
      <c r="B3806" t="s">
        <v>230</v>
      </c>
      <c r="C3806" t="s">
        <v>427</v>
      </c>
      <c r="D3806" s="1">
        <v>45260</v>
      </c>
      <c r="E3806" t="s">
        <v>641</v>
      </c>
      <c r="F3806">
        <v>-12.15</v>
      </c>
      <c r="G3806" t="s">
        <v>76</v>
      </c>
      <c r="H3806" t="s">
        <v>82</v>
      </c>
      <c r="I3806" t="s">
        <v>83</v>
      </c>
    </row>
    <row r="3807" spans="1:9" x14ac:dyDescent="0.25">
      <c r="A3807" t="s">
        <v>264</v>
      </c>
      <c r="B3807" t="s">
        <v>230</v>
      </c>
      <c r="C3807" t="s">
        <v>427</v>
      </c>
      <c r="D3807" s="1">
        <v>45260</v>
      </c>
      <c r="E3807" t="s">
        <v>642</v>
      </c>
      <c r="F3807">
        <v>-22.46</v>
      </c>
      <c r="G3807" t="s">
        <v>76</v>
      </c>
      <c r="H3807" t="s">
        <v>82</v>
      </c>
      <c r="I3807" t="s">
        <v>83</v>
      </c>
    </row>
    <row r="3808" spans="1:9" x14ac:dyDescent="0.25">
      <c r="A3808" t="s">
        <v>264</v>
      </c>
      <c r="B3808" t="s">
        <v>230</v>
      </c>
      <c r="C3808" t="s">
        <v>427</v>
      </c>
      <c r="D3808" s="1">
        <v>45264</v>
      </c>
      <c r="E3808" t="s">
        <v>422</v>
      </c>
      <c r="F3808">
        <v>7.27</v>
      </c>
      <c r="G3808" t="s">
        <v>70</v>
      </c>
      <c r="H3808" t="s">
        <v>264</v>
      </c>
      <c r="I3808" t="s">
        <v>72</v>
      </c>
    </row>
    <row r="3809" spans="1:9" x14ac:dyDescent="0.25">
      <c r="A3809" t="s">
        <v>264</v>
      </c>
      <c r="B3809" t="s">
        <v>230</v>
      </c>
      <c r="C3809" t="s">
        <v>427</v>
      </c>
      <c r="D3809" s="1">
        <v>45264</v>
      </c>
      <c r="E3809" t="s">
        <v>643</v>
      </c>
      <c r="F3809">
        <v>-111.4</v>
      </c>
      <c r="G3809" t="s">
        <v>68</v>
      </c>
      <c r="H3809" t="s">
        <v>69</v>
      </c>
      <c r="I3809" t="s">
        <v>69</v>
      </c>
    </row>
    <row r="3810" spans="1:9" x14ac:dyDescent="0.25">
      <c r="A3810" t="s">
        <v>264</v>
      </c>
      <c r="B3810" t="s">
        <v>230</v>
      </c>
      <c r="C3810" t="s">
        <v>427</v>
      </c>
      <c r="D3810" s="1">
        <v>45264</v>
      </c>
      <c r="E3810" t="s">
        <v>578</v>
      </c>
      <c r="F3810">
        <v>-53.29</v>
      </c>
      <c r="G3810" t="s">
        <v>68</v>
      </c>
      <c r="H3810" t="s">
        <v>69</v>
      </c>
      <c r="I3810" t="s">
        <v>69</v>
      </c>
    </row>
    <row r="3811" spans="1:9" x14ac:dyDescent="0.25">
      <c r="A3811" t="s">
        <v>264</v>
      </c>
      <c r="B3811" t="s">
        <v>230</v>
      </c>
      <c r="C3811" t="s">
        <v>427</v>
      </c>
      <c r="D3811" s="1">
        <v>45264</v>
      </c>
      <c r="E3811" t="s">
        <v>644</v>
      </c>
      <c r="F3811">
        <v>-1</v>
      </c>
      <c r="G3811" t="s">
        <v>68</v>
      </c>
      <c r="H3811" t="s">
        <v>69</v>
      </c>
      <c r="I3811" t="s">
        <v>69</v>
      </c>
    </row>
    <row r="3812" spans="1:9" x14ac:dyDescent="0.25">
      <c r="A3812" t="s">
        <v>264</v>
      </c>
      <c r="B3812" t="s">
        <v>230</v>
      </c>
      <c r="C3812" t="s">
        <v>427</v>
      </c>
      <c r="D3812" s="1">
        <v>45264</v>
      </c>
      <c r="E3812" t="s">
        <v>422</v>
      </c>
      <c r="F3812">
        <v>19.82</v>
      </c>
      <c r="G3812" t="s">
        <v>70</v>
      </c>
      <c r="H3812" t="s">
        <v>264</v>
      </c>
      <c r="I3812" t="s">
        <v>72</v>
      </c>
    </row>
    <row r="3813" spans="1:9" x14ac:dyDescent="0.25">
      <c r="A3813" t="s">
        <v>264</v>
      </c>
      <c r="B3813" t="s">
        <v>230</v>
      </c>
      <c r="C3813" t="s">
        <v>427</v>
      </c>
      <c r="D3813" s="1">
        <v>45264</v>
      </c>
      <c r="E3813" t="s">
        <v>555</v>
      </c>
      <c r="F3813">
        <v>-129.19</v>
      </c>
      <c r="G3813" t="s">
        <v>68</v>
      </c>
      <c r="H3813" t="s">
        <v>69</v>
      </c>
      <c r="I3813" t="s">
        <v>69</v>
      </c>
    </row>
    <row r="3814" spans="1:9" x14ac:dyDescent="0.25">
      <c r="A3814" t="s">
        <v>264</v>
      </c>
      <c r="B3814" t="s">
        <v>230</v>
      </c>
      <c r="C3814" t="s">
        <v>427</v>
      </c>
      <c r="D3814" s="1">
        <v>45267</v>
      </c>
      <c r="E3814" t="s">
        <v>509</v>
      </c>
      <c r="F3814">
        <v>-6.89</v>
      </c>
      <c r="G3814" t="s">
        <v>92</v>
      </c>
      <c r="H3814" t="s">
        <v>510</v>
      </c>
      <c r="I3814" t="s">
        <v>510</v>
      </c>
    </row>
    <row r="3815" spans="1:9" x14ac:dyDescent="0.25">
      <c r="A3815" t="s">
        <v>264</v>
      </c>
      <c r="B3815" t="s">
        <v>230</v>
      </c>
      <c r="C3815" t="s">
        <v>427</v>
      </c>
      <c r="D3815" s="1">
        <v>45265</v>
      </c>
      <c r="E3815" t="s">
        <v>422</v>
      </c>
      <c r="F3815">
        <v>116.3</v>
      </c>
      <c r="G3815" t="s">
        <v>70</v>
      </c>
      <c r="H3815" t="s">
        <v>264</v>
      </c>
      <c r="I3815" t="s">
        <v>72</v>
      </c>
    </row>
    <row r="3816" spans="1:9" x14ac:dyDescent="0.25">
      <c r="A3816" t="s">
        <v>264</v>
      </c>
      <c r="B3816" t="s">
        <v>230</v>
      </c>
      <c r="C3816" t="s">
        <v>427</v>
      </c>
      <c r="D3816" s="1">
        <v>45267</v>
      </c>
      <c r="E3816" t="s">
        <v>422</v>
      </c>
      <c r="F3816">
        <v>15.79</v>
      </c>
      <c r="G3816" t="s">
        <v>70</v>
      </c>
      <c r="H3816" t="s">
        <v>264</v>
      </c>
      <c r="I3816" t="s">
        <v>72</v>
      </c>
    </row>
    <row r="3817" spans="1:9" x14ac:dyDescent="0.25">
      <c r="A3817" t="s">
        <v>264</v>
      </c>
      <c r="B3817" t="s">
        <v>230</v>
      </c>
      <c r="C3817" t="s">
        <v>427</v>
      </c>
      <c r="D3817" s="1">
        <v>45267</v>
      </c>
      <c r="E3817" t="s">
        <v>618</v>
      </c>
      <c r="F3817">
        <v>-3.09</v>
      </c>
      <c r="G3817" t="s">
        <v>89</v>
      </c>
      <c r="H3817" t="s">
        <v>90</v>
      </c>
      <c r="I3817" t="s">
        <v>474</v>
      </c>
    </row>
    <row r="3818" spans="1:9" x14ac:dyDescent="0.25">
      <c r="A3818" t="s">
        <v>264</v>
      </c>
      <c r="B3818" t="s">
        <v>230</v>
      </c>
      <c r="C3818" t="s">
        <v>427</v>
      </c>
      <c r="D3818" s="1">
        <v>45267</v>
      </c>
      <c r="E3818" t="s">
        <v>486</v>
      </c>
      <c r="F3818">
        <v>-10.39</v>
      </c>
      <c r="G3818" t="s">
        <v>79</v>
      </c>
      <c r="H3818" t="s">
        <v>512</v>
      </c>
      <c r="I3818" t="s">
        <v>512</v>
      </c>
    </row>
    <row r="3819" spans="1:9" x14ac:dyDescent="0.25">
      <c r="A3819" t="s">
        <v>264</v>
      </c>
      <c r="B3819" t="s">
        <v>230</v>
      </c>
      <c r="C3819" t="s">
        <v>427</v>
      </c>
      <c r="D3819" s="1">
        <v>45266</v>
      </c>
      <c r="E3819" t="s">
        <v>422</v>
      </c>
      <c r="F3819">
        <v>66.069999999999993</v>
      </c>
      <c r="G3819" t="s">
        <v>70</v>
      </c>
      <c r="H3819" t="s">
        <v>264</v>
      </c>
      <c r="I3819" t="s">
        <v>72</v>
      </c>
    </row>
    <row r="3820" spans="1:9" x14ac:dyDescent="0.25">
      <c r="A3820" t="s">
        <v>264</v>
      </c>
      <c r="B3820" t="s">
        <v>230</v>
      </c>
      <c r="C3820" t="s">
        <v>427</v>
      </c>
      <c r="D3820" s="1">
        <v>45268</v>
      </c>
      <c r="E3820" t="s">
        <v>517</v>
      </c>
      <c r="F3820">
        <v>-449.39</v>
      </c>
      <c r="G3820" t="s">
        <v>76</v>
      </c>
      <c r="H3820" t="s">
        <v>82</v>
      </c>
      <c r="I3820" t="s">
        <v>83</v>
      </c>
    </row>
    <row r="3821" spans="1:9" x14ac:dyDescent="0.25">
      <c r="A3821" t="s">
        <v>264</v>
      </c>
      <c r="B3821" t="s">
        <v>230</v>
      </c>
      <c r="C3821" t="s">
        <v>427</v>
      </c>
      <c r="D3821" s="1">
        <v>45268</v>
      </c>
      <c r="E3821" t="s">
        <v>566</v>
      </c>
      <c r="F3821">
        <v>-84.05</v>
      </c>
      <c r="G3821" t="s">
        <v>79</v>
      </c>
      <c r="H3821" t="s">
        <v>80</v>
      </c>
      <c r="I3821" t="s">
        <v>80</v>
      </c>
    </row>
    <row r="3822" spans="1:9" x14ac:dyDescent="0.25">
      <c r="A3822" t="s">
        <v>264</v>
      </c>
      <c r="B3822" t="s">
        <v>230</v>
      </c>
      <c r="C3822" t="s">
        <v>427</v>
      </c>
      <c r="D3822" s="1">
        <v>45268</v>
      </c>
      <c r="E3822" t="s">
        <v>624</v>
      </c>
      <c r="F3822">
        <v>-36.04</v>
      </c>
      <c r="G3822" t="s">
        <v>79</v>
      </c>
      <c r="H3822" t="s">
        <v>96</v>
      </c>
      <c r="I3822" t="s">
        <v>96</v>
      </c>
    </row>
    <row r="3823" spans="1:9" x14ac:dyDescent="0.25">
      <c r="A3823" t="s">
        <v>264</v>
      </c>
      <c r="B3823" t="s">
        <v>230</v>
      </c>
      <c r="C3823" t="s">
        <v>427</v>
      </c>
      <c r="D3823" s="1">
        <v>45268</v>
      </c>
      <c r="E3823" t="s">
        <v>645</v>
      </c>
      <c r="F3823">
        <v>-9.52</v>
      </c>
      <c r="G3823" t="s">
        <v>212</v>
      </c>
      <c r="H3823" t="s">
        <v>213</v>
      </c>
      <c r="I3823" t="s">
        <v>214</v>
      </c>
    </row>
    <row r="3824" spans="1:9" x14ac:dyDescent="0.25">
      <c r="A3824" t="s">
        <v>264</v>
      </c>
      <c r="B3824" t="s">
        <v>230</v>
      </c>
      <c r="C3824" t="s">
        <v>427</v>
      </c>
      <c r="D3824" s="1">
        <v>45268</v>
      </c>
      <c r="E3824" t="s">
        <v>645</v>
      </c>
      <c r="F3824">
        <v>-0.65</v>
      </c>
      <c r="G3824" t="s">
        <v>212</v>
      </c>
      <c r="H3824" t="s">
        <v>213</v>
      </c>
      <c r="I3824" t="s">
        <v>214</v>
      </c>
    </row>
    <row r="3825" spans="1:9" x14ac:dyDescent="0.25">
      <c r="A3825" t="s">
        <v>264</v>
      </c>
      <c r="B3825" t="s">
        <v>230</v>
      </c>
      <c r="C3825" t="s">
        <v>427</v>
      </c>
      <c r="D3825" s="1">
        <v>45267</v>
      </c>
      <c r="E3825" t="s">
        <v>422</v>
      </c>
      <c r="F3825">
        <v>47.09</v>
      </c>
      <c r="G3825" t="s">
        <v>70</v>
      </c>
      <c r="H3825" t="s">
        <v>264</v>
      </c>
      <c r="I3825" t="s">
        <v>72</v>
      </c>
    </row>
    <row r="3826" spans="1:9" x14ac:dyDescent="0.25">
      <c r="A3826" t="s">
        <v>264</v>
      </c>
      <c r="B3826" t="s">
        <v>230</v>
      </c>
      <c r="C3826" t="s">
        <v>427</v>
      </c>
      <c r="D3826" s="1">
        <v>45267</v>
      </c>
      <c r="E3826" t="s">
        <v>646</v>
      </c>
      <c r="F3826">
        <v>-18.850000000000001</v>
      </c>
      <c r="G3826" t="s">
        <v>79</v>
      </c>
      <c r="H3826" t="s">
        <v>96</v>
      </c>
      <c r="I3826" t="s">
        <v>96</v>
      </c>
    </row>
    <row r="3827" spans="1:9" x14ac:dyDescent="0.25">
      <c r="A3827" t="s">
        <v>264</v>
      </c>
      <c r="B3827" t="s">
        <v>230</v>
      </c>
      <c r="C3827" t="s">
        <v>427</v>
      </c>
      <c r="D3827" s="1">
        <v>45271</v>
      </c>
      <c r="E3827" t="s">
        <v>428</v>
      </c>
      <c r="F3827">
        <v>-174.58</v>
      </c>
      <c r="G3827" t="s">
        <v>68</v>
      </c>
      <c r="H3827" t="s">
        <v>69</v>
      </c>
      <c r="I3827" t="s">
        <v>69</v>
      </c>
    </row>
    <row r="3828" spans="1:9" x14ac:dyDescent="0.25">
      <c r="A3828" t="s">
        <v>264</v>
      </c>
      <c r="B3828" t="s">
        <v>230</v>
      </c>
      <c r="C3828" t="s">
        <v>427</v>
      </c>
      <c r="D3828" s="1">
        <v>45271</v>
      </c>
      <c r="E3828" t="s">
        <v>647</v>
      </c>
      <c r="F3828">
        <v>-74.790000000000006</v>
      </c>
      <c r="G3828" t="s">
        <v>68</v>
      </c>
      <c r="H3828" t="s">
        <v>69</v>
      </c>
      <c r="I3828" t="s">
        <v>69</v>
      </c>
    </row>
    <row r="3829" spans="1:9" x14ac:dyDescent="0.25">
      <c r="A3829" t="s">
        <v>264</v>
      </c>
      <c r="B3829" t="s">
        <v>230</v>
      </c>
      <c r="C3829" t="s">
        <v>427</v>
      </c>
      <c r="D3829" s="1">
        <v>45271</v>
      </c>
      <c r="E3829" t="s">
        <v>648</v>
      </c>
      <c r="F3829">
        <v>-66.5</v>
      </c>
      <c r="G3829" t="s">
        <v>68</v>
      </c>
      <c r="H3829" t="s">
        <v>69</v>
      </c>
      <c r="I3829" t="s">
        <v>69</v>
      </c>
    </row>
    <row r="3830" spans="1:9" x14ac:dyDescent="0.25">
      <c r="A3830" t="s">
        <v>264</v>
      </c>
      <c r="B3830" t="s">
        <v>230</v>
      </c>
      <c r="C3830" t="s">
        <v>427</v>
      </c>
      <c r="D3830" s="1">
        <v>45271</v>
      </c>
      <c r="E3830" t="s">
        <v>608</v>
      </c>
      <c r="F3830">
        <v>-13.98</v>
      </c>
      <c r="G3830" t="s">
        <v>92</v>
      </c>
      <c r="H3830" t="s">
        <v>93</v>
      </c>
      <c r="I3830" t="s">
        <v>94</v>
      </c>
    </row>
    <row r="3831" spans="1:9" x14ac:dyDescent="0.25">
      <c r="A3831" t="s">
        <v>264</v>
      </c>
      <c r="B3831" t="s">
        <v>230</v>
      </c>
      <c r="C3831" t="s">
        <v>427</v>
      </c>
      <c r="D3831" s="1">
        <v>45268</v>
      </c>
      <c r="E3831" t="s">
        <v>422</v>
      </c>
      <c r="F3831">
        <v>98.79</v>
      </c>
      <c r="G3831" t="s">
        <v>70</v>
      </c>
      <c r="H3831" t="s">
        <v>264</v>
      </c>
      <c r="I3831" t="s">
        <v>72</v>
      </c>
    </row>
    <row r="3832" spans="1:9" x14ac:dyDescent="0.25">
      <c r="A3832" t="s">
        <v>264</v>
      </c>
      <c r="B3832" t="s">
        <v>230</v>
      </c>
      <c r="C3832" t="s">
        <v>427</v>
      </c>
      <c r="D3832" s="1">
        <v>45268</v>
      </c>
      <c r="E3832" t="s">
        <v>422</v>
      </c>
      <c r="F3832">
        <v>17.489999999999998</v>
      </c>
      <c r="G3832" t="s">
        <v>70</v>
      </c>
      <c r="H3832" t="s">
        <v>264</v>
      </c>
      <c r="I3832" t="s">
        <v>72</v>
      </c>
    </row>
    <row r="3833" spans="1:9" x14ac:dyDescent="0.25">
      <c r="A3833" t="s">
        <v>264</v>
      </c>
      <c r="B3833" t="s">
        <v>230</v>
      </c>
      <c r="C3833" t="s">
        <v>427</v>
      </c>
      <c r="D3833" s="1">
        <v>45271</v>
      </c>
      <c r="E3833" t="s">
        <v>649</v>
      </c>
      <c r="F3833">
        <v>35.26</v>
      </c>
      <c r="G3833" t="s">
        <v>79</v>
      </c>
      <c r="H3833" t="s">
        <v>96</v>
      </c>
      <c r="I3833" t="s">
        <v>96</v>
      </c>
    </row>
    <row r="3834" spans="1:9" x14ac:dyDescent="0.25">
      <c r="A3834" t="s">
        <v>264</v>
      </c>
      <c r="B3834" t="s">
        <v>230</v>
      </c>
      <c r="C3834" t="s">
        <v>427</v>
      </c>
      <c r="D3834" s="1">
        <v>45271</v>
      </c>
      <c r="E3834" t="s">
        <v>422</v>
      </c>
      <c r="F3834">
        <v>85.54</v>
      </c>
      <c r="G3834" t="s">
        <v>70</v>
      </c>
      <c r="H3834" t="s">
        <v>264</v>
      </c>
      <c r="I3834" t="s">
        <v>72</v>
      </c>
    </row>
    <row r="3835" spans="1:9" x14ac:dyDescent="0.25">
      <c r="A3835" t="s">
        <v>264</v>
      </c>
      <c r="B3835" t="s">
        <v>230</v>
      </c>
      <c r="C3835" t="s">
        <v>427</v>
      </c>
      <c r="D3835" s="1">
        <v>45271</v>
      </c>
      <c r="E3835" t="s">
        <v>422</v>
      </c>
      <c r="F3835">
        <v>9.5399999999999991</v>
      </c>
      <c r="G3835" t="s">
        <v>70</v>
      </c>
      <c r="H3835" t="s">
        <v>264</v>
      </c>
      <c r="I3835" t="s">
        <v>72</v>
      </c>
    </row>
    <row r="3836" spans="1:9" x14ac:dyDescent="0.25">
      <c r="A3836" t="s">
        <v>264</v>
      </c>
      <c r="B3836" t="s">
        <v>230</v>
      </c>
      <c r="C3836" t="s">
        <v>427</v>
      </c>
      <c r="D3836" s="1">
        <v>45271</v>
      </c>
      <c r="E3836" t="s">
        <v>422</v>
      </c>
      <c r="F3836">
        <v>81.84</v>
      </c>
      <c r="G3836" t="s">
        <v>70</v>
      </c>
      <c r="H3836" t="s">
        <v>264</v>
      </c>
      <c r="I3836" t="s">
        <v>72</v>
      </c>
    </row>
    <row r="3837" spans="1:9" x14ac:dyDescent="0.25">
      <c r="A3837" t="s">
        <v>264</v>
      </c>
      <c r="B3837" t="s">
        <v>230</v>
      </c>
      <c r="C3837" t="s">
        <v>427</v>
      </c>
      <c r="D3837" s="1">
        <v>45271</v>
      </c>
      <c r="E3837" t="s">
        <v>422</v>
      </c>
      <c r="F3837">
        <v>431.04</v>
      </c>
      <c r="G3837" t="s">
        <v>70</v>
      </c>
      <c r="H3837" t="s">
        <v>264</v>
      </c>
      <c r="I3837" t="s">
        <v>72</v>
      </c>
    </row>
    <row r="3838" spans="1:9" x14ac:dyDescent="0.25">
      <c r="A3838" t="s">
        <v>264</v>
      </c>
      <c r="B3838" t="s">
        <v>230</v>
      </c>
      <c r="C3838" t="s">
        <v>427</v>
      </c>
      <c r="D3838" s="1">
        <v>45271</v>
      </c>
      <c r="E3838" t="s">
        <v>537</v>
      </c>
      <c r="F3838">
        <v>-100.9</v>
      </c>
      <c r="G3838" t="s">
        <v>68</v>
      </c>
      <c r="H3838" t="s">
        <v>69</v>
      </c>
      <c r="I3838" t="s">
        <v>69</v>
      </c>
    </row>
    <row r="3839" spans="1:9" x14ac:dyDescent="0.25">
      <c r="A3839" t="s">
        <v>264</v>
      </c>
      <c r="B3839" t="s">
        <v>230</v>
      </c>
      <c r="C3839" t="s">
        <v>427</v>
      </c>
      <c r="D3839" s="1">
        <v>45271</v>
      </c>
      <c r="E3839" t="s">
        <v>650</v>
      </c>
      <c r="F3839">
        <v>-49.83</v>
      </c>
      <c r="G3839" t="s">
        <v>467</v>
      </c>
      <c r="H3839" t="s">
        <v>468</v>
      </c>
      <c r="I3839" t="s">
        <v>467</v>
      </c>
    </row>
    <row r="3840" spans="1:9" x14ac:dyDescent="0.25">
      <c r="A3840" t="s">
        <v>264</v>
      </c>
      <c r="B3840" t="s">
        <v>230</v>
      </c>
      <c r="C3840" t="s">
        <v>427</v>
      </c>
      <c r="D3840" s="1">
        <v>45271</v>
      </c>
      <c r="E3840" t="s">
        <v>651</v>
      </c>
      <c r="F3840">
        <v>-14.57</v>
      </c>
      <c r="G3840" t="s">
        <v>68</v>
      </c>
      <c r="H3840" t="s">
        <v>69</v>
      </c>
      <c r="I3840" t="s">
        <v>69</v>
      </c>
    </row>
    <row r="3841" spans="1:9" x14ac:dyDescent="0.25">
      <c r="A3841" t="s">
        <v>264</v>
      </c>
      <c r="B3841" t="s">
        <v>230</v>
      </c>
      <c r="C3841" t="s">
        <v>427</v>
      </c>
      <c r="D3841" s="1">
        <v>45271</v>
      </c>
      <c r="E3841" t="s">
        <v>608</v>
      </c>
      <c r="F3841">
        <v>-6.26</v>
      </c>
      <c r="G3841" t="s">
        <v>92</v>
      </c>
      <c r="H3841" t="s">
        <v>93</v>
      </c>
      <c r="I3841" t="s">
        <v>94</v>
      </c>
    </row>
    <row r="3842" spans="1:9" x14ac:dyDescent="0.25">
      <c r="A3842" t="s">
        <v>264</v>
      </c>
      <c r="B3842" t="s">
        <v>230</v>
      </c>
      <c r="C3842" t="s">
        <v>427</v>
      </c>
      <c r="D3842" s="1">
        <v>45271</v>
      </c>
      <c r="E3842" t="s">
        <v>649</v>
      </c>
      <c r="F3842">
        <v>-54.88</v>
      </c>
      <c r="G3842" t="s">
        <v>79</v>
      </c>
      <c r="H3842" t="s">
        <v>96</v>
      </c>
      <c r="I3842" t="s">
        <v>96</v>
      </c>
    </row>
    <row r="3843" spans="1:9" x14ac:dyDescent="0.25">
      <c r="A3843" t="s">
        <v>264</v>
      </c>
      <c r="B3843" t="s">
        <v>230</v>
      </c>
      <c r="C3843" t="s">
        <v>427</v>
      </c>
      <c r="D3843" s="1">
        <v>45271</v>
      </c>
      <c r="E3843" t="s">
        <v>649</v>
      </c>
      <c r="F3843">
        <v>-27.54</v>
      </c>
      <c r="G3843" t="s">
        <v>79</v>
      </c>
      <c r="H3843" t="s">
        <v>96</v>
      </c>
      <c r="I3843" t="s">
        <v>96</v>
      </c>
    </row>
    <row r="3844" spans="1:9" x14ac:dyDescent="0.25">
      <c r="A3844" t="s">
        <v>264</v>
      </c>
      <c r="B3844" t="s">
        <v>230</v>
      </c>
      <c r="C3844" t="s">
        <v>427</v>
      </c>
      <c r="D3844" s="1">
        <v>45271</v>
      </c>
      <c r="E3844" t="s">
        <v>432</v>
      </c>
      <c r="F3844">
        <v>-62.07</v>
      </c>
      <c r="G3844" t="s">
        <v>68</v>
      </c>
      <c r="H3844" t="s">
        <v>69</v>
      </c>
      <c r="I3844" t="s">
        <v>69</v>
      </c>
    </row>
    <row r="3845" spans="1:9" x14ac:dyDescent="0.25">
      <c r="A3845" t="s">
        <v>264</v>
      </c>
      <c r="B3845" t="s">
        <v>230</v>
      </c>
      <c r="C3845" t="s">
        <v>427</v>
      </c>
      <c r="D3845" s="1">
        <v>45271</v>
      </c>
      <c r="E3845" t="s">
        <v>424</v>
      </c>
      <c r="F3845">
        <v>-6.48</v>
      </c>
      <c r="G3845" t="s">
        <v>68</v>
      </c>
      <c r="H3845" t="s">
        <v>69</v>
      </c>
      <c r="I3845" t="s">
        <v>69</v>
      </c>
    </row>
    <row r="3846" spans="1:9" x14ac:dyDescent="0.25">
      <c r="A3846" t="s">
        <v>264</v>
      </c>
      <c r="B3846" t="s">
        <v>230</v>
      </c>
      <c r="C3846" t="s">
        <v>427</v>
      </c>
      <c r="D3846" s="1">
        <v>45271</v>
      </c>
      <c r="E3846" t="s">
        <v>652</v>
      </c>
      <c r="F3846">
        <v>-23.62</v>
      </c>
      <c r="G3846" t="s">
        <v>68</v>
      </c>
      <c r="H3846" t="s">
        <v>69</v>
      </c>
      <c r="I3846" t="s">
        <v>69</v>
      </c>
    </row>
    <row r="3847" spans="1:9" x14ac:dyDescent="0.25">
      <c r="A3847" t="s">
        <v>264</v>
      </c>
      <c r="B3847" t="s">
        <v>230</v>
      </c>
      <c r="C3847" t="s">
        <v>427</v>
      </c>
      <c r="D3847" s="1">
        <v>45271</v>
      </c>
      <c r="E3847" t="s">
        <v>653</v>
      </c>
      <c r="F3847">
        <v>-1.73</v>
      </c>
      <c r="G3847" t="s">
        <v>68</v>
      </c>
      <c r="H3847" t="s">
        <v>69</v>
      </c>
      <c r="I3847" t="s">
        <v>69</v>
      </c>
    </row>
    <row r="3848" spans="1:9" x14ac:dyDescent="0.25">
      <c r="A3848" t="s">
        <v>264</v>
      </c>
      <c r="B3848" t="s">
        <v>230</v>
      </c>
      <c r="C3848" t="s">
        <v>427</v>
      </c>
      <c r="D3848" s="1">
        <v>45271</v>
      </c>
      <c r="E3848" t="s">
        <v>653</v>
      </c>
      <c r="F3848">
        <v>-4.16</v>
      </c>
      <c r="G3848" t="s">
        <v>68</v>
      </c>
      <c r="H3848" t="s">
        <v>69</v>
      </c>
      <c r="I3848" t="s">
        <v>69</v>
      </c>
    </row>
    <row r="3849" spans="1:9" x14ac:dyDescent="0.25">
      <c r="A3849" t="s">
        <v>264</v>
      </c>
      <c r="B3849" t="s">
        <v>230</v>
      </c>
      <c r="C3849" t="s">
        <v>427</v>
      </c>
      <c r="D3849" s="1">
        <v>45271</v>
      </c>
      <c r="E3849" t="s">
        <v>422</v>
      </c>
      <c r="F3849">
        <v>28.28</v>
      </c>
      <c r="G3849" t="s">
        <v>70</v>
      </c>
      <c r="H3849" t="s">
        <v>264</v>
      </c>
      <c r="I3849" t="s">
        <v>72</v>
      </c>
    </row>
    <row r="3850" spans="1:9" x14ac:dyDescent="0.25">
      <c r="A3850" t="s">
        <v>264</v>
      </c>
      <c r="B3850" t="s">
        <v>230</v>
      </c>
      <c r="C3850" t="s">
        <v>427</v>
      </c>
      <c r="D3850" s="1">
        <v>45271</v>
      </c>
      <c r="E3850" t="s">
        <v>422</v>
      </c>
      <c r="F3850">
        <v>97.99</v>
      </c>
      <c r="G3850" t="s">
        <v>70</v>
      </c>
      <c r="H3850" t="s">
        <v>264</v>
      </c>
      <c r="I3850" t="s">
        <v>72</v>
      </c>
    </row>
    <row r="3851" spans="1:9" x14ac:dyDescent="0.25">
      <c r="A3851" t="s">
        <v>264</v>
      </c>
      <c r="B3851" t="s">
        <v>230</v>
      </c>
      <c r="C3851" t="s">
        <v>427</v>
      </c>
      <c r="D3851" s="1">
        <v>45271</v>
      </c>
      <c r="E3851" t="s">
        <v>422</v>
      </c>
      <c r="F3851">
        <v>52.85</v>
      </c>
      <c r="G3851" t="s">
        <v>70</v>
      </c>
      <c r="H3851" t="s">
        <v>264</v>
      </c>
      <c r="I3851" t="s">
        <v>72</v>
      </c>
    </row>
    <row r="3852" spans="1:9" x14ac:dyDescent="0.25">
      <c r="A3852" t="s">
        <v>264</v>
      </c>
      <c r="B3852" t="s">
        <v>230</v>
      </c>
      <c r="C3852" t="s">
        <v>427</v>
      </c>
      <c r="D3852" s="1">
        <v>45271</v>
      </c>
      <c r="E3852" t="s">
        <v>534</v>
      </c>
      <c r="F3852">
        <v>-40.700000000000003</v>
      </c>
      <c r="G3852" t="s">
        <v>79</v>
      </c>
      <c r="H3852" t="s">
        <v>81</v>
      </c>
      <c r="I3852" t="s">
        <v>81</v>
      </c>
    </row>
    <row r="3853" spans="1:9" x14ac:dyDescent="0.25">
      <c r="A3853" t="s">
        <v>264</v>
      </c>
      <c r="B3853" t="s">
        <v>230</v>
      </c>
      <c r="C3853" t="s">
        <v>427</v>
      </c>
      <c r="D3853" s="1">
        <v>45271</v>
      </c>
      <c r="E3853" t="s">
        <v>575</v>
      </c>
      <c r="F3853">
        <v>-34.72</v>
      </c>
      <c r="G3853" t="s">
        <v>350</v>
      </c>
      <c r="H3853" t="s">
        <v>576</v>
      </c>
      <c r="I3853" t="s">
        <v>576</v>
      </c>
    </row>
    <row r="3854" spans="1:9" x14ac:dyDescent="0.25">
      <c r="A3854" t="s">
        <v>264</v>
      </c>
      <c r="B3854" t="s">
        <v>230</v>
      </c>
      <c r="C3854" t="s">
        <v>427</v>
      </c>
      <c r="D3854" s="1">
        <v>45271</v>
      </c>
      <c r="E3854" t="s">
        <v>426</v>
      </c>
      <c r="F3854">
        <v>-3.63</v>
      </c>
      <c r="G3854" t="s">
        <v>68</v>
      </c>
      <c r="H3854" t="s">
        <v>69</v>
      </c>
      <c r="I3854" t="s">
        <v>69</v>
      </c>
    </row>
    <row r="3855" spans="1:9" x14ac:dyDescent="0.25">
      <c r="A3855" t="s">
        <v>264</v>
      </c>
      <c r="B3855" t="s">
        <v>230</v>
      </c>
      <c r="C3855" t="s">
        <v>427</v>
      </c>
      <c r="D3855" s="1">
        <v>45273</v>
      </c>
      <c r="E3855" t="s">
        <v>650</v>
      </c>
      <c r="F3855">
        <v>-595.82000000000005</v>
      </c>
      <c r="G3855" t="s">
        <v>467</v>
      </c>
      <c r="H3855" t="s">
        <v>468</v>
      </c>
      <c r="I3855" t="s">
        <v>467</v>
      </c>
    </row>
    <row r="3856" spans="1:9" x14ac:dyDescent="0.25">
      <c r="A3856" t="s">
        <v>264</v>
      </c>
      <c r="B3856" t="s">
        <v>230</v>
      </c>
      <c r="C3856" t="s">
        <v>427</v>
      </c>
      <c r="D3856" s="1">
        <v>45272</v>
      </c>
      <c r="E3856" t="s">
        <v>422</v>
      </c>
      <c r="F3856">
        <v>378.63</v>
      </c>
      <c r="G3856" t="s">
        <v>70</v>
      </c>
      <c r="H3856" t="s">
        <v>264</v>
      </c>
      <c r="I3856" t="s">
        <v>72</v>
      </c>
    </row>
    <row r="3857" spans="1:9" x14ac:dyDescent="0.25">
      <c r="A3857" t="s">
        <v>264</v>
      </c>
      <c r="B3857" t="s">
        <v>230</v>
      </c>
      <c r="C3857" t="s">
        <v>427</v>
      </c>
      <c r="D3857" s="1">
        <v>45274</v>
      </c>
      <c r="E3857" t="s">
        <v>422</v>
      </c>
      <c r="F3857">
        <v>234.9</v>
      </c>
      <c r="G3857" t="s">
        <v>70</v>
      </c>
      <c r="H3857" t="s">
        <v>264</v>
      </c>
      <c r="I3857" t="s">
        <v>72</v>
      </c>
    </row>
    <row r="3858" spans="1:9" x14ac:dyDescent="0.25">
      <c r="A3858" t="s">
        <v>264</v>
      </c>
      <c r="B3858" t="s">
        <v>230</v>
      </c>
      <c r="C3858" t="s">
        <v>427</v>
      </c>
      <c r="D3858" s="1">
        <v>45274</v>
      </c>
      <c r="E3858" t="s">
        <v>428</v>
      </c>
      <c r="F3858">
        <v>-35.47</v>
      </c>
      <c r="G3858" t="s">
        <v>68</v>
      </c>
      <c r="H3858" t="s">
        <v>69</v>
      </c>
      <c r="I3858" t="s">
        <v>69</v>
      </c>
    </row>
    <row r="3859" spans="1:9" x14ac:dyDescent="0.25">
      <c r="A3859" t="s">
        <v>264</v>
      </c>
      <c r="B3859" t="s">
        <v>230</v>
      </c>
      <c r="C3859" t="s">
        <v>427</v>
      </c>
      <c r="D3859" s="1">
        <v>45274</v>
      </c>
      <c r="E3859" t="s">
        <v>579</v>
      </c>
      <c r="F3859">
        <v>-2.69</v>
      </c>
      <c r="G3859" t="s">
        <v>76</v>
      </c>
      <c r="H3859" t="s">
        <v>87</v>
      </c>
      <c r="I3859" t="s">
        <v>88</v>
      </c>
    </row>
    <row r="3860" spans="1:9" x14ac:dyDescent="0.25">
      <c r="A3860" t="s">
        <v>264</v>
      </c>
      <c r="B3860" t="s">
        <v>230</v>
      </c>
      <c r="C3860" t="s">
        <v>427</v>
      </c>
      <c r="D3860" s="1">
        <v>45274</v>
      </c>
      <c r="E3860" t="s">
        <v>654</v>
      </c>
      <c r="F3860">
        <v>-27.77</v>
      </c>
      <c r="G3860" t="s">
        <v>76</v>
      </c>
      <c r="H3860" t="s">
        <v>87</v>
      </c>
      <c r="I3860" t="s">
        <v>88</v>
      </c>
    </row>
    <row r="3861" spans="1:9" x14ac:dyDescent="0.25">
      <c r="A3861" t="s">
        <v>264</v>
      </c>
      <c r="B3861" t="s">
        <v>230</v>
      </c>
      <c r="C3861" t="s">
        <v>427</v>
      </c>
      <c r="D3861" s="1">
        <v>45273</v>
      </c>
      <c r="E3861" t="s">
        <v>422</v>
      </c>
      <c r="F3861">
        <v>11.88</v>
      </c>
      <c r="G3861" t="s">
        <v>70</v>
      </c>
      <c r="H3861" t="s">
        <v>264</v>
      </c>
      <c r="I3861" t="s">
        <v>72</v>
      </c>
    </row>
    <row r="3862" spans="1:9" x14ac:dyDescent="0.25">
      <c r="A3862" t="s">
        <v>264</v>
      </c>
      <c r="B3862" t="s">
        <v>230</v>
      </c>
      <c r="C3862" t="s">
        <v>427</v>
      </c>
      <c r="D3862" s="1">
        <v>45278</v>
      </c>
      <c r="E3862" t="s">
        <v>480</v>
      </c>
      <c r="F3862">
        <v>-41.55</v>
      </c>
      <c r="G3862" t="s">
        <v>76</v>
      </c>
      <c r="H3862" t="s">
        <v>82</v>
      </c>
      <c r="I3862" t="s">
        <v>83</v>
      </c>
    </row>
    <row r="3863" spans="1:9" x14ac:dyDescent="0.25">
      <c r="A3863" t="s">
        <v>264</v>
      </c>
      <c r="B3863" t="s">
        <v>230</v>
      </c>
      <c r="C3863" t="s">
        <v>427</v>
      </c>
      <c r="D3863" s="1">
        <v>45275</v>
      </c>
      <c r="E3863" t="s">
        <v>439</v>
      </c>
      <c r="F3863">
        <v>-8.7799999999999994</v>
      </c>
      <c r="G3863" t="s">
        <v>79</v>
      </c>
      <c r="H3863" t="s">
        <v>96</v>
      </c>
      <c r="I3863" t="s">
        <v>96</v>
      </c>
    </row>
    <row r="3864" spans="1:9" x14ac:dyDescent="0.25">
      <c r="A3864" t="s">
        <v>264</v>
      </c>
      <c r="B3864" t="s">
        <v>230</v>
      </c>
      <c r="C3864" t="s">
        <v>427</v>
      </c>
      <c r="D3864" s="1">
        <v>45274</v>
      </c>
      <c r="E3864" t="s">
        <v>422</v>
      </c>
      <c r="F3864">
        <v>52.18</v>
      </c>
      <c r="G3864" t="s">
        <v>70</v>
      </c>
      <c r="H3864" t="s">
        <v>264</v>
      </c>
      <c r="I3864" t="s">
        <v>72</v>
      </c>
    </row>
    <row r="3865" spans="1:9" x14ac:dyDescent="0.25">
      <c r="A3865" t="s">
        <v>264</v>
      </c>
      <c r="B3865" t="s">
        <v>230</v>
      </c>
      <c r="C3865" t="s">
        <v>427</v>
      </c>
      <c r="D3865" s="1">
        <v>45275</v>
      </c>
      <c r="E3865" t="s">
        <v>422</v>
      </c>
      <c r="F3865">
        <v>131.13</v>
      </c>
      <c r="G3865" t="s">
        <v>70</v>
      </c>
      <c r="H3865" t="s">
        <v>264</v>
      </c>
      <c r="I3865" t="s">
        <v>72</v>
      </c>
    </row>
    <row r="3866" spans="1:9" x14ac:dyDescent="0.25">
      <c r="A3866" t="s">
        <v>264</v>
      </c>
      <c r="B3866" t="s">
        <v>230</v>
      </c>
      <c r="C3866" t="s">
        <v>427</v>
      </c>
      <c r="D3866" s="1">
        <v>45275</v>
      </c>
      <c r="E3866" t="s">
        <v>422</v>
      </c>
      <c r="F3866">
        <v>8.89</v>
      </c>
      <c r="G3866" t="s">
        <v>70</v>
      </c>
      <c r="H3866" t="s">
        <v>264</v>
      </c>
      <c r="I3866" t="s">
        <v>72</v>
      </c>
    </row>
    <row r="3867" spans="1:9" x14ac:dyDescent="0.25">
      <c r="A3867" t="s">
        <v>264</v>
      </c>
      <c r="B3867" t="s">
        <v>230</v>
      </c>
      <c r="C3867" t="s">
        <v>427</v>
      </c>
      <c r="D3867" s="1">
        <v>45275</v>
      </c>
      <c r="E3867" t="s">
        <v>652</v>
      </c>
      <c r="F3867">
        <v>-1.36</v>
      </c>
      <c r="G3867" t="s">
        <v>68</v>
      </c>
      <c r="H3867" t="s">
        <v>69</v>
      </c>
      <c r="I3867" t="s">
        <v>69</v>
      </c>
    </row>
    <row r="3868" spans="1:9" x14ac:dyDescent="0.25">
      <c r="A3868" t="s">
        <v>264</v>
      </c>
      <c r="B3868" t="s">
        <v>230</v>
      </c>
      <c r="C3868" t="s">
        <v>427</v>
      </c>
      <c r="D3868" s="1">
        <v>45278</v>
      </c>
      <c r="E3868" t="s">
        <v>422</v>
      </c>
      <c r="F3868">
        <v>14.6</v>
      </c>
      <c r="G3868" t="s">
        <v>70</v>
      </c>
      <c r="H3868" t="s">
        <v>264</v>
      </c>
      <c r="I3868" t="s">
        <v>72</v>
      </c>
    </row>
    <row r="3869" spans="1:9" x14ac:dyDescent="0.25">
      <c r="A3869" t="s">
        <v>264</v>
      </c>
      <c r="B3869" t="s">
        <v>230</v>
      </c>
      <c r="C3869" t="s">
        <v>427</v>
      </c>
      <c r="D3869" s="1">
        <v>45278</v>
      </c>
      <c r="E3869" t="s">
        <v>422</v>
      </c>
      <c r="F3869">
        <v>6.6</v>
      </c>
      <c r="G3869" t="s">
        <v>70</v>
      </c>
      <c r="H3869" t="s">
        <v>264</v>
      </c>
      <c r="I3869" t="s">
        <v>72</v>
      </c>
    </row>
    <row r="3870" spans="1:9" x14ac:dyDescent="0.25">
      <c r="A3870" t="s">
        <v>264</v>
      </c>
      <c r="B3870" t="s">
        <v>230</v>
      </c>
      <c r="C3870" t="s">
        <v>427</v>
      </c>
      <c r="D3870" s="1">
        <v>45278</v>
      </c>
      <c r="E3870" t="s">
        <v>422</v>
      </c>
      <c r="F3870">
        <v>46.55</v>
      </c>
      <c r="G3870" t="s">
        <v>70</v>
      </c>
      <c r="H3870" t="s">
        <v>264</v>
      </c>
      <c r="I3870" t="s">
        <v>72</v>
      </c>
    </row>
    <row r="3871" spans="1:9" x14ac:dyDescent="0.25">
      <c r="A3871" t="s">
        <v>264</v>
      </c>
      <c r="B3871" t="s">
        <v>230</v>
      </c>
      <c r="C3871" t="s">
        <v>427</v>
      </c>
      <c r="D3871" s="1">
        <v>45278</v>
      </c>
      <c r="E3871" t="s">
        <v>422</v>
      </c>
      <c r="F3871">
        <v>19.62</v>
      </c>
      <c r="G3871" t="s">
        <v>70</v>
      </c>
      <c r="H3871" t="s">
        <v>264</v>
      </c>
      <c r="I3871" t="s">
        <v>72</v>
      </c>
    </row>
    <row r="3872" spans="1:9" x14ac:dyDescent="0.25">
      <c r="A3872" t="s">
        <v>264</v>
      </c>
      <c r="B3872" t="s">
        <v>230</v>
      </c>
      <c r="C3872" t="s">
        <v>427</v>
      </c>
      <c r="D3872" s="1">
        <v>45278</v>
      </c>
      <c r="E3872" t="s">
        <v>655</v>
      </c>
      <c r="F3872">
        <v>-39.04</v>
      </c>
      <c r="G3872" t="s">
        <v>68</v>
      </c>
      <c r="H3872" t="s">
        <v>69</v>
      </c>
      <c r="I3872" t="s">
        <v>69</v>
      </c>
    </row>
    <row r="3873" spans="1:9" x14ac:dyDescent="0.25">
      <c r="A3873" t="s">
        <v>264</v>
      </c>
      <c r="B3873" t="s">
        <v>230</v>
      </c>
      <c r="C3873" t="s">
        <v>427</v>
      </c>
      <c r="D3873" s="1">
        <v>45278</v>
      </c>
      <c r="E3873" t="s">
        <v>656</v>
      </c>
      <c r="F3873">
        <v>-22.15</v>
      </c>
      <c r="G3873" t="s">
        <v>79</v>
      </c>
      <c r="H3873" t="s">
        <v>96</v>
      </c>
      <c r="I3873" t="s">
        <v>96</v>
      </c>
    </row>
    <row r="3874" spans="1:9" x14ac:dyDescent="0.25">
      <c r="A3874" t="s">
        <v>264</v>
      </c>
      <c r="B3874" t="s">
        <v>230</v>
      </c>
      <c r="C3874" t="s">
        <v>427</v>
      </c>
      <c r="D3874" s="1">
        <v>45278</v>
      </c>
      <c r="E3874" t="s">
        <v>657</v>
      </c>
      <c r="F3874">
        <v>-2.2400000000000002</v>
      </c>
      <c r="G3874" t="s">
        <v>76</v>
      </c>
      <c r="H3874" t="s">
        <v>87</v>
      </c>
      <c r="I3874" t="s">
        <v>88</v>
      </c>
    </row>
    <row r="3875" spans="1:9" x14ac:dyDescent="0.25">
      <c r="A3875" t="s">
        <v>264</v>
      </c>
      <c r="B3875" t="s">
        <v>230</v>
      </c>
      <c r="C3875" t="s">
        <v>427</v>
      </c>
      <c r="D3875" s="1">
        <v>45278</v>
      </c>
      <c r="E3875" t="s">
        <v>531</v>
      </c>
      <c r="F3875">
        <v>-6.66</v>
      </c>
      <c r="G3875" t="s">
        <v>89</v>
      </c>
      <c r="H3875" t="s">
        <v>90</v>
      </c>
      <c r="I3875" t="s">
        <v>128</v>
      </c>
    </row>
    <row r="3876" spans="1:9" x14ac:dyDescent="0.25">
      <c r="A3876" t="s">
        <v>264</v>
      </c>
      <c r="B3876" t="s">
        <v>230</v>
      </c>
      <c r="C3876" t="s">
        <v>427</v>
      </c>
      <c r="D3876" s="1">
        <v>45279</v>
      </c>
      <c r="E3876" t="s">
        <v>425</v>
      </c>
      <c r="F3876">
        <v>-0.78</v>
      </c>
      <c r="G3876" t="s">
        <v>68</v>
      </c>
      <c r="H3876" t="s">
        <v>69</v>
      </c>
      <c r="I3876" t="s">
        <v>69</v>
      </c>
    </row>
    <row r="3877" spans="1:9" x14ac:dyDescent="0.25">
      <c r="A3877" t="s">
        <v>264</v>
      </c>
      <c r="B3877" t="s">
        <v>230</v>
      </c>
      <c r="C3877" t="s">
        <v>427</v>
      </c>
      <c r="D3877" s="1">
        <v>45278</v>
      </c>
      <c r="E3877" t="s">
        <v>422</v>
      </c>
      <c r="F3877">
        <v>19.36</v>
      </c>
      <c r="G3877" t="s">
        <v>70</v>
      </c>
      <c r="H3877" t="s">
        <v>264</v>
      </c>
      <c r="I3877" t="s">
        <v>72</v>
      </c>
    </row>
    <row r="3878" spans="1:9" x14ac:dyDescent="0.25">
      <c r="A3878" t="s">
        <v>264</v>
      </c>
      <c r="B3878" t="s">
        <v>230</v>
      </c>
      <c r="C3878" t="s">
        <v>427</v>
      </c>
      <c r="D3878" s="1">
        <v>45280</v>
      </c>
      <c r="E3878" t="s">
        <v>498</v>
      </c>
      <c r="F3878">
        <v>-260.64999999999998</v>
      </c>
      <c r="G3878" t="s">
        <v>212</v>
      </c>
      <c r="H3878" t="s">
        <v>212</v>
      </c>
      <c r="I3878" t="s">
        <v>353</v>
      </c>
    </row>
    <row r="3879" spans="1:9" x14ac:dyDescent="0.25">
      <c r="A3879" t="s">
        <v>264</v>
      </c>
      <c r="B3879" t="s">
        <v>230</v>
      </c>
      <c r="C3879" t="s">
        <v>427</v>
      </c>
      <c r="D3879" s="1">
        <v>45280</v>
      </c>
      <c r="E3879" t="s">
        <v>658</v>
      </c>
      <c r="F3879">
        <v>-4.63</v>
      </c>
      <c r="G3879" t="s">
        <v>89</v>
      </c>
      <c r="H3879" t="s">
        <v>90</v>
      </c>
      <c r="I3879" t="s">
        <v>474</v>
      </c>
    </row>
    <row r="3880" spans="1:9" x14ac:dyDescent="0.25">
      <c r="A3880" t="s">
        <v>264</v>
      </c>
      <c r="B3880" t="s">
        <v>230</v>
      </c>
      <c r="C3880" t="s">
        <v>427</v>
      </c>
      <c r="D3880" s="1">
        <v>45280</v>
      </c>
      <c r="E3880" t="s">
        <v>659</v>
      </c>
      <c r="F3880">
        <v>-2.36</v>
      </c>
      <c r="G3880" t="s">
        <v>68</v>
      </c>
      <c r="H3880" t="s">
        <v>69</v>
      </c>
      <c r="I3880" t="s">
        <v>69</v>
      </c>
    </row>
    <row r="3881" spans="1:9" x14ac:dyDescent="0.25">
      <c r="A3881" t="s">
        <v>264</v>
      </c>
      <c r="B3881" t="s">
        <v>230</v>
      </c>
      <c r="C3881" t="s">
        <v>427</v>
      </c>
      <c r="D3881" s="1">
        <v>45279</v>
      </c>
      <c r="E3881" t="s">
        <v>422</v>
      </c>
      <c r="F3881">
        <v>12.57</v>
      </c>
      <c r="G3881" t="s">
        <v>70</v>
      </c>
      <c r="H3881" t="s">
        <v>264</v>
      </c>
      <c r="I3881" t="s">
        <v>72</v>
      </c>
    </row>
    <row r="3882" spans="1:9" x14ac:dyDescent="0.25">
      <c r="A3882" t="s">
        <v>264</v>
      </c>
      <c r="B3882" t="s">
        <v>230</v>
      </c>
      <c r="C3882" t="s">
        <v>427</v>
      </c>
      <c r="D3882" s="1">
        <v>45282</v>
      </c>
      <c r="E3882" t="s">
        <v>509</v>
      </c>
      <c r="F3882">
        <v>-21.13</v>
      </c>
      <c r="G3882" t="s">
        <v>92</v>
      </c>
      <c r="H3882" t="s">
        <v>510</v>
      </c>
      <c r="I3882" t="s">
        <v>510</v>
      </c>
    </row>
    <row r="3883" spans="1:9" x14ac:dyDescent="0.25">
      <c r="A3883" t="s">
        <v>264</v>
      </c>
      <c r="B3883" t="s">
        <v>230</v>
      </c>
      <c r="C3883" t="s">
        <v>427</v>
      </c>
      <c r="D3883" s="1">
        <v>45281</v>
      </c>
      <c r="E3883" t="s">
        <v>422</v>
      </c>
      <c r="F3883">
        <v>44.29</v>
      </c>
      <c r="G3883" t="s">
        <v>70</v>
      </c>
      <c r="H3883" t="s">
        <v>264</v>
      </c>
      <c r="I3883" t="s">
        <v>72</v>
      </c>
    </row>
    <row r="3884" spans="1:9" x14ac:dyDescent="0.25">
      <c r="A3884" t="s">
        <v>264</v>
      </c>
      <c r="B3884" t="s">
        <v>230</v>
      </c>
      <c r="C3884" t="s">
        <v>427</v>
      </c>
      <c r="D3884" s="1">
        <v>45281</v>
      </c>
      <c r="E3884" t="s">
        <v>486</v>
      </c>
      <c r="F3884">
        <v>-182.21</v>
      </c>
      <c r="G3884" t="s">
        <v>73</v>
      </c>
      <c r="H3884" t="s">
        <v>487</v>
      </c>
      <c r="I3884" t="s">
        <v>487</v>
      </c>
    </row>
    <row r="3885" spans="1:9" x14ac:dyDescent="0.25">
      <c r="A3885" t="s">
        <v>264</v>
      </c>
      <c r="B3885" t="s">
        <v>230</v>
      </c>
      <c r="C3885" t="s">
        <v>427</v>
      </c>
      <c r="D3885" s="1">
        <v>45281</v>
      </c>
      <c r="E3885" t="s">
        <v>486</v>
      </c>
      <c r="F3885">
        <v>-122.15</v>
      </c>
      <c r="G3885" t="s">
        <v>79</v>
      </c>
      <c r="H3885" t="s">
        <v>95</v>
      </c>
      <c r="I3885" t="s">
        <v>95</v>
      </c>
    </row>
    <row r="3886" spans="1:9" x14ac:dyDescent="0.25">
      <c r="A3886" t="s">
        <v>264</v>
      </c>
      <c r="B3886" t="s">
        <v>230</v>
      </c>
      <c r="C3886" t="s">
        <v>427</v>
      </c>
      <c r="D3886" s="1">
        <v>45281</v>
      </c>
      <c r="E3886" t="s">
        <v>486</v>
      </c>
      <c r="F3886">
        <v>-13.15</v>
      </c>
      <c r="G3886" t="s">
        <v>350</v>
      </c>
      <c r="H3886" t="s">
        <v>487</v>
      </c>
      <c r="I3886" t="s">
        <v>487</v>
      </c>
    </row>
    <row r="3887" spans="1:9" x14ac:dyDescent="0.25">
      <c r="A3887" t="s">
        <v>264</v>
      </c>
      <c r="B3887" t="s">
        <v>230</v>
      </c>
      <c r="C3887" t="s">
        <v>427</v>
      </c>
      <c r="D3887" s="1">
        <v>45281</v>
      </c>
      <c r="E3887" t="s">
        <v>656</v>
      </c>
      <c r="F3887">
        <v>-1.84</v>
      </c>
      <c r="G3887" t="s">
        <v>79</v>
      </c>
      <c r="H3887" t="s">
        <v>96</v>
      </c>
      <c r="I3887" t="s">
        <v>96</v>
      </c>
    </row>
    <row r="3888" spans="1:9" x14ac:dyDescent="0.25">
      <c r="A3888" t="s">
        <v>264</v>
      </c>
      <c r="B3888" t="s">
        <v>230</v>
      </c>
      <c r="C3888" t="s">
        <v>427</v>
      </c>
      <c r="D3888" s="1">
        <v>45281</v>
      </c>
      <c r="E3888" t="s">
        <v>424</v>
      </c>
      <c r="F3888">
        <v>-34.020000000000003</v>
      </c>
      <c r="G3888" t="s">
        <v>68</v>
      </c>
      <c r="H3888" t="s">
        <v>69</v>
      </c>
      <c r="I3888" t="s">
        <v>69</v>
      </c>
    </row>
    <row r="3889" spans="1:9" x14ac:dyDescent="0.25">
      <c r="A3889" t="s">
        <v>264</v>
      </c>
      <c r="B3889" t="s">
        <v>230</v>
      </c>
      <c r="C3889" t="s">
        <v>427</v>
      </c>
      <c r="D3889" s="1">
        <v>45281</v>
      </c>
      <c r="E3889" t="s">
        <v>433</v>
      </c>
      <c r="F3889">
        <v>-47</v>
      </c>
      <c r="G3889" t="s">
        <v>68</v>
      </c>
      <c r="H3889" t="s">
        <v>69</v>
      </c>
      <c r="I3889" t="s">
        <v>69</v>
      </c>
    </row>
    <row r="3890" spans="1:9" x14ac:dyDescent="0.25">
      <c r="A3890" t="s">
        <v>264</v>
      </c>
      <c r="B3890" t="s">
        <v>230</v>
      </c>
      <c r="C3890" t="s">
        <v>427</v>
      </c>
      <c r="D3890" s="1">
        <v>45281</v>
      </c>
      <c r="E3890" t="s">
        <v>543</v>
      </c>
      <c r="F3890">
        <v>-28.03</v>
      </c>
      <c r="G3890" t="s">
        <v>79</v>
      </c>
      <c r="H3890" t="s">
        <v>96</v>
      </c>
      <c r="I3890" t="s">
        <v>96</v>
      </c>
    </row>
    <row r="3891" spans="1:9" x14ac:dyDescent="0.25">
      <c r="A3891" t="s">
        <v>264</v>
      </c>
      <c r="B3891" t="s">
        <v>230</v>
      </c>
      <c r="C3891" t="s">
        <v>427</v>
      </c>
      <c r="D3891" s="1">
        <v>45280</v>
      </c>
      <c r="E3891" t="s">
        <v>422</v>
      </c>
      <c r="F3891">
        <v>148.31</v>
      </c>
      <c r="G3891" t="s">
        <v>70</v>
      </c>
      <c r="H3891" t="s">
        <v>264</v>
      </c>
      <c r="I3891" t="s">
        <v>72</v>
      </c>
    </row>
    <row r="3892" spans="1:9" x14ac:dyDescent="0.25">
      <c r="A3892" t="s">
        <v>264</v>
      </c>
      <c r="B3892" t="s">
        <v>230</v>
      </c>
      <c r="C3892" t="s">
        <v>427</v>
      </c>
      <c r="D3892" s="1">
        <v>45287</v>
      </c>
      <c r="E3892" t="s">
        <v>503</v>
      </c>
      <c r="F3892">
        <v>-116.16</v>
      </c>
      <c r="G3892" t="s">
        <v>76</v>
      </c>
      <c r="H3892" t="s">
        <v>82</v>
      </c>
      <c r="I3892" t="s">
        <v>83</v>
      </c>
    </row>
    <row r="3893" spans="1:9" x14ac:dyDescent="0.25">
      <c r="A3893" t="s">
        <v>264</v>
      </c>
      <c r="B3893" t="s">
        <v>230</v>
      </c>
      <c r="C3893" t="s">
        <v>427</v>
      </c>
      <c r="D3893" s="1">
        <v>45287</v>
      </c>
      <c r="E3893" t="s">
        <v>618</v>
      </c>
      <c r="F3893">
        <v>-7.95</v>
      </c>
      <c r="G3893" t="s">
        <v>89</v>
      </c>
      <c r="H3893" t="s">
        <v>90</v>
      </c>
      <c r="I3893" t="s">
        <v>474</v>
      </c>
    </row>
    <row r="3894" spans="1:9" x14ac:dyDescent="0.25">
      <c r="A3894" t="s">
        <v>264</v>
      </c>
      <c r="B3894" t="s">
        <v>230</v>
      </c>
      <c r="C3894" t="s">
        <v>427</v>
      </c>
      <c r="D3894" s="1">
        <v>45287</v>
      </c>
      <c r="E3894" t="s">
        <v>660</v>
      </c>
      <c r="F3894">
        <v>-9.14</v>
      </c>
      <c r="G3894" t="s">
        <v>76</v>
      </c>
      <c r="H3894" t="s">
        <v>87</v>
      </c>
      <c r="I3894" t="s">
        <v>88</v>
      </c>
    </row>
    <row r="3895" spans="1:9" x14ac:dyDescent="0.25">
      <c r="A3895" t="s">
        <v>264</v>
      </c>
      <c r="B3895" t="s">
        <v>230</v>
      </c>
      <c r="C3895" t="s">
        <v>427</v>
      </c>
      <c r="D3895" s="1">
        <v>45282</v>
      </c>
      <c r="E3895" t="s">
        <v>422</v>
      </c>
      <c r="F3895">
        <v>247.51</v>
      </c>
      <c r="G3895" t="s">
        <v>70</v>
      </c>
      <c r="H3895" t="s">
        <v>264</v>
      </c>
      <c r="I3895" t="s">
        <v>72</v>
      </c>
    </row>
    <row r="3896" spans="1:9" x14ac:dyDescent="0.25">
      <c r="A3896" t="s">
        <v>264</v>
      </c>
      <c r="B3896" t="s">
        <v>230</v>
      </c>
      <c r="C3896" t="s">
        <v>427</v>
      </c>
      <c r="D3896" s="1">
        <v>45287</v>
      </c>
      <c r="E3896" t="s">
        <v>422</v>
      </c>
      <c r="F3896">
        <v>73.78</v>
      </c>
      <c r="G3896" t="s">
        <v>70</v>
      </c>
      <c r="H3896" t="s">
        <v>264</v>
      </c>
      <c r="I3896" t="s">
        <v>72</v>
      </c>
    </row>
    <row r="3897" spans="1:9" x14ac:dyDescent="0.25">
      <c r="A3897" t="s">
        <v>264</v>
      </c>
      <c r="B3897" t="s">
        <v>230</v>
      </c>
      <c r="C3897" t="s">
        <v>427</v>
      </c>
      <c r="D3897" s="1">
        <v>45287</v>
      </c>
      <c r="E3897" t="s">
        <v>445</v>
      </c>
      <c r="F3897">
        <v>-0.11</v>
      </c>
      <c r="G3897" t="s">
        <v>84</v>
      </c>
      <c r="H3897" t="s">
        <v>85</v>
      </c>
      <c r="I3897" t="s">
        <v>86</v>
      </c>
    </row>
    <row r="3898" spans="1:9" x14ac:dyDescent="0.25">
      <c r="A3898" t="s">
        <v>264</v>
      </c>
      <c r="B3898" t="s">
        <v>230</v>
      </c>
      <c r="C3898" t="s">
        <v>427</v>
      </c>
      <c r="D3898" s="1">
        <v>45287</v>
      </c>
      <c r="E3898" t="s">
        <v>446</v>
      </c>
      <c r="F3898">
        <v>-0.2</v>
      </c>
      <c r="G3898" t="s">
        <v>84</v>
      </c>
      <c r="H3898" t="s">
        <v>85</v>
      </c>
      <c r="I3898" t="s">
        <v>86</v>
      </c>
    </row>
    <row r="3899" spans="1:9" x14ac:dyDescent="0.25">
      <c r="A3899" t="s">
        <v>264</v>
      </c>
      <c r="B3899" t="s">
        <v>230</v>
      </c>
      <c r="C3899" t="s">
        <v>427</v>
      </c>
      <c r="D3899" s="1">
        <v>45287</v>
      </c>
      <c r="E3899" t="s">
        <v>661</v>
      </c>
      <c r="F3899">
        <v>-48.49</v>
      </c>
      <c r="G3899" t="s">
        <v>76</v>
      </c>
      <c r="H3899" t="s">
        <v>87</v>
      </c>
      <c r="I3899" t="s">
        <v>88</v>
      </c>
    </row>
    <row r="3900" spans="1:9" x14ac:dyDescent="0.25">
      <c r="A3900" t="s">
        <v>264</v>
      </c>
      <c r="B3900" t="s">
        <v>230</v>
      </c>
      <c r="C3900" t="s">
        <v>427</v>
      </c>
      <c r="D3900" s="1">
        <v>45287</v>
      </c>
      <c r="E3900" t="s">
        <v>445</v>
      </c>
      <c r="F3900">
        <v>-0.13</v>
      </c>
      <c r="G3900" t="s">
        <v>84</v>
      </c>
      <c r="H3900" t="s">
        <v>85</v>
      </c>
      <c r="I3900" t="s">
        <v>86</v>
      </c>
    </row>
    <row r="3901" spans="1:9" x14ac:dyDescent="0.25">
      <c r="A3901" t="s">
        <v>264</v>
      </c>
      <c r="B3901" t="s">
        <v>230</v>
      </c>
      <c r="C3901" t="s">
        <v>427</v>
      </c>
      <c r="D3901" s="1">
        <v>45287</v>
      </c>
      <c r="E3901" t="s">
        <v>446</v>
      </c>
      <c r="F3901">
        <v>-0.18</v>
      </c>
      <c r="G3901" t="s">
        <v>84</v>
      </c>
      <c r="H3901" t="s">
        <v>85</v>
      </c>
      <c r="I3901" t="s">
        <v>86</v>
      </c>
    </row>
    <row r="3902" spans="1:9" x14ac:dyDescent="0.25">
      <c r="A3902" t="s">
        <v>264</v>
      </c>
      <c r="B3902" t="s">
        <v>230</v>
      </c>
      <c r="C3902" t="s">
        <v>427</v>
      </c>
      <c r="D3902" s="1">
        <v>45287</v>
      </c>
      <c r="E3902" t="s">
        <v>662</v>
      </c>
      <c r="F3902">
        <v>-20.100000000000001</v>
      </c>
      <c r="G3902" t="s">
        <v>92</v>
      </c>
      <c r="H3902" t="s">
        <v>104</v>
      </c>
      <c r="I3902" t="s">
        <v>104</v>
      </c>
    </row>
    <row r="3903" spans="1:9" x14ac:dyDescent="0.25">
      <c r="A3903" t="s">
        <v>264</v>
      </c>
      <c r="B3903" t="s">
        <v>230</v>
      </c>
      <c r="C3903" t="s">
        <v>427</v>
      </c>
      <c r="D3903" s="1">
        <v>45287</v>
      </c>
      <c r="E3903" t="s">
        <v>422</v>
      </c>
      <c r="F3903">
        <v>8.5500000000000007</v>
      </c>
      <c r="G3903" t="s">
        <v>70</v>
      </c>
      <c r="H3903" t="s">
        <v>264</v>
      </c>
      <c r="I3903" t="s">
        <v>72</v>
      </c>
    </row>
    <row r="3904" spans="1:9" x14ac:dyDescent="0.25">
      <c r="A3904" t="s">
        <v>264</v>
      </c>
      <c r="B3904" t="s">
        <v>230</v>
      </c>
      <c r="C3904" t="s">
        <v>427</v>
      </c>
      <c r="D3904" s="1">
        <v>45288</v>
      </c>
      <c r="E3904" t="s">
        <v>422</v>
      </c>
      <c r="F3904">
        <v>0.49</v>
      </c>
      <c r="G3904" t="s">
        <v>70</v>
      </c>
      <c r="H3904" t="s">
        <v>264</v>
      </c>
      <c r="I3904" t="s">
        <v>72</v>
      </c>
    </row>
    <row r="3905" spans="1:9" x14ac:dyDescent="0.25">
      <c r="A3905" t="s">
        <v>264</v>
      </c>
      <c r="B3905" t="s">
        <v>230</v>
      </c>
      <c r="C3905" t="s">
        <v>427</v>
      </c>
      <c r="D3905" s="1">
        <v>45294</v>
      </c>
      <c r="E3905" t="s">
        <v>445</v>
      </c>
      <c r="F3905">
        <v>-1.86</v>
      </c>
      <c r="G3905" t="s">
        <v>84</v>
      </c>
      <c r="H3905" t="s">
        <v>85</v>
      </c>
      <c r="I3905" t="s">
        <v>86</v>
      </c>
    </row>
    <row r="3906" spans="1:9" x14ac:dyDescent="0.25">
      <c r="A3906" t="s">
        <v>264</v>
      </c>
      <c r="B3906" t="s">
        <v>230</v>
      </c>
      <c r="C3906" t="s">
        <v>427</v>
      </c>
      <c r="D3906" s="1">
        <v>45294</v>
      </c>
      <c r="E3906" t="s">
        <v>446</v>
      </c>
      <c r="F3906">
        <v>-2.2599999999999998</v>
      </c>
      <c r="G3906" t="s">
        <v>84</v>
      </c>
      <c r="H3906" t="s">
        <v>85</v>
      </c>
      <c r="I3906" t="s">
        <v>86</v>
      </c>
    </row>
    <row r="3907" spans="1:9" x14ac:dyDescent="0.25">
      <c r="A3907" t="s">
        <v>264</v>
      </c>
      <c r="B3907" t="s">
        <v>230</v>
      </c>
      <c r="C3907" t="s">
        <v>427</v>
      </c>
      <c r="D3907" s="1">
        <v>45294</v>
      </c>
      <c r="E3907" t="s">
        <v>663</v>
      </c>
      <c r="F3907">
        <v>-320.95999999999998</v>
      </c>
      <c r="G3907" t="s">
        <v>212</v>
      </c>
      <c r="H3907" t="s">
        <v>213</v>
      </c>
      <c r="I3907" t="s">
        <v>214</v>
      </c>
    </row>
    <row r="3908" spans="1:9" x14ac:dyDescent="0.25">
      <c r="A3908" t="s">
        <v>264</v>
      </c>
      <c r="B3908" t="s">
        <v>230</v>
      </c>
      <c r="C3908" t="s">
        <v>427</v>
      </c>
      <c r="D3908" s="1">
        <v>45294</v>
      </c>
      <c r="E3908" t="s">
        <v>445</v>
      </c>
      <c r="F3908">
        <v>-0.01</v>
      </c>
      <c r="G3908" t="s">
        <v>84</v>
      </c>
      <c r="H3908" t="s">
        <v>85</v>
      </c>
      <c r="I3908" t="s">
        <v>86</v>
      </c>
    </row>
    <row r="3909" spans="1:9" x14ac:dyDescent="0.25">
      <c r="A3909" t="s">
        <v>264</v>
      </c>
      <c r="B3909" t="s">
        <v>230</v>
      </c>
      <c r="C3909" t="s">
        <v>427</v>
      </c>
      <c r="D3909" s="1">
        <v>45294</v>
      </c>
      <c r="E3909" t="s">
        <v>446</v>
      </c>
      <c r="F3909">
        <v>-0.12</v>
      </c>
      <c r="G3909" t="s">
        <v>84</v>
      </c>
      <c r="H3909" t="s">
        <v>85</v>
      </c>
      <c r="I3909" t="s">
        <v>86</v>
      </c>
    </row>
    <row r="3910" spans="1:9" x14ac:dyDescent="0.25">
      <c r="A3910" t="s">
        <v>264</v>
      </c>
      <c r="B3910" t="s">
        <v>230</v>
      </c>
      <c r="C3910" t="s">
        <v>427</v>
      </c>
      <c r="D3910" s="1">
        <v>45294</v>
      </c>
      <c r="E3910" t="s">
        <v>664</v>
      </c>
      <c r="F3910">
        <v>-8.08</v>
      </c>
      <c r="G3910" t="s">
        <v>212</v>
      </c>
      <c r="H3910" t="s">
        <v>213</v>
      </c>
      <c r="I3910" t="s">
        <v>214</v>
      </c>
    </row>
    <row r="3911" spans="1:9" x14ac:dyDescent="0.25">
      <c r="A3911" t="s">
        <v>264</v>
      </c>
      <c r="B3911" t="s">
        <v>230</v>
      </c>
      <c r="C3911" t="s">
        <v>427</v>
      </c>
      <c r="D3911" s="1">
        <v>45294</v>
      </c>
      <c r="E3911" t="s">
        <v>422</v>
      </c>
      <c r="F3911">
        <v>2.5</v>
      </c>
      <c r="G3911" t="s">
        <v>70</v>
      </c>
      <c r="H3911" t="s">
        <v>264</v>
      </c>
      <c r="I3911" t="s">
        <v>72</v>
      </c>
    </row>
    <row r="3912" spans="1:9" x14ac:dyDescent="0.25">
      <c r="A3912" t="s">
        <v>264</v>
      </c>
      <c r="B3912" t="s">
        <v>230</v>
      </c>
      <c r="C3912" t="s">
        <v>427</v>
      </c>
      <c r="D3912" s="1">
        <v>45294</v>
      </c>
      <c r="E3912" t="s">
        <v>422</v>
      </c>
      <c r="F3912">
        <v>193.97</v>
      </c>
      <c r="G3912" t="s">
        <v>70</v>
      </c>
      <c r="H3912" t="s">
        <v>264</v>
      </c>
      <c r="I3912" t="s">
        <v>72</v>
      </c>
    </row>
    <row r="3913" spans="1:9" x14ac:dyDescent="0.25">
      <c r="A3913" t="s">
        <v>264</v>
      </c>
      <c r="B3913" t="s">
        <v>230</v>
      </c>
      <c r="C3913" t="s">
        <v>427</v>
      </c>
      <c r="D3913" s="1">
        <v>45294</v>
      </c>
      <c r="E3913" t="s">
        <v>445</v>
      </c>
      <c r="F3913">
        <v>-0.37</v>
      </c>
      <c r="G3913" t="s">
        <v>84</v>
      </c>
      <c r="H3913" t="s">
        <v>85</v>
      </c>
      <c r="I3913" t="s">
        <v>86</v>
      </c>
    </row>
    <row r="3914" spans="1:9" x14ac:dyDescent="0.25">
      <c r="A3914" t="s">
        <v>264</v>
      </c>
      <c r="B3914" t="s">
        <v>230</v>
      </c>
      <c r="C3914" t="s">
        <v>427</v>
      </c>
      <c r="D3914" s="1">
        <v>45294</v>
      </c>
      <c r="E3914" t="s">
        <v>446</v>
      </c>
      <c r="F3914">
        <v>-0.41</v>
      </c>
      <c r="G3914" t="s">
        <v>84</v>
      </c>
      <c r="H3914" t="s">
        <v>85</v>
      </c>
      <c r="I3914" t="s">
        <v>86</v>
      </c>
    </row>
    <row r="3915" spans="1:9" x14ac:dyDescent="0.25">
      <c r="A3915" t="s">
        <v>264</v>
      </c>
      <c r="B3915" t="s">
        <v>230</v>
      </c>
      <c r="C3915" t="s">
        <v>427</v>
      </c>
      <c r="D3915" s="1">
        <v>45294</v>
      </c>
      <c r="E3915" t="s">
        <v>665</v>
      </c>
      <c r="F3915">
        <v>-31.44</v>
      </c>
      <c r="G3915" t="s">
        <v>76</v>
      </c>
      <c r="H3915" t="s">
        <v>87</v>
      </c>
      <c r="I3915" t="s">
        <v>88</v>
      </c>
    </row>
    <row r="3916" spans="1:9" x14ac:dyDescent="0.25">
      <c r="A3916" t="s">
        <v>264</v>
      </c>
      <c r="B3916" t="s">
        <v>230</v>
      </c>
      <c r="C3916" t="s">
        <v>427</v>
      </c>
      <c r="D3916" s="1">
        <v>45294</v>
      </c>
      <c r="E3916" t="s">
        <v>422</v>
      </c>
      <c r="F3916">
        <v>9</v>
      </c>
      <c r="G3916" t="s">
        <v>70</v>
      </c>
      <c r="H3916" t="s">
        <v>264</v>
      </c>
      <c r="I3916" t="s">
        <v>72</v>
      </c>
    </row>
    <row r="3917" spans="1:9" x14ac:dyDescent="0.25">
      <c r="A3917" t="s">
        <v>264</v>
      </c>
      <c r="B3917" t="s">
        <v>230</v>
      </c>
      <c r="C3917" t="s">
        <v>427</v>
      </c>
      <c r="D3917" s="1">
        <v>45295</v>
      </c>
      <c r="E3917" t="s">
        <v>445</v>
      </c>
      <c r="F3917">
        <v>-0.53</v>
      </c>
      <c r="G3917" t="s">
        <v>84</v>
      </c>
      <c r="H3917" t="s">
        <v>85</v>
      </c>
      <c r="I3917" t="s">
        <v>86</v>
      </c>
    </row>
    <row r="3918" spans="1:9" x14ac:dyDescent="0.25">
      <c r="A3918" t="s">
        <v>264</v>
      </c>
      <c r="B3918" t="s">
        <v>230</v>
      </c>
      <c r="C3918" t="s">
        <v>427</v>
      </c>
      <c r="D3918" s="1">
        <v>45295</v>
      </c>
      <c r="E3918" t="s">
        <v>446</v>
      </c>
      <c r="F3918">
        <v>-1.46</v>
      </c>
      <c r="G3918" t="s">
        <v>84</v>
      </c>
      <c r="H3918" t="s">
        <v>85</v>
      </c>
      <c r="I3918" t="s">
        <v>86</v>
      </c>
    </row>
    <row r="3919" spans="1:9" x14ac:dyDescent="0.25">
      <c r="A3919" t="s">
        <v>264</v>
      </c>
      <c r="B3919" t="s">
        <v>230</v>
      </c>
      <c r="C3919" t="s">
        <v>427</v>
      </c>
      <c r="D3919" s="1">
        <v>45295</v>
      </c>
      <c r="E3919" t="s">
        <v>666</v>
      </c>
      <c r="F3919">
        <v>-132.63</v>
      </c>
      <c r="G3919" t="s">
        <v>89</v>
      </c>
      <c r="H3919" t="s">
        <v>90</v>
      </c>
      <c r="I3919" t="s">
        <v>474</v>
      </c>
    </row>
    <row r="3920" spans="1:9" x14ac:dyDescent="0.25">
      <c r="A3920" t="s">
        <v>264</v>
      </c>
      <c r="B3920" t="s">
        <v>230</v>
      </c>
      <c r="C3920" t="s">
        <v>427</v>
      </c>
      <c r="D3920" s="1">
        <v>45296</v>
      </c>
      <c r="E3920" t="s">
        <v>445</v>
      </c>
      <c r="F3920">
        <v>-0.01</v>
      </c>
      <c r="G3920" t="s">
        <v>84</v>
      </c>
      <c r="H3920" t="s">
        <v>85</v>
      </c>
      <c r="I3920" t="s">
        <v>86</v>
      </c>
    </row>
    <row r="3921" spans="1:9" x14ac:dyDescent="0.25">
      <c r="A3921" t="s">
        <v>264</v>
      </c>
      <c r="B3921" t="s">
        <v>230</v>
      </c>
      <c r="C3921" t="s">
        <v>427</v>
      </c>
      <c r="D3921" s="1">
        <v>45296</v>
      </c>
      <c r="E3921" t="s">
        <v>446</v>
      </c>
      <c r="F3921">
        <v>-0.24</v>
      </c>
      <c r="G3921" t="s">
        <v>84</v>
      </c>
      <c r="H3921" t="s">
        <v>85</v>
      </c>
      <c r="I3921" t="s">
        <v>86</v>
      </c>
    </row>
    <row r="3922" spans="1:9" x14ac:dyDescent="0.25">
      <c r="A3922" t="s">
        <v>264</v>
      </c>
      <c r="B3922" t="s">
        <v>230</v>
      </c>
      <c r="C3922" t="s">
        <v>427</v>
      </c>
      <c r="D3922" s="1">
        <v>45296</v>
      </c>
      <c r="E3922" t="s">
        <v>667</v>
      </c>
      <c r="F3922">
        <v>-31.15</v>
      </c>
      <c r="G3922" t="s">
        <v>76</v>
      </c>
      <c r="H3922" t="s">
        <v>87</v>
      </c>
      <c r="I3922" t="s">
        <v>88</v>
      </c>
    </row>
    <row r="3923" spans="1:9" x14ac:dyDescent="0.25">
      <c r="A3923" t="s">
        <v>264</v>
      </c>
      <c r="B3923" t="s">
        <v>230</v>
      </c>
      <c r="C3923" t="s">
        <v>427</v>
      </c>
      <c r="D3923" s="1">
        <v>45294</v>
      </c>
      <c r="E3923" t="s">
        <v>422</v>
      </c>
      <c r="F3923">
        <v>55.32</v>
      </c>
      <c r="G3923" t="s">
        <v>70</v>
      </c>
      <c r="H3923" t="s">
        <v>264</v>
      </c>
      <c r="I3923" t="s">
        <v>72</v>
      </c>
    </row>
    <row r="3924" spans="1:9" x14ac:dyDescent="0.25">
      <c r="A3924" t="s">
        <v>264</v>
      </c>
      <c r="B3924" t="s">
        <v>230</v>
      </c>
      <c r="C3924" t="s">
        <v>427</v>
      </c>
      <c r="D3924" s="1">
        <v>45299</v>
      </c>
      <c r="E3924" t="s">
        <v>445</v>
      </c>
      <c r="F3924">
        <v>-0.19</v>
      </c>
      <c r="G3924" t="s">
        <v>84</v>
      </c>
      <c r="H3924" t="s">
        <v>85</v>
      </c>
      <c r="I3924" t="s">
        <v>86</v>
      </c>
    </row>
    <row r="3925" spans="1:9" x14ac:dyDescent="0.25">
      <c r="A3925" t="s">
        <v>264</v>
      </c>
      <c r="B3925" t="s">
        <v>230</v>
      </c>
      <c r="C3925" t="s">
        <v>427</v>
      </c>
      <c r="D3925" s="1">
        <v>45299</v>
      </c>
      <c r="E3925" t="s">
        <v>446</v>
      </c>
      <c r="F3925">
        <v>-0.47</v>
      </c>
      <c r="G3925" t="s">
        <v>84</v>
      </c>
      <c r="H3925" t="s">
        <v>85</v>
      </c>
      <c r="I3925" t="s">
        <v>86</v>
      </c>
    </row>
    <row r="3926" spans="1:9" x14ac:dyDescent="0.25">
      <c r="A3926" t="s">
        <v>264</v>
      </c>
      <c r="B3926" t="s">
        <v>230</v>
      </c>
      <c r="C3926" t="s">
        <v>427</v>
      </c>
      <c r="D3926" s="1">
        <v>45299</v>
      </c>
      <c r="E3926" t="s">
        <v>668</v>
      </c>
      <c r="F3926">
        <v>-1.77</v>
      </c>
      <c r="G3926" t="s">
        <v>76</v>
      </c>
      <c r="H3926" t="s">
        <v>87</v>
      </c>
      <c r="I3926" t="s">
        <v>88</v>
      </c>
    </row>
    <row r="3927" spans="1:9" x14ac:dyDescent="0.25">
      <c r="A3927" t="s">
        <v>264</v>
      </c>
      <c r="B3927" t="s">
        <v>230</v>
      </c>
      <c r="C3927" t="s">
        <v>427</v>
      </c>
      <c r="D3927" s="1">
        <v>45295</v>
      </c>
      <c r="E3927" t="s">
        <v>422</v>
      </c>
      <c r="F3927">
        <v>2.3199999999999998</v>
      </c>
      <c r="G3927" t="s">
        <v>70</v>
      </c>
      <c r="H3927" t="s">
        <v>264</v>
      </c>
      <c r="I3927" t="s">
        <v>72</v>
      </c>
    </row>
    <row r="3928" spans="1:9" x14ac:dyDescent="0.25">
      <c r="A3928" t="s">
        <v>264</v>
      </c>
      <c r="B3928" t="s">
        <v>230</v>
      </c>
      <c r="C3928" t="s">
        <v>427</v>
      </c>
      <c r="D3928" s="1">
        <v>45299</v>
      </c>
      <c r="E3928" t="s">
        <v>445</v>
      </c>
      <c r="F3928">
        <v>-0.27</v>
      </c>
      <c r="G3928" t="s">
        <v>84</v>
      </c>
      <c r="H3928" t="s">
        <v>85</v>
      </c>
      <c r="I3928" t="s">
        <v>86</v>
      </c>
    </row>
    <row r="3929" spans="1:9" x14ac:dyDescent="0.25">
      <c r="A3929" t="s">
        <v>264</v>
      </c>
      <c r="B3929" t="s">
        <v>230</v>
      </c>
      <c r="C3929" t="s">
        <v>427</v>
      </c>
      <c r="D3929" s="1">
        <v>45299</v>
      </c>
      <c r="E3929" t="s">
        <v>446</v>
      </c>
      <c r="F3929">
        <v>-0.14000000000000001</v>
      </c>
      <c r="G3929" t="s">
        <v>84</v>
      </c>
      <c r="H3929" t="s">
        <v>85</v>
      </c>
      <c r="I3929" t="s">
        <v>86</v>
      </c>
    </row>
    <row r="3930" spans="1:9" x14ac:dyDescent="0.25">
      <c r="A3930" t="s">
        <v>264</v>
      </c>
      <c r="B3930" t="s">
        <v>230</v>
      </c>
      <c r="C3930" t="s">
        <v>427</v>
      </c>
      <c r="D3930" s="1">
        <v>45299</v>
      </c>
      <c r="E3930" t="s">
        <v>669</v>
      </c>
      <c r="F3930">
        <v>-7.09</v>
      </c>
      <c r="G3930" t="s">
        <v>76</v>
      </c>
      <c r="H3930" t="s">
        <v>87</v>
      </c>
      <c r="I3930" t="s">
        <v>88</v>
      </c>
    </row>
    <row r="3931" spans="1:9" x14ac:dyDescent="0.25">
      <c r="A3931" t="s">
        <v>264</v>
      </c>
      <c r="B3931" t="s">
        <v>230</v>
      </c>
      <c r="C3931" t="s">
        <v>427</v>
      </c>
      <c r="D3931" s="1">
        <v>45299</v>
      </c>
      <c r="E3931" t="s">
        <v>445</v>
      </c>
      <c r="F3931">
        <v>-0.17</v>
      </c>
      <c r="G3931" t="s">
        <v>84</v>
      </c>
      <c r="H3931" t="s">
        <v>85</v>
      </c>
      <c r="I3931" t="s">
        <v>86</v>
      </c>
    </row>
    <row r="3932" spans="1:9" x14ac:dyDescent="0.25">
      <c r="A3932" t="s">
        <v>264</v>
      </c>
      <c r="B3932" t="s">
        <v>230</v>
      </c>
      <c r="C3932" t="s">
        <v>427</v>
      </c>
      <c r="D3932" s="1">
        <v>45299</v>
      </c>
      <c r="E3932" t="s">
        <v>446</v>
      </c>
      <c r="F3932">
        <v>-0.2</v>
      </c>
      <c r="G3932" t="s">
        <v>84</v>
      </c>
      <c r="H3932" t="s">
        <v>85</v>
      </c>
      <c r="I3932" t="s">
        <v>86</v>
      </c>
    </row>
    <row r="3933" spans="1:9" x14ac:dyDescent="0.25">
      <c r="A3933" t="s">
        <v>264</v>
      </c>
      <c r="B3933" t="s">
        <v>230</v>
      </c>
      <c r="C3933" t="s">
        <v>427</v>
      </c>
      <c r="D3933" s="1">
        <v>45299</v>
      </c>
      <c r="E3933" t="s">
        <v>670</v>
      </c>
      <c r="F3933">
        <v>-3.64</v>
      </c>
      <c r="G3933" t="s">
        <v>76</v>
      </c>
      <c r="H3933" t="s">
        <v>87</v>
      </c>
      <c r="I3933" t="s">
        <v>88</v>
      </c>
    </row>
    <row r="3934" spans="1:9" x14ac:dyDescent="0.25">
      <c r="A3934" t="s">
        <v>264</v>
      </c>
      <c r="B3934" t="s">
        <v>230</v>
      </c>
      <c r="C3934" t="s">
        <v>427</v>
      </c>
      <c r="D3934" s="1">
        <v>45299</v>
      </c>
      <c r="E3934" t="s">
        <v>509</v>
      </c>
      <c r="F3934">
        <v>-19.02</v>
      </c>
      <c r="G3934" t="s">
        <v>92</v>
      </c>
      <c r="H3934" t="s">
        <v>510</v>
      </c>
      <c r="I3934" t="s">
        <v>510</v>
      </c>
    </row>
    <row r="3935" spans="1:9" x14ac:dyDescent="0.25">
      <c r="A3935" t="s">
        <v>264</v>
      </c>
      <c r="B3935" t="s">
        <v>230</v>
      </c>
      <c r="C3935" t="s">
        <v>427</v>
      </c>
      <c r="D3935" s="1">
        <v>45299</v>
      </c>
      <c r="E3935" t="s">
        <v>445</v>
      </c>
      <c r="F3935">
        <v>-0.06</v>
      </c>
      <c r="G3935" t="s">
        <v>84</v>
      </c>
      <c r="H3935" t="s">
        <v>85</v>
      </c>
      <c r="I3935" t="s">
        <v>86</v>
      </c>
    </row>
    <row r="3936" spans="1:9" x14ac:dyDescent="0.25">
      <c r="A3936" t="s">
        <v>264</v>
      </c>
      <c r="B3936" t="s">
        <v>230</v>
      </c>
      <c r="C3936" t="s">
        <v>427</v>
      </c>
      <c r="D3936" s="1">
        <v>45299</v>
      </c>
      <c r="E3936" t="s">
        <v>446</v>
      </c>
      <c r="F3936">
        <v>-0.21</v>
      </c>
      <c r="G3936" t="s">
        <v>84</v>
      </c>
      <c r="H3936" t="s">
        <v>85</v>
      </c>
      <c r="I3936" t="s">
        <v>86</v>
      </c>
    </row>
    <row r="3937" spans="1:9" x14ac:dyDescent="0.25">
      <c r="A3937" t="s">
        <v>264</v>
      </c>
      <c r="B3937" t="s">
        <v>230</v>
      </c>
      <c r="C3937" t="s">
        <v>427</v>
      </c>
      <c r="D3937" s="1">
        <v>45299</v>
      </c>
      <c r="E3937" t="s">
        <v>671</v>
      </c>
      <c r="F3937">
        <v>-2.4900000000000002</v>
      </c>
      <c r="G3937" t="s">
        <v>76</v>
      </c>
      <c r="H3937" t="s">
        <v>87</v>
      </c>
      <c r="I3937" t="s">
        <v>88</v>
      </c>
    </row>
    <row r="3938" spans="1:9" x14ac:dyDescent="0.25">
      <c r="A3938" t="s">
        <v>264</v>
      </c>
      <c r="B3938" t="s">
        <v>230</v>
      </c>
      <c r="C3938" t="s">
        <v>427</v>
      </c>
      <c r="D3938" s="1">
        <v>45299</v>
      </c>
      <c r="E3938" t="s">
        <v>445</v>
      </c>
      <c r="F3938">
        <v>-0.1</v>
      </c>
      <c r="G3938" t="s">
        <v>84</v>
      </c>
      <c r="H3938" t="s">
        <v>85</v>
      </c>
      <c r="I3938" t="s">
        <v>86</v>
      </c>
    </row>
    <row r="3939" spans="1:9" x14ac:dyDescent="0.25">
      <c r="A3939" t="s">
        <v>264</v>
      </c>
      <c r="B3939" t="s">
        <v>230</v>
      </c>
      <c r="C3939" t="s">
        <v>427</v>
      </c>
      <c r="D3939" s="1">
        <v>45299</v>
      </c>
      <c r="E3939" t="s">
        <v>446</v>
      </c>
      <c r="F3939">
        <v>-0.33</v>
      </c>
      <c r="G3939" t="s">
        <v>84</v>
      </c>
      <c r="H3939" t="s">
        <v>85</v>
      </c>
      <c r="I3939" t="s">
        <v>86</v>
      </c>
    </row>
    <row r="3940" spans="1:9" x14ac:dyDescent="0.25">
      <c r="A3940" t="s">
        <v>264</v>
      </c>
      <c r="B3940" t="s">
        <v>230</v>
      </c>
      <c r="C3940" t="s">
        <v>427</v>
      </c>
      <c r="D3940" s="1">
        <v>45299</v>
      </c>
      <c r="E3940" t="s">
        <v>672</v>
      </c>
      <c r="F3940">
        <v>-39.729999999999997</v>
      </c>
      <c r="G3940" t="s">
        <v>76</v>
      </c>
      <c r="H3940" t="s">
        <v>87</v>
      </c>
      <c r="I3940" t="s">
        <v>88</v>
      </c>
    </row>
    <row r="3941" spans="1:9" x14ac:dyDescent="0.25">
      <c r="A3941" t="s">
        <v>264</v>
      </c>
      <c r="B3941" t="s">
        <v>230</v>
      </c>
      <c r="C3941" t="s">
        <v>427</v>
      </c>
      <c r="D3941" s="1">
        <v>45296</v>
      </c>
      <c r="E3941" t="s">
        <v>422</v>
      </c>
      <c r="F3941">
        <v>0.26</v>
      </c>
      <c r="G3941" t="s">
        <v>70</v>
      </c>
      <c r="H3941" t="s">
        <v>264</v>
      </c>
      <c r="I3941" t="s">
        <v>72</v>
      </c>
    </row>
    <row r="3942" spans="1:9" x14ac:dyDescent="0.25">
      <c r="A3942" t="s">
        <v>264</v>
      </c>
      <c r="B3942" t="s">
        <v>230</v>
      </c>
      <c r="C3942" t="s">
        <v>427</v>
      </c>
      <c r="D3942" s="1">
        <v>45296</v>
      </c>
      <c r="E3942" t="s">
        <v>422</v>
      </c>
      <c r="F3942">
        <v>2.11</v>
      </c>
      <c r="G3942" t="s">
        <v>70</v>
      </c>
      <c r="H3942" t="s">
        <v>264</v>
      </c>
      <c r="I3942" t="s">
        <v>72</v>
      </c>
    </row>
    <row r="3943" spans="1:9" x14ac:dyDescent="0.25">
      <c r="A3943" t="s">
        <v>264</v>
      </c>
      <c r="B3943" t="s">
        <v>230</v>
      </c>
      <c r="C3943" t="s">
        <v>427</v>
      </c>
      <c r="D3943" s="1">
        <v>45296</v>
      </c>
      <c r="E3943" t="s">
        <v>422</v>
      </c>
      <c r="F3943">
        <v>52.73</v>
      </c>
      <c r="G3943" t="s">
        <v>70</v>
      </c>
      <c r="H3943" t="s">
        <v>264</v>
      </c>
      <c r="I3943" t="s">
        <v>72</v>
      </c>
    </row>
    <row r="3944" spans="1:9" x14ac:dyDescent="0.25">
      <c r="A3944" t="s">
        <v>264</v>
      </c>
      <c r="B3944" t="s">
        <v>230</v>
      </c>
      <c r="C3944" t="s">
        <v>427</v>
      </c>
      <c r="D3944" s="1">
        <v>45301</v>
      </c>
      <c r="E3944" t="s">
        <v>445</v>
      </c>
      <c r="F3944">
        <v>-7.0000000000000007E-2</v>
      </c>
      <c r="G3944" t="s">
        <v>84</v>
      </c>
      <c r="H3944" t="s">
        <v>85</v>
      </c>
      <c r="I3944" t="s">
        <v>86</v>
      </c>
    </row>
    <row r="3945" spans="1:9" x14ac:dyDescent="0.25">
      <c r="A3945" t="s">
        <v>264</v>
      </c>
      <c r="B3945" t="s">
        <v>230</v>
      </c>
      <c r="C3945" t="s">
        <v>427</v>
      </c>
      <c r="D3945" s="1">
        <v>45301</v>
      </c>
      <c r="E3945" t="s">
        <v>446</v>
      </c>
      <c r="F3945">
        <v>-0.71</v>
      </c>
      <c r="G3945" t="s">
        <v>84</v>
      </c>
      <c r="H3945" t="s">
        <v>85</v>
      </c>
      <c r="I3945" t="s">
        <v>86</v>
      </c>
    </row>
    <row r="3946" spans="1:9" x14ac:dyDescent="0.25">
      <c r="A3946" t="s">
        <v>264</v>
      </c>
      <c r="B3946" t="s">
        <v>230</v>
      </c>
      <c r="C3946" t="s">
        <v>427</v>
      </c>
      <c r="D3946" s="1">
        <v>45301</v>
      </c>
      <c r="E3946" t="s">
        <v>673</v>
      </c>
      <c r="F3946">
        <v>-106.47</v>
      </c>
      <c r="G3946" t="s">
        <v>212</v>
      </c>
      <c r="H3946" t="s">
        <v>213</v>
      </c>
      <c r="I3946" t="s">
        <v>214</v>
      </c>
    </row>
    <row r="3947" spans="1:9" x14ac:dyDescent="0.25">
      <c r="A3947" t="s">
        <v>264</v>
      </c>
      <c r="B3947" t="s">
        <v>230</v>
      </c>
      <c r="C3947" t="s">
        <v>427</v>
      </c>
      <c r="D3947" s="1">
        <v>45300</v>
      </c>
      <c r="E3947" t="s">
        <v>445</v>
      </c>
      <c r="F3947">
        <v>-0.28000000000000003</v>
      </c>
      <c r="G3947" t="s">
        <v>84</v>
      </c>
      <c r="H3947" t="s">
        <v>85</v>
      </c>
      <c r="I3947" t="s">
        <v>86</v>
      </c>
    </row>
    <row r="3948" spans="1:9" x14ac:dyDescent="0.25">
      <c r="A3948" t="s">
        <v>264</v>
      </c>
      <c r="B3948" t="s">
        <v>230</v>
      </c>
      <c r="C3948" t="s">
        <v>427</v>
      </c>
      <c r="D3948" s="1">
        <v>45300</v>
      </c>
      <c r="E3948" t="s">
        <v>446</v>
      </c>
      <c r="F3948">
        <v>-0.23</v>
      </c>
      <c r="G3948" t="s">
        <v>84</v>
      </c>
      <c r="H3948" t="s">
        <v>85</v>
      </c>
      <c r="I3948" t="s">
        <v>86</v>
      </c>
    </row>
    <row r="3949" spans="1:9" x14ac:dyDescent="0.25">
      <c r="A3949" t="s">
        <v>264</v>
      </c>
      <c r="B3949" t="s">
        <v>230</v>
      </c>
      <c r="C3949" t="s">
        <v>427</v>
      </c>
      <c r="D3949" s="1">
        <v>45300</v>
      </c>
      <c r="E3949" t="s">
        <v>674</v>
      </c>
      <c r="F3949">
        <v>-9.32</v>
      </c>
      <c r="G3949" t="s">
        <v>212</v>
      </c>
      <c r="H3949" t="s">
        <v>213</v>
      </c>
      <c r="I3949" t="s">
        <v>214</v>
      </c>
    </row>
    <row r="3950" spans="1:9" x14ac:dyDescent="0.25">
      <c r="A3950" t="s">
        <v>264</v>
      </c>
      <c r="B3950" t="s">
        <v>230</v>
      </c>
      <c r="C3950" t="s">
        <v>427</v>
      </c>
      <c r="D3950" s="1">
        <v>45299</v>
      </c>
      <c r="E3950" t="s">
        <v>422</v>
      </c>
      <c r="F3950">
        <v>24.14</v>
      </c>
      <c r="G3950" t="s">
        <v>70</v>
      </c>
      <c r="H3950" t="s">
        <v>264</v>
      </c>
      <c r="I3950" t="s">
        <v>72</v>
      </c>
    </row>
    <row r="3951" spans="1:9" x14ac:dyDescent="0.25">
      <c r="A3951" t="s">
        <v>264</v>
      </c>
      <c r="B3951" t="s">
        <v>230</v>
      </c>
      <c r="C3951" t="s">
        <v>427</v>
      </c>
      <c r="D3951" s="1">
        <v>45299</v>
      </c>
      <c r="E3951" t="s">
        <v>422</v>
      </c>
      <c r="F3951">
        <v>16.489999999999998</v>
      </c>
      <c r="G3951" t="s">
        <v>70</v>
      </c>
      <c r="H3951" t="s">
        <v>264</v>
      </c>
      <c r="I3951" t="s">
        <v>72</v>
      </c>
    </row>
    <row r="3952" spans="1:9" x14ac:dyDescent="0.25">
      <c r="A3952" t="s">
        <v>264</v>
      </c>
      <c r="B3952" t="s">
        <v>230</v>
      </c>
      <c r="C3952" t="s">
        <v>427</v>
      </c>
      <c r="D3952" s="1">
        <v>45299</v>
      </c>
      <c r="E3952" t="s">
        <v>445</v>
      </c>
      <c r="F3952">
        <v>-0.59</v>
      </c>
      <c r="G3952" t="s">
        <v>84</v>
      </c>
      <c r="H3952" t="s">
        <v>85</v>
      </c>
      <c r="I3952" t="s">
        <v>86</v>
      </c>
    </row>
    <row r="3953" spans="1:9" x14ac:dyDescent="0.25">
      <c r="A3953" t="s">
        <v>264</v>
      </c>
      <c r="B3953" t="s">
        <v>230</v>
      </c>
      <c r="C3953" t="s">
        <v>427</v>
      </c>
      <c r="D3953" s="1">
        <v>45299</v>
      </c>
      <c r="E3953" t="s">
        <v>446</v>
      </c>
      <c r="F3953">
        <v>-0.2</v>
      </c>
      <c r="G3953" t="s">
        <v>84</v>
      </c>
      <c r="H3953" t="s">
        <v>85</v>
      </c>
      <c r="I3953" t="s">
        <v>86</v>
      </c>
    </row>
    <row r="3954" spans="1:9" x14ac:dyDescent="0.25">
      <c r="A3954" t="s">
        <v>264</v>
      </c>
      <c r="B3954" t="s">
        <v>230</v>
      </c>
      <c r="C3954" t="s">
        <v>427</v>
      </c>
      <c r="D3954" s="1">
        <v>45299</v>
      </c>
      <c r="E3954" t="s">
        <v>675</v>
      </c>
      <c r="F3954">
        <v>-148.07</v>
      </c>
      <c r="G3954" t="s">
        <v>212</v>
      </c>
      <c r="H3954" t="s">
        <v>213</v>
      </c>
      <c r="I3954" t="s">
        <v>214</v>
      </c>
    </row>
    <row r="3955" spans="1:9" x14ac:dyDescent="0.25">
      <c r="A3955" t="s">
        <v>264</v>
      </c>
      <c r="B3955" t="s">
        <v>230</v>
      </c>
      <c r="C3955" t="s">
        <v>427</v>
      </c>
      <c r="D3955" s="1">
        <v>45299</v>
      </c>
      <c r="E3955" t="s">
        <v>445</v>
      </c>
      <c r="F3955">
        <v>-0.25</v>
      </c>
      <c r="G3955" t="s">
        <v>84</v>
      </c>
      <c r="H3955" t="s">
        <v>85</v>
      </c>
      <c r="I3955" t="s">
        <v>86</v>
      </c>
    </row>
    <row r="3956" spans="1:9" x14ac:dyDescent="0.25">
      <c r="A3956" t="s">
        <v>264</v>
      </c>
      <c r="B3956" t="s">
        <v>230</v>
      </c>
      <c r="C3956" t="s">
        <v>427</v>
      </c>
      <c r="D3956" s="1">
        <v>45299</v>
      </c>
      <c r="E3956" t="s">
        <v>446</v>
      </c>
      <c r="F3956">
        <v>-0.26</v>
      </c>
      <c r="G3956" t="s">
        <v>84</v>
      </c>
      <c r="H3956" t="s">
        <v>85</v>
      </c>
      <c r="I3956" t="s">
        <v>86</v>
      </c>
    </row>
    <row r="3957" spans="1:9" x14ac:dyDescent="0.25">
      <c r="A3957" t="s">
        <v>264</v>
      </c>
      <c r="B3957" t="s">
        <v>230</v>
      </c>
      <c r="C3957" t="s">
        <v>427</v>
      </c>
      <c r="D3957" s="1">
        <v>45299</v>
      </c>
      <c r="E3957" t="s">
        <v>676</v>
      </c>
      <c r="F3957">
        <v>-27.54</v>
      </c>
      <c r="G3957" t="s">
        <v>76</v>
      </c>
      <c r="H3957" t="s">
        <v>87</v>
      </c>
      <c r="I3957" t="s">
        <v>88</v>
      </c>
    </row>
    <row r="3958" spans="1:9" x14ac:dyDescent="0.25">
      <c r="A3958" t="s">
        <v>264</v>
      </c>
      <c r="B3958" t="s">
        <v>230</v>
      </c>
      <c r="C3958" t="s">
        <v>427</v>
      </c>
      <c r="D3958" s="1">
        <v>45299</v>
      </c>
      <c r="E3958" t="s">
        <v>486</v>
      </c>
      <c r="F3958">
        <v>-18.43</v>
      </c>
      <c r="G3958" t="s">
        <v>79</v>
      </c>
      <c r="H3958" t="s">
        <v>512</v>
      </c>
      <c r="I3958" t="s">
        <v>512</v>
      </c>
    </row>
    <row r="3959" spans="1:9" x14ac:dyDescent="0.25">
      <c r="A3959" t="s">
        <v>264</v>
      </c>
      <c r="B3959" t="s">
        <v>230</v>
      </c>
      <c r="C3959" t="s">
        <v>427</v>
      </c>
      <c r="D3959" s="1">
        <v>45299</v>
      </c>
      <c r="E3959" t="s">
        <v>608</v>
      </c>
      <c r="F3959">
        <v>-2.96</v>
      </c>
      <c r="G3959" t="s">
        <v>92</v>
      </c>
      <c r="H3959" t="s">
        <v>93</v>
      </c>
      <c r="I3959" t="s">
        <v>94</v>
      </c>
    </row>
    <row r="3960" spans="1:9" x14ac:dyDescent="0.25">
      <c r="A3960" t="s">
        <v>264</v>
      </c>
      <c r="B3960" t="s">
        <v>230</v>
      </c>
      <c r="C3960" t="s">
        <v>427</v>
      </c>
      <c r="D3960" s="1">
        <v>45299</v>
      </c>
      <c r="E3960" t="s">
        <v>445</v>
      </c>
      <c r="F3960">
        <v>-7.0000000000000007E-2</v>
      </c>
      <c r="G3960" t="s">
        <v>84</v>
      </c>
      <c r="H3960" t="s">
        <v>85</v>
      </c>
      <c r="I3960" t="s">
        <v>86</v>
      </c>
    </row>
    <row r="3961" spans="1:9" x14ac:dyDescent="0.25">
      <c r="A3961" t="s">
        <v>264</v>
      </c>
      <c r="B3961" t="s">
        <v>230</v>
      </c>
      <c r="C3961" t="s">
        <v>427</v>
      </c>
      <c r="D3961" s="1">
        <v>45299</v>
      </c>
      <c r="E3961" t="s">
        <v>446</v>
      </c>
      <c r="F3961">
        <v>-0.56999999999999995</v>
      </c>
      <c r="G3961" t="s">
        <v>84</v>
      </c>
      <c r="H3961" t="s">
        <v>85</v>
      </c>
      <c r="I3961" t="s">
        <v>86</v>
      </c>
    </row>
    <row r="3962" spans="1:9" x14ac:dyDescent="0.25">
      <c r="A3962" t="s">
        <v>264</v>
      </c>
      <c r="B3962" t="s">
        <v>230</v>
      </c>
      <c r="C3962" t="s">
        <v>427</v>
      </c>
      <c r="D3962" s="1">
        <v>45299</v>
      </c>
      <c r="E3962" t="s">
        <v>677</v>
      </c>
      <c r="F3962">
        <v>-66.239999999999995</v>
      </c>
      <c r="G3962" t="s">
        <v>76</v>
      </c>
      <c r="H3962" t="s">
        <v>87</v>
      </c>
      <c r="I3962" t="s">
        <v>88</v>
      </c>
    </row>
    <row r="3963" spans="1:9" x14ac:dyDescent="0.25">
      <c r="A3963" t="s">
        <v>264</v>
      </c>
      <c r="B3963" t="s">
        <v>230</v>
      </c>
      <c r="C3963" t="s">
        <v>427</v>
      </c>
      <c r="D3963" s="1">
        <v>45300</v>
      </c>
      <c r="E3963" t="s">
        <v>445</v>
      </c>
      <c r="F3963">
        <v>-0.12</v>
      </c>
      <c r="G3963" t="s">
        <v>84</v>
      </c>
      <c r="H3963" t="s">
        <v>85</v>
      </c>
      <c r="I3963" t="s">
        <v>86</v>
      </c>
    </row>
    <row r="3964" spans="1:9" x14ac:dyDescent="0.25">
      <c r="A3964" t="s">
        <v>264</v>
      </c>
      <c r="B3964" t="s">
        <v>230</v>
      </c>
      <c r="C3964" t="s">
        <v>427</v>
      </c>
      <c r="D3964" s="1">
        <v>45300</v>
      </c>
      <c r="E3964" t="s">
        <v>446</v>
      </c>
      <c r="F3964">
        <v>-0.13</v>
      </c>
      <c r="G3964" t="s">
        <v>84</v>
      </c>
      <c r="H3964" t="s">
        <v>85</v>
      </c>
      <c r="I3964" t="s">
        <v>86</v>
      </c>
    </row>
    <row r="3965" spans="1:9" x14ac:dyDescent="0.25">
      <c r="A3965" t="s">
        <v>264</v>
      </c>
      <c r="B3965" t="s">
        <v>230</v>
      </c>
      <c r="C3965" t="s">
        <v>427</v>
      </c>
      <c r="D3965" s="1">
        <v>45300</v>
      </c>
      <c r="E3965" t="s">
        <v>678</v>
      </c>
      <c r="F3965">
        <v>-20.86</v>
      </c>
      <c r="G3965" t="s">
        <v>76</v>
      </c>
      <c r="H3965" t="s">
        <v>87</v>
      </c>
      <c r="I3965" t="s">
        <v>88</v>
      </c>
    </row>
    <row r="3966" spans="1:9" x14ac:dyDescent="0.25">
      <c r="A3966" t="s">
        <v>264</v>
      </c>
      <c r="B3966" t="s">
        <v>230</v>
      </c>
      <c r="C3966" t="s">
        <v>427</v>
      </c>
      <c r="D3966" s="1">
        <v>45299</v>
      </c>
      <c r="E3966" t="s">
        <v>422</v>
      </c>
      <c r="F3966">
        <v>237.62</v>
      </c>
      <c r="G3966" t="s">
        <v>70</v>
      </c>
      <c r="H3966" t="s">
        <v>264</v>
      </c>
      <c r="I3966" t="s">
        <v>72</v>
      </c>
    </row>
    <row r="3967" spans="1:9" x14ac:dyDescent="0.25">
      <c r="A3967" t="s">
        <v>264</v>
      </c>
      <c r="B3967" t="s">
        <v>230</v>
      </c>
      <c r="C3967" t="s">
        <v>427</v>
      </c>
      <c r="D3967" s="1">
        <v>45299</v>
      </c>
      <c r="E3967" t="s">
        <v>422</v>
      </c>
      <c r="F3967">
        <v>170.33</v>
      </c>
      <c r="G3967" t="s">
        <v>70</v>
      </c>
      <c r="H3967" t="s">
        <v>264</v>
      </c>
      <c r="I3967" t="s">
        <v>72</v>
      </c>
    </row>
    <row r="3968" spans="1:9" x14ac:dyDescent="0.25">
      <c r="A3968" t="s">
        <v>264</v>
      </c>
      <c r="B3968" t="s">
        <v>230</v>
      </c>
      <c r="C3968" t="s">
        <v>427</v>
      </c>
      <c r="D3968" s="1">
        <v>45299</v>
      </c>
      <c r="E3968" t="s">
        <v>422</v>
      </c>
      <c r="F3968">
        <v>11.13</v>
      </c>
      <c r="G3968" t="s">
        <v>70</v>
      </c>
      <c r="H3968" t="s">
        <v>264</v>
      </c>
      <c r="I3968" t="s">
        <v>72</v>
      </c>
    </row>
    <row r="3969" spans="1:9" x14ac:dyDescent="0.25">
      <c r="A3969" t="s">
        <v>264</v>
      </c>
      <c r="B3969" t="s">
        <v>230</v>
      </c>
      <c r="C3969" t="s">
        <v>427</v>
      </c>
      <c r="D3969" s="1">
        <v>45299</v>
      </c>
      <c r="E3969" t="s">
        <v>445</v>
      </c>
      <c r="F3969">
        <v>-2.5</v>
      </c>
      <c r="G3969" t="s">
        <v>84</v>
      </c>
      <c r="H3969" t="s">
        <v>85</v>
      </c>
      <c r="I3969" t="s">
        <v>86</v>
      </c>
    </row>
    <row r="3970" spans="1:9" x14ac:dyDescent="0.25">
      <c r="A3970" t="s">
        <v>264</v>
      </c>
      <c r="B3970" t="s">
        <v>230</v>
      </c>
      <c r="C3970" t="s">
        <v>427</v>
      </c>
      <c r="D3970" s="1">
        <v>45299</v>
      </c>
      <c r="E3970" t="s">
        <v>446</v>
      </c>
      <c r="F3970">
        <v>-2.34</v>
      </c>
      <c r="G3970" t="s">
        <v>84</v>
      </c>
      <c r="H3970" t="s">
        <v>85</v>
      </c>
      <c r="I3970" t="s">
        <v>86</v>
      </c>
    </row>
    <row r="3971" spans="1:9" x14ac:dyDescent="0.25">
      <c r="A3971" t="s">
        <v>264</v>
      </c>
      <c r="B3971" t="s">
        <v>230</v>
      </c>
      <c r="C3971" t="s">
        <v>427</v>
      </c>
      <c r="D3971" s="1">
        <v>45299</v>
      </c>
      <c r="E3971" t="s">
        <v>679</v>
      </c>
      <c r="F3971">
        <v>-121.92</v>
      </c>
      <c r="G3971" t="s">
        <v>212</v>
      </c>
      <c r="H3971" t="s">
        <v>213</v>
      </c>
      <c r="I3971" t="s">
        <v>214</v>
      </c>
    </row>
    <row r="3972" spans="1:9" x14ac:dyDescent="0.25">
      <c r="A3972" t="s">
        <v>264</v>
      </c>
      <c r="B3972" t="s">
        <v>230</v>
      </c>
      <c r="C3972" t="s">
        <v>427</v>
      </c>
      <c r="D3972" s="1">
        <v>45299</v>
      </c>
      <c r="E3972" t="s">
        <v>618</v>
      </c>
      <c r="F3972">
        <v>-40.4</v>
      </c>
      <c r="G3972" t="s">
        <v>89</v>
      </c>
      <c r="H3972" t="s">
        <v>90</v>
      </c>
      <c r="I3972" t="s">
        <v>474</v>
      </c>
    </row>
    <row r="3973" spans="1:9" x14ac:dyDescent="0.25">
      <c r="A3973" t="s">
        <v>264</v>
      </c>
      <c r="B3973" t="s">
        <v>230</v>
      </c>
      <c r="C3973" t="s">
        <v>427</v>
      </c>
      <c r="D3973" s="1">
        <v>45300</v>
      </c>
      <c r="E3973" t="s">
        <v>428</v>
      </c>
      <c r="F3973">
        <v>-30.49</v>
      </c>
      <c r="G3973" t="s">
        <v>68</v>
      </c>
      <c r="H3973" t="s">
        <v>69</v>
      </c>
      <c r="I3973" t="s">
        <v>69</v>
      </c>
    </row>
    <row r="3974" spans="1:9" x14ac:dyDescent="0.25">
      <c r="A3974" t="s">
        <v>264</v>
      </c>
      <c r="B3974" t="s">
        <v>230</v>
      </c>
      <c r="C3974" t="s">
        <v>427</v>
      </c>
      <c r="D3974" s="1">
        <v>45300</v>
      </c>
      <c r="E3974" t="s">
        <v>608</v>
      </c>
      <c r="F3974">
        <v>-16.73</v>
      </c>
      <c r="G3974" t="s">
        <v>92</v>
      </c>
      <c r="H3974" t="s">
        <v>93</v>
      </c>
      <c r="I3974" t="s">
        <v>94</v>
      </c>
    </row>
    <row r="3975" spans="1:9" x14ac:dyDescent="0.25">
      <c r="A3975" t="s">
        <v>264</v>
      </c>
      <c r="B3975" t="s">
        <v>230</v>
      </c>
      <c r="C3975" t="s">
        <v>427</v>
      </c>
      <c r="D3975" s="1">
        <v>45300</v>
      </c>
      <c r="E3975" t="s">
        <v>608</v>
      </c>
      <c r="F3975">
        <v>-11.97</v>
      </c>
      <c r="G3975" t="s">
        <v>92</v>
      </c>
      <c r="H3975" t="s">
        <v>93</v>
      </c>
      <c r="I3975" t="s">
        <v>94</v>
      </c>
    </row>
    <row r="3976" spans="1:9" x14ac:dyDescent="0.25">
      <c r="A3976" t="s">
        <v>264</v>
      </c>
      <c r="B3976" t="s">
        <v>230</v>
      </c>
      <c r="C3976" t="s">
        <v>427</v>
      </c>
      <c r="D3976" s="1">
        <v>45300</v>
      </c>
      <c r="E3976" t="s">
        <v>438</v>
      </c>
      <c r="F3976">
        <v>-14.56</v>
      </c>
      <c r="G3976" t="s">
        <v>68</v>
      </c>
      <c r="H3976" t="s">
        <v>69</v>
      </c>
      <c r="I3976" t="s">
        <v>69</v>
      </c>
    </row>
    <row r="3977" spans="1:9" x14ac:dyDescent="0.25">
      <c r="A3977" t="s">
        <v>264</v>
      </c>
      <c r="B3977" t="s">
        <v>230</v>
      </c>
      <c r="C3977" t="s">
        <v>427</v>
      </c>
      <c r="D3977" s="1">
        <v>45299</v>
      </c>
      <c r="E3977" t="s">
        <v>422</v>
      </c>
      <c r="F3977">
        <v>7.59</v>
      </c>
      <c r="G3977" t="s">
        <v>70</v>
      </c>
      <c r="H3977" t="s">
        <v>264</v>
      </c>
      <c r="I3977" t="s">
        <v>72</v>
      </c>
    </row>
    <row r="3978" spans="1:9" x14ac:dyDescent="0.25">
      <c r="A3978" t="s">
        <v>264</v>
      </c>
      <c r="B3978" t="s">
        <v>230</v>
      </c>
      <c r="C3978" t="s">
        <v>427</v>
      </c>
      <c r="D3978" s="1">
        <v>45299</v>
      </c>
      <c r="E3978" t="s">
        <v>422</v>
      </c>
      <c r="F3978">
        <v>67.66</v>
      </c>
      <c r="G3978" t="s">
        <v>70</v>
      </c>
      <c r="H3978" t="s">
        <v>264</v>
      </c>
      <c r="I3978" t="s">
        <v>72</v>
      </c>
    </row>
    <row r="3979" spans="1:9" x14ac:dyDescent="0.25">
      <c r="A3979" t="s">
        <v>264</v>
      </c>
      <c r="B3979" t="s">
        <v>230</v>
      </c>
      <c r="C3979" t="s">
        <v>427</v>
      </c>
      <c r="D3979" s="1">
        <v>45299</v>
      </c>
      <c r="E3979" t="s">
        <v>422</v>
      </c>
      <c r="F3979">
        <v>19.63</v>
      </c>
      <c r="G3979" t="s">
        <v>70</v>
      </c>
      <c r="H3979" t="s">
        <v>264</v>
      </c>
      <c r="I3979" t="s">
        <v>72</v>
      </c>
    </row>
    <row r="3980" spans="1:9" x14ac:dyDescent="0.25">
      <c r="A3980" t="s">
        <v>264</v>
      </c>
      <c r="B3980" t="s">
        <v>230</v>
      </c>
      <c r="C3980" t="s">
        <v>427</v>
      </c>
      <c r="D3980" s="1">
        <v>45300</v>
      </c>
      <c r="E3980" t="s">
        <v>422</v>
      </c>
      <c r="F3980">
        <v>349.94</v>
      </c>
      <c r="G3980" t="s">
        <v>70</v>
      </c>
      <c r="H3980" t="s">
        <v>264</v>
      </c>
      <c r="I3980" t="s">
        <v>72</v>
      </c>
    </row>
    <row r="3981" spans="1:9" x14ac:dyDescent="0.25">
      <c r="A3981" t="s">
        <v>264</v>
      </c>
      <c r="B3981" t="s">
        <v>230</v>
      </c>
      <c r="C3981" t="s">
        <v>427</v>
      </c>
      <c r="D3981" s="1">
        <v>45300</v>
      </c>
      <c r="E3981" t="s">
        <v>566</v>
      </c>
      <c r="F3981">
        <v>-2.4900000000000002</v>
      </c>
      <c r="G3981" t="s">
        <v>79</v>
      </c>
      <c r="H3981" t="s">
        <v>80</v>
      </c>
      <c r="I3981" t="s">
        <v>80</v>
      </c>
    </row>
    <row r="3982" spans="1:9" x14ac:dyDescent="0.25">
      <c r="A3982" t="s">
        <v>264</v>
      </c>
      <c r="B3982" t="s">
        <v>230</v>
      </c>
      <c r="C3982" t="s">
        <v>427</v>
      </c>
      <c r="D3982" s="1">
        <v>45306</v>
      </c>
      <c r="E3982" t="s">
        <v>680</v>
      </c>
      <c r="F3982">
        <v>-7933.58</v>
      </c>
      <c r="G3982" t="s">
        <v>76</v>
      </c>
      <c r="H3982" t="s">
        <v>82</v>
      </c>
      <c r="I3982" t="s">
        <v>83</v>
      </c>
    </row>
    <row r="3983" spans="1:9" x14ac:dyDescent="0.25">
      <c r="A3983" t="s">
        <v>264</v>
      </c>
      <c r="B3983" t="s">
        <v>230</v>
      </c>
      <c r="C3983" t="s">
        <v>427</v>
      </c>
      <c r="D3983" s="1">
        <v>45302</v>
      </c>
      <c r="E3983" t="s">
        <v>517</v>
      </c>
      <c r="F3983">
        <v>126.14</v>
      </c>
      <c r="G3983" t="s">
        <v>76</v>
      </c>
      <c r="H3983" t="s">
        <v>82</v>
      </c>
      <c r="I3983" t="s">
        <v>83</v>
      </c>
    </row>
    <row r="3984" spans="1:9" x14ac:dyDescent="0.25">
      <c r="A3984" t="s">
        <v>264</v>
      </c>
      <c r="B3984" t="s">
        <v>230</v>
      </c>
      <c r="C3984" t="s">
        <v>427</v>
      </c>
      <c r="D3984" s="1">
        <v>45302</v>
      </c>
      <c r="E3984" t="s">
        <v>575</v>
      </c>
      <c r="F3984">
        <v>-29.49</v>
      </c>
      <c r="G3984" t="s">
        <v>350</v>
      </c>
      <c r="H3984" t="s">
        <v>576</v>
      </c>
      <c r="I3984" t="s">
        <v>576</v>
      </c>
    </row>
    <row r="3985" spans="1:9" x14ac:dyDescent="0.25">
      <c r="A3985" t="s">
        <v>264</v>
      </c>
      <c r="B3985" t="s">
        <v>230</v>
      </c>
      <c r="C3985" t="s">
        <v>427</v>
      </c>
      <c r="D3985" s="1">
        <v>45301</v>
      </c>
      <c r="E3985" t="s">
        <v>422</v>
      </c>
      <c r="F3985">
        <v>1.23</v>
      </c>
      <c r="G3985" t="s">
        <v>70</v>
      </c>
      <c r="H3985" t="s">
        <v>264</v>
      </c>
      <c r="I3985" t="s">
        <v>72</v>
      </c>
    </row>
    <row r="3986" spans="1:9" x14ac:dyDescent="0.25">
      <c r="A3986" t="s">
        <v>264</v>
      </c>
      <c r="B3986" t="s">
        <v>230</v>
      </c>
      <c r="C3986" t="s">
        <v>427</v>
      </c>
      <c r="D3986" s="1">
        <v>45301</v>
      </c>
      <c r="E3986" t="s">
        <v>422</v>
      </c>
      <c r="F3986">
        <v>1.29</v>
      </c>
      <c r="G3986" t="s">
        <v>70</v>
      </c>
      <c r="H3986" t="s">
        <v>264</v>
      </c>
      <c r="I3986" t="s">
        <v>72</v>
      </c>
    </row>
    <row r="3987" spans="1:9" x14ac:dyDescent="0.25">
      <c r="A3987" t="s">
        <v>264</v>
      </c>
      <c r="B3987" t="s">
        <v>230</v>
      </c>
      <c r="C3987" t="s">
        <v>427</v>
      </c>
      <c r="D3987" s="1">
        <v>45301</v>
      </c>
      <c r="E3987" t="s">
        <v>422</v>
      </c>
      <c r="F3987">
        <v>6688.18</v>
      </c>
      <c r="G3987" t="s">
        <v>70</v>
      </c>
      <c r="H3987" t="s">
        <v>264</v>
      </c>
      <c r="I3987" t="s">
        <v>72</v>
      </c>
    </row>
    <row r="3988" spans="1:9" x14ac:dyDescent="0.25">
      <c r="A3988" t="s">
        <v>264</v>
      </c>
      <c r="B3988" t="s">
        <v>230</v>
      </c>
      <c r="C3988" t="s">
        <v>427</v>
      </c>
      <c r="D3988" s="1">
        <v>45303</v>
      </c>
      <c r="E3988" t="s">
        <v>534</v>
      </c>
      <c r="F3988">
        <v>-55.18</v>
      </c>
      <c r="G3988" t="s">
        <v>79</v>
      </c>
      <c r="H3988" t="s">
        <v>81</v>
      </c>
      <c r="I3988" t="s">
        <v>81</v>
      </c>
    </row>
    <row r="3989" spans="1:9" x14ac:dyDescent="0.25">
      <c r="A3989" t="s">
        <v>264</v>
      </c>
      <c r="B3989" t="s">
        <v>230</v>
      </c>
      <c r="C3989" t="s">
        <v>427</v>
      </c>
      <c r="D3989" s="1">
        <v>45302</v>
      </c>
      <c r="E3989" t="s">
        <v>422</v>
      </c>
      <c r="F3989">
        <v>157.33000000000001</v>
      </c>
      <c r="G3989" t="s">
        <v>70</v>
      </c>
      <c r="H3989" t="s">
        <v>264</v>
      </c>
      <c r="I3989" t="s">
        <v>72</v>
      </c>
    </row>
    <row r="3990" spans="1:9" x14ac:dyDescent="0.25">
      <c r="A3990" t="s">
        <v>264</v>
      </c>
      <c r="B3990" t="s">
        <v>230</v>
      </c>
      <c r="C3990" t="s">
        <v>427</v>
      </c>
      <c r="D3990" s="1">
        <v>45302</v>
      </c>
      <c r="E3990" t="s">
        <v>422</v>
      </c>
      <c r="F3990">
        <v>35.96</v>
      </c>
      <c r="G3990" t="s">
        <v>70</v>
      </c>
      <c r="H3990" t="s">
        <v>264</v>
      </c>
      <c r="I3990" t="s">
        <v>72</v>
      </c>
    </row>
    <row r="3991" spans="1:9" x14ac:dyDescent="0.25">
      <c r="A3991" t="s">
        <v>264</v>
      </c>
      <c r="B3991" t="s">
        <v>230</v>
      </c>
      <c r="C3991" t="s">
        <v>427</v>
      </c>
      <c r="D3991" s="1">
        <v>45302</v>
      </c>
      <c r="E3991" t="s">
        <v>439</v>
      </c>
      <c r="F3991">
        <v>-42.45</v>
      </c>
      <c r="G3991" t="s">
        <v>79</v>
      </c>
      <c r="H3991" t="s">
        <v>96</v>
      </c>
      <c r="I3991" t="s">
        <v>96</v>
      </c>
    </row>
    <row r="3992" spans="1:9" x14ac:dyDescent="0.25">
      <c r="A3992" t="s">
        <v>264</v>
      </c>
      <c r="B3992" t="s">
        <v>230</v>
      </c>
      <c r="C3992" t="s">
        <v>427</v>
      </c>
      <c r="D3992" s="1">
        <v>45302</v>
      </c>
      <c r="E3992" t="s">
        <v>681</v>
      </c>
      <c r="F3992">
        <v>-35.119999999999997</v>
      </c>
      <c r="G3992" t="s">
        <v>79</v>
      </c>
      <c r="H3992" t="s">
        <v>96</v>
      </c>
      <c r="I3992" t="s">
        <v>96</v>
      </c>
    </row>
    <row r="3993" spans="1:9" x14ac:dyDescent="0.25">
      <c r="A3993" t="s">
        <v>264</v>
      </c>
      <c r="B3993" t="s">
        <v>230</v>
      </c>
      <c r="C3993" t="s">
        <v>427</v>
      </c>
      <c r="D3993" s="1">
        <v>45302</v>
      </c>
      <c r="E3993" t="s">
        <v>682</v>
      </c>
      <c r="F3993">
        <v>-3.55</v>
      </c>
      <c r="G3993" t="s">
        <v>212</v>
      </c>
      <c r="H3993" t="s">
        <v>213</v>
      </c>
      <c r="I3993" t="s">
        <v>214</v>
      </c>
    </row>
    <row r="3994" spans="1:9" x14ac:dyDescent="0.25">
      <c r="A3994" t="s">
        <v>264</v>
      </c>
      <c r="B3994" t="s">
        <v>230</v>
      </c>
      <c r="C3994" t="s">
        <v>427</v>
      </c>
      <c r="D3994" s="1">
        <v>45302</v>
      </c>
      <c r="E3994" t="s">
        <v>659</v>
      </c>
      <c r="F3994">
        <v>-6.28</v>
      </c>
      <c r="G3994" t="s">
        <v>68</v>
      </c>
      <c r="H3994" t="s">
        <v>69</v>
      </c>
      <c r="I3994" t="s">
        <v>69</v>
      </c>
    </row>
    <row r="3995" spans="1:9" x14ac:dyDescent="0.25">
      <c r="A3995" t="s">
        <v>264</v>
      </c>
      <c r="B3995" t="s">
        <v>230</v>
      </c>
      <c r="C3995" t="s">
        <v>427</v>
      </c>
      <c r="D3995" s="1">
        <v>45306</v>
      </c>
      <c r="E3995" t="s">
        <v>428</v>
      </c>
      <c r="F3995">
        <v>-17.75</v>
      </c>
      <c r="G3995" t="s">
        <v>68</v>
      </c>
      <c r="H3995" t="s">
        <v>69</v>
      </c>
      <c r="I3995" t="s">
        <v>69</v>
      </c>
    </row>
    <row r="3996" spans="1:9" x14ac:dyDescent="0.25">
      <c r="A3996" t="s">
        <v>264</v>
      </c>
      <c r="B3996" t="s">
        <v>230</v>
      </c>
      <c r="C3996" t="s">
        <v>427</v>
      </c>
      <c r="D3996" s="1">
        <v>45306</v>
      </c>
      <c r="E3996" t="s">
        <v>438</v>
      </c>
      <c r="F3996">
        <v>-37.08</v>
      </c>
      <c r="G3996" t="s">
        <v>68</v>
      </c>
      <c r="H3996" t="s">
        <v>69</v>
      </c>
      <c r="I3996" t="s">
        <v>69</v>
      </c>
    </row>
    <row r="3997" spans="1:9" x14ac:dyDescent="0.25">
      <c r="A3997" t="s">
        <v>264</v>
      </c>
      <c r="B3997" t="s">
        <v>230</v>
      </c>
      <c r="C3997" t="s">
        <v>427</v>
      </c>
      <c r="D3997" s="1">
        <v>45306</v>
      </c>
      <c r="E3997" t="s">
        <v>683</v>
      </c>
      <c r="F3997">
        <v>-5.63</v>
      </c>
      <c r="G3997" t="s">
        <v>79</v>
      </c>
      <c r="H3997" t="s">
        <v>96</v>
      </c>
      <c r="I3997" t="s">
        <v>96</v>
      </c>
    </row>
    <row r="3998" spans="1:9" x14ac:dyDescent="0.25">
      <c r="A3998" t="s">
        <v>264</v>
      </c>
      <c r="B3998" t="s">
        <v>230</v>
      </c>
      <c r="C3998" t="s">
        <v>427</v>
      </c>
      <c r="D3998" s="1">
        <v>45306</v>
      </c>
      <c r="E3998" t="s">
        <v>684</v>
      </c>
      <c r="F3998">
        <v>-4.6900000000000004</v>
      </c>
      <c r="G3998" t="s">
        <v>68</v>
      </c>
      <c r="H3998" t="s">
        <v>69</v>
      </c>
      <c r="I3998" t="s">
        <v>69</v>
      </c>
    </row>
    <row r="3999" spans="1:9" x14ac:dyDescent="0.25">
      <c r="A3999" t="s">
        <v>264</v>
      </c>
      <c r="B3999" t="s">
        <v>230</v>
      </c>
      <c r="C3999" t="s">
        <v>427</v>
      </c>
      <c r="D3999" s="1">
        <v>45306</v>
      </c>
      <c r="E3999" t="s">
        <v>604</v>
      </c>
      <c r="F3999">
        <v>-2.37</v>
      </c>
      <c r="G3999" t="s">
        <v>79</v>
      </c>
      <c r="H3999" t="s">
        <v>96</v>
      </c>
      <c r="I3999" t="s">
        <v>96</v>
      </c>
    </row>
    <row r="4000" spans="1:9" x14ac:dyDescent="0.25">
      <c r="A4000" t="s">
        <v>264</v>
      </c>
      <c r="B4000" t="s">
        <v>230</v>
      </c>
      <c r="C4000" t="s">
        <v>427</v>
      </c>
      <c r="D4000" s="1">
        <v>45306</v>
      </c>
      <c r="E4000" t="s">
        <v>438</v>
      </c>
      <c r="F4000">
        <v>-12.33</v>
      </c>
      <c r="G4000" t="s">
        <v>68</v>
      </c>
      <c r="H4000" t="s">
        <v>69</v>
      </c>
      <c r="I4000" t="s">
        <v>69</v>
      </c>
    </row>
    <row r="4001" spans="1:9" x14ac:dyDescent="0.25">
      <c r="A4001" t="s">
        <v>264</v>
      </c>
      <c r="B4001" t="s">
        <v>230</v>
      </c>
      <c r="C4001" t="s">
        <v>427</v>
      </c>
      <c r="D4001" s="1">
        <v>45306</v>
      </c>
      <c r="E4001" t="s">
        <v>430</v>
      </c>
      <c r="F4001">
        <v>-5.88</v>
      </c>
      <c r="G4001" t="s">
        <v>89</v>
      </c>
      <c r="H4001" t="s">
        <v>90</v>
      </c>
      <c r="I4001" t="s">
        <v>128</v>
      </c>
    </row>
    <row r="4002" spans="1:9" x14ac:dyDescent="0.25">
      <c r="A4002" t="s">
        <v>264</v>
      </c>
      <c r="B4002" t="s">
        <v>230</v>
      </c>
      <c r="C4002" t="s">
        <v>427</v>
      </c>
      <c r="D4002" s="1">
        <v>45308</v>
      </c>
      <c r="E4002" t="s">
        <v>480</v>
      </c>
      <c r="F4002">
        <v>-76.73</v>
      </c>
      <c r="G4002" t="s">
        <v>76</v>
      </c>
      <c r="H4002" t="s">
        <v>82</v>
      </c>
      <c r="I4002" t="s">
        <v>83</v>
      </c>
    </row>
    <row r="4003" spans="1:9" x14ac:dyDescent="0.25">
      <c r="A4003" t="s">
        <v>264</v>
      </c>
      <c r="B4003" t="s">
        <v>230</v>
      </c>
      <c r="C4003" t="s">
        <v>427</v>
      </c>
      <c r="D4003" s="1">
        <v>45307</v>
      </c>
      <c r="E4003" t="s">
        <v>428</v>
      </c>
      <c r="F4003">
        <v>-182.96</v>
      </c>
      <c r="G4003" t="s">
        <v>68</v>
      </c>
      <c r="H4003" t="s">
        <v>69</v>
      </c>
      <c r="I4003" t="s">
        <v>69</v>
      </c>
    </row>
    <row r="4004" spans="1:9" x14ac:dyDescent="0.25">
      <c r="A4004" t="s">
        <v>264</v>
      </c>
      <c r="B4004" t="s">
        <v>230</v>
      </c>
      <c r="C4004" t="s">
        <v>427</v>
      </c>
      <c r="D4004" s="1">
        <v>45307</v>
      </c>
      <c r="E4004" t="s">
        <v>604</v>
      </c>
      <c r="F4004">
        <v>-13.21</v>
      </c>
      <c r="G4004" t="s">
        <v>79</v>
      </c>
      <c r="H4004" t="s">
        <v>96</v>
      </c>
      <c r="I4004" t="s">
        <v>96</v>
      </c>
    </row>
    <row r="4005" spans="1:9" x14ac:dyDescent="0.25">
      <c r="A4005" t="s">
        <v>264</v>
      </c>
      <c r="B4005" t="s">
        <v>230</v>
      </c>
      <c r="C4005" t="s">
        <v>427</v>
      </c>
      <c r="D4005" s="1">
        <v>45306</v>
      </c>
      <c r="E4005" t="s">
        <v>543</v>
      </c>
      <c r="F4005">
        <v>-4.96</v>
      </c>
      <c r="G4005" t="s">
        <v>79</v>
      </c>
      <c r="H4005" t="s">
        <v>96</v>
      </c>
      <c r="I4005" t="s">
        <v>96</v>
      </c>
    </row>
    <row r="4006" spans="1:9" x14ac:dyDescent="0.25">
      <c r="A4006" t="s">
        <v>264</v>
      </c>
      <c r="B4006" t="s">
        <v>230</v>
      </c>
      <c r="C4006" t="s">
        <v>427</v>
      </c>
      <c r="D4006" s="1">
        <v>45307</v>
      </c>
      <c r="E4006" t="s">
        <v>422</v>
      </c>
      <c r="F4006">
        <v>25.48</v>
      </c>
      <c r="G4006" t="s">
        <v>70</v>
      </c>
      <c r="H4006" t="s">
        <v>264</v>
      </c>
      <c r="I4006" t="s">
        <v>72</v>
      </c>
    </row>
    <row r="4007" spans="1:9" x14ac:dyDescent="0.25">
      <c r="A4007" t="s">
        <v>264</v>
      </c>
      <c r="B4007" t="s">
        <v>230</v>
      </c>
      <c r="C4007" t="s">
        <v>427</v>
      </c>
      <c r="D4007" s="1">
        <v>45309</v>
      </c>
      <c r="E4007" t="s">
        <v>422</v>
      </c>
      <c r="F4007">
        <v>281.97000000000003</v>
      </c>
      <c r="G4007" t="s">
        <v>70</v>
      </c>
      <c r="H4007" t="s">
        <v>264</v>
      </c>
      <c r="I4007" t="s">
        <v>72</v>
      </c>
    </row>
    <row r="4008" spans="1:9" x14ac:dyDescent="0.25">
      <c r="A4008" t="s">
        <v>264</v>
      </c>
      <c r="B4008" t="s">
        <v>230</v>
      </c>
      <c r="C4008" t="s">
        <v>427</v>
      </c>
      <c r="D4008" s="1">
        <v>45309</v>
      </c>
      <c r="E4008" t="s">
        <v>428</v>
      </c>
      <c r="F4008">
        <v>-34.880000000000003</v>
      </c>
      <c r="G4008" t="s">
        <v>68</v>
      </c>
      <c r="H4008" t="s">
        <v>69</v>
      </c>
      <c r="I4008" t="s">
        <v>69</v>
      </c>
    </row>
    <row r="4009" spans="1:9" x14ac:dyDescent="0.25">
      <c r="A4009" t="s">
        <v>264</v>
      </c>
      <c r="B4009" t="s">
        <v>230</v>
      </c>
      <c r="C4009" t="s">
        <v>427</v>
      </c>
      <c r="D4009" s="1">
        <v>45309</v>
      </c>
      <c r="E4009" t="s">
        <v>685</v>
      </c>
      <c r="F4009">
        <v>-85.24</v>
      </c>
      <c r="G4009" t="s">
        <v>76</v>
      </c>
      <c r="H4009" t="s">
        <v>77</v>
      </c>
      <c r="I4009" t="s">
        <v>435</v>
      </c>
    </row>
    <row r="4010" spans="1:9" x14ac:dyDescent="0.25">
      <c r="A4010" t="s">
        <v>264</v>
      </c>
      <c r="B4010" t="s">
        <v>230</v>
      </c>
      <c r="C4010" t="s">
        <v>427</v>
      </c>
      <c r="D4010" s="1">
        <v>45309</v>
      </c>
      <c r="E4010" t="s">
        <v>424</v>
      </c>
      <c r="F4010">
        <v>-5.7</v>
      </c>
      <c r="G4010" t="s">
        <v>68</v>
      </c>
      <c r="H4010" t="s">
        <v>69</v>
      </c>
      <c r="I4010" t="s">
        <v>69</v>
      </c>
    </row>
    <row r="4011" spans="1:9" x14ac:dyDescent="0.25">
      <c r="A4011" t="s">
        <v>264</v>
      </c>
      <c r="B4011" t="s">
        <v>230</v>
      </c>
      <c r="C4011" t="s">
        <v>427</v>
      </c>
      <c r="D4011" s="1">
        <v>45308</v>
      </c>
      <c r="E4011" t="s">
        <v>422</v>
      </c>
      <c r="F4011">
        <v>6.67</v>
      </c>
      <c r="G4011" t="s">
        <v>70</v>
      </c>
      <c r="H4011" t="s">
        <v>264</v>
      </c>
      <c r="I4011" t="s">
        <v>72</v>
      </c>
    </row>
    <row r="4012" spans="1:9" x14ac:dyDescent="0.25">
      <c r="A4012" t="s">
        <v>264</v>
      </c>
      <c r="B4012" t="s">
        <v>230</v>
      </c>
      <c r="C4012" t="s">
        <v>427</v>
      </c>
      <c r="D4012" s="1">
        <v>45308</v>
      </c>
      <c r="E4012" t="s">
        <v>422</v>
      </c>
      <c r="F4012">
        <v>27.83</v>
      </c>
      <c r="G4012" t="s">
        <v>70</v>
      </c>
      <c r="H4012" t="s">
        <v>264</v>
      </c>
      <c r="I4012" t="s">
        <v>72</v>
      </c>
    </row>
    <row r="4013" spans="1:9" x14ac:dyDescent="0.25">
      <c r="A4013" t="s">
        <v>264</v>
      </c>
      <c r="B4013" t="s">
        <v>230</v>
      </c>
      <c r="C4013" t="s">
        <v>427</v>
      </c>
      <c r="D4013" s="1">
        <v>45313</v>
      </c>
      <c r="E4013" t="s">
        <v>479</v>
      </c>
      <c r="F4013">
        <v>-5.68</v>
      </c>
      <c r="G4013" t="s">
        <v>89</v>
      </c>
      <c r="H4013" t="s">
        <v>90</v>
      </c>
      <c r="I4013" t="s">
        <v>128</v>
      </c>
    </row>
    <row r="4014" spans="1:9" x14ac:dyDescent="0.25">
      <c r="A4014" t="s">
        <v>264</v>
      </c>
      <c r="B4014" t="s">
        <v>230</v>
      </c>
      <c r="C4014" t="s">
        <v>427</v>
      </c>
      <c r="D4014" s="1">
        <v>45310</v>
      </c>
      <c r="E4014" t="s">
        <v>422</v>
      </c>
      <c r="F4014">
        <v>27.28</v>
      </c>
      <c r="G4014" t="s">
        <v>70</v>
      </c>
      <c r="H4014" t="s">
        <v>264</v>
      </c>
      <c r="I4014" t="s">
        <v>72</v>
      </c>
    </row>
    <row r="4015" spans="1:9" x14ac:dyDescent="0.25">
      <c r="A4015" t="s">
        <v>264</v>
      </c>
      <c r="B4015" t="s">
        <v>230</v>
      </c>
      <c r="C4015" t="s">
        <v>427</v>
      </c>
      <c r="D4015" s="1">
        <v>45313</v>
      </c>
      <c r="E4015" t="s">
        <v>422</v>
      </c>
      <c r="F4015">
        <v>265.92</v>
      </c>
      <c r="G4015" t="s">
        <v>70</v>
      </c>
      <c r="H4015" t="s">
        <v>264</v>
      </c>
      <c r="I4015" t="s">
        <v>72</v>
      </c>
    </row>
    <row r="4016" spans="1:9" x14ac:dyDescent="0.25">
      <c r="A4016" t="s">
        <v>264</v>
      </c>
      <c r="B4016" t="s">
        <v>230</v>
      </c>
      <c r="C4016" t="s">
        <v>427</v>
      </c>
      <c r="D4016" s="1">
        <v>45313</v>
      </c>
      <c r="E4016" t="s">
        <v>422</v>
      </c>
      <c r="F4016">
        <v>13.76</v>
      </c>
      <c r="G4016" t="s">
        <v>70</v>
      </c>
      <c r="H4016" t="s">
        <v>264</v>
      </c>
      <c r="I4016" t="s">
        <v>72</v>
      </c>
    </row>
    <row r="4017" spans="1:9" x14ac:dyDescent="0.25">
      <c r="A4017" t="s">
        <v>264</v>
      </c>
      <c r="B4017" t="s">
        <v>230</v>
      </c>
      <c r="C4017" t="s">
        <v>427</v>
      </c>
      <c r="D4017" s="1">
        <v>45313</v>
      </c>
      <c r="E4017" t="s">
        <v>422</v>
      </c>
      <c r="F4017">
        <v>0.64</v>
      </c>
      <c r="G4017" t="s">
        <v>70</v>
      </c>
      <c r="H4017" t="s">
        <v>264</v>
      </c>
      <c r="I4017" t="s">
        <v>72</v>
      </c>
    </row>
    <row r="4018" spans="1:9" x14ac:dyDescent="0.25">
      <c r="A4018" t="s">
        <v>264</v>
      </c>
      <c r="B4018" t="s">
        <v>230</v>
      </c>
      <c r="C4018" t="s">
        <v>427</v>
      </c>
      <c r="D4018" s="1">
        <v>45313</v>
      </c>
      <c r="E4018" t="s">
        <v>486</v>
      </c>
      <c r="F4018">
        <v>-160.1</v>
      </c>
      <c r="G4018" t="s">
        <v>73</v>
      </c>
      <c r="H4018" t="s">
        <v>487</v>
      </c>
      <c r="I4018" t="s">
        <v>487</v>
      </c>
    </row>
    <row r="4019" spans="1:9" x14ac:dyDescent="0.25">
      <c r="A4019" t="s">
        <v>264</v>
      </c>
      <c r="B4019" t="s">
        <v>230</v>
      </c>
      <c r="C4019" t="s">
        <v>427</v>
      </c>
      <c r="D4019" s="1">
        <v>45313</v>
      </c>
      <c r="E4019" t="s">
        <v>486</v>
      </c>
      <c r="F4019">
        <v>-16.53</v>
      </c>
      <c r="G4019" t="s">
        <v>79</v>
      </c>
      <c r="H4019" t="s">
        <v>95</v>
      </c>
      <c r="I4019" t="s">
        <v>95</v>
      </c>
    </row>
    <row r="4020" spans="1:9" x14ac:dyDescent="0.25">
      <c r="A4020" t="s">
        <v>264</v>
      </c>
      <c r="B4020" t="s">
        <v>230</v>
      </c>
      <c r="C4020" t="s">
        <v>427</v>
      </c>
      <c r="D4020" s="1">
        <v>45313</v>
      </c>
      <c r="E4020" t="s">
        <v>486</v>
      </c>
      <c r="F4020">
        <v>-135.66</v>
      </c>
      <c r="G4020" t="s">
        <v>350</v>
      </c>
      <c r="H4020" t="s">
        <v>487</v>
      </c>
      <c r="I4020" t="s">
        <v>487</v>
      </c>
    </row>
    <row r="4021" spans="1:9" x14ac:dyDescent="0.25">
      <c r="A4021" t="s">
        <v>264</v>
      </c>
      <c r="B4021" t="s">
        <v>230</v>
      </c>
      <c r="C4021" t="s">
        <v>427</v>
      </c>
      <c r="D4021" s="1">
        <v>45313</v>
      </c>
      <c r="E4021" t="s">
        <v>686</v>
      </c>
      <c r="F4021">
        <v>-2.5099999999999998</v>
      </c>
      <c r="G4021" t="s">
        <v>76</v>
      </c>
      <c r="H4021" t="s">
        <v>87</v>
      </c>
      <c r="I4021" t="s">
        <v>88</v>
      </c>
    </row>
    <row r="4022" spans="1:9" x14ac:dyDescent="0.25">
      <c r="A4022" t="s">
        <v>264</v>
      </c>
      <c r="B4022" t="s">
        <v>230</v>
      </c>
      <c r="C4022" t="s">
        <v>427</v>
      </c>
      <c r="D4022" s="1">
        <v>45313</v>
      </c>
      <c r="E4022" t="s">
        <v>687</v>
      </c>
      <c r="F4022">
        <v>-0.98</v>
      </c>
      <c r="G4022" t="s">
        <v>68</v>
      </c>
      <c r="H4022" t="s">
        <v>69</v>
      </c>
      <c r="I4022" t="s">
        <v>69</v>
      </c>
    </row>
    <row r="4023" spans="1:9" x14ac:dyDescent="0.25">
      <c r="A4023" t="s">
        <v>264</v>
      </c>
      <c r="B4023" t="s">
        <v>230</v>
      </c>
      <c r="C4023" t="s">
        <v>427</v>
      </c>
      <c r="D4023" s="1">
        <v>45313</v>
      </c>
      <c r="E4023" t="s">
        <v>531</v>
      </c>
      <c r="F4023">
        <v>0</v>
      </c>
      <c r="G4023" t="s">
        <v>89</v>
      </c>
      <c r="H4023" t="s">
        <v>90</v>
      </c>
      <c r="I4023" t="s">
        <v>128</v>
      </c>
    </row>
    <row r="4024" spans="1:9" x14ac:dyDescent="0.25">
      <c r="A4024" t="s">
        <v>264</v>
      </c>
      <c r="B4024" t="s">
        <v>230</v>
      </c>
      <c r="C4024" t="s">
        <v>427</v>
      </c>
      <c r="D4024" s="1">
        <v>45313</v>
      </c>
      <c r="E4024" t="s">
        <v>531</v>
      </c>
      <c r="F4024">
        <v>-2.4900000000000002</v>
      </c>
      <c r="G4024" t="s">
        <v>89</v>
      </c>
      <c r="H4024" t="s">
        <v>90</v>
      </c>
      <c r="I4024" t="s">
        <v>128</v>
      </c>
    </row>
    <row r="4025" spans="1:9" x14ac:dyDescent="0.25">
      <c r="A4025" t="s">
        <v>264</v>
      </c>
      <c r="B4025" t="s">
        <v>230</v>
      </c>
      <c r="C4025" t="s">
        <v>427</v>
      </c>
      <c r="D4025" s="1">
        <v>45313</v>
      </c>
      <c r="E4025" t="s">
        <v>422</v>
      </c>
      <c r="F4025">
        <v>127.97</v>
      </c>
      <c r="G4025" t="s">
        <v>70</v>
      </c>
      <c r="H4025" t="s">
        <v>264</v>
      </c>
      <c r="I4025" t="s">
        <v>72</v>
      </c>
    </row>
    <row r="4026" spans="1:9" x14ac:dyDescent="0.25">
      <c r="A4026" t="s">
        <v>264</v>
      </c>
      <c r="B4026" t="s">
        <v>230</v>
      </c>
      <c r="C4026" t="s">
        <v>427</v>
      </c>
      <c r="D4026" s="1">
        <v>45313</v>
      </c>
      <c r="E4026" t="s">
        <v>688</v>
      </c>
      <c r="F4026">
        <v>-111.1</v>
      </c>
      <c r="G4026" t="s">
        <v>89</v>
      </c>
      <c r="H4026" t="s">
        <v>90</v>
      </c>
      <c r="I4026" t="s">
        <v>98</v>
      </c>
    </row>
    <row r="4027" spans="1:9" x14ac:dyDescent="0.25">
      <c r="A4027" t="s">
        <v>264</v>
      </c>
      <c r="B4027" t="s">
        <v>230</v>
      </c>
      <c r="C4027" t="s">
        <v>427</v>
      </c>
      <c r="D4027" s="1">
        <v>45313</v>
      </c>
      <c r="E4027" t="s">
        <v>424</v>
      </c>
      <c r="F4027">
        <v>-34.369999999999997</v>
      </c>
      <c r="G4027" t="s">
        <v>68</v>
      </c>
      <c r="H4027" t="s">
        <v>69</v>
      </c>
      <c r="I4027" t="s">
        <v>69</v>
      </c>
    </row>
    <row r="4028" spans="1:9" x14ac:dyDescent="0.25">
      <c r="A4028" t="s">
        <v>264</v>
      </c>
      <c r="B4028" t="s">
        <v>230</v>
      </c>
      <c r="C4028" t="s">
        <v>427</v>
      </c>
      <c r="D4028" s="1">
        <v>45314</v>
      </c>
      <c r="E4028" t="s">
        <v>422</v>
      </c>
      <c r="F4028">
        <v>322.68</v>
      </c>
      <c r="G4028" t="s">
        <v>70</v>
      </c>
      <c r="H4028" t="s">
        <v>264</v>
      </c>
      <c r="I4028" t="s">
        <v>72</v>
      </c>
    </row>
    <row r="4029" spans="1:9" x14ac:dyDescent="0.25">
      <c r="A4029" t="s">
        <v>264</v>
      </c>
      <c r="B4029" t="s">
        <v>230</v>
      </c>
      <c r="C4029" t="s">
        <v>427</v>
      </c>
      <c r="D4029" s="1">
        <v>45314</v>
      </c>
      <c r="E4029" t="s">
        <v>648</v>
      </c>
      <c r="F4029">
        <v>-34.200000000000003</v>
      </c>
      <c r="G4029" t="s">
        <v>68</v>
      </c>
      <c r="H4029" t="s">
        <v>69</v>
      </c>
      <c r="I4029" t="s">
        <v>69</v>
      </c>
    </row>
    <row r="4030" spans="1:9" x14ac:dyDescent="0.25">
      <c r="A4030" t="s">
        <v>264</v>
      </c>
      <c r="B4030" t="s">
        <v>230</v>
      </c>
      <c r="C4030" t="s">
        <v>427</v>
      </c>
      <c r="D4030" s="1">
        <v>45314</v>
      </c>
      <c r="E4030" t="s">
        <v>428</v>
      </c>
      <c r="F4030">
        <v>-255.91</v>
      </c>
      <c r="G4030" t="s">
        <v>68</v>
      </c>
      <c r="H4030" t="s">
        <v>69</v>
      </c>
      <c r="I4030" t="s">
        <v>69</v>
      </c>
    </row>
    <row r="4031" spans="1:9" x14ac:dyDescent="0.25">
      <c r="A4031" t="s">
        <v>264</v>
      </c>
      <c r="B4031" t="s">
        <v>230</v>
      </c>
      <c r="C4031" t="s">
        <v>427</v>
      </c>
      <c r="D4031" s="1">
        <v>45313</v>
      </c>
      <c r="E4031" t="s">
        <v>422</v>
      </c>
      <c r="F4031">
        <v>17.170000000000002</v>
      </c>
      <c r="G4031" t="s">
        <v>70</v>
      </c>
      <c r="H4031" t="s">
        <v>264</v>
      </c>
      <c r="I4031" t="s">
        <v>72</v>
      </c>
    </row>
    <row r="4032" spans="1:9" x14ac:dyDescent="0.25">
      <c r="A4032" t="s">
        <v>264</v>
      </c>
      <c r="B4032" t="s">
        <v>230</v>
      </c>
      <c r="C4032" t="s">
        <v>427</v>
      </c>
      <c r="D4032" s="1">
        <v>45313</v>
      </c>
      <c r="E4032" t="s">
        <v>422</v>
      </c>
      <c r="F4032">
        <v>8.61</v>
      </c>
      <c r="G4032" t="s">
        <v>70</v>
      </c>
      <c r="H4032" t="s">
        <v>264</v>
      </c>
      <c r="I4032" t="s">
        <v>72</v>
      </c>
    </row>
    <row r="4033" spans="1:9" x14ac:dyDescent="0.25">
      <c r="A4033" t="s">
        <v>264</v>
      </c>
      <c r="B4033" t="s">
        <v>230</v>
      </c>
      <c r="C4033" t="s">
        <v>427</v>
      </c>
      <c r="D4033" s="1">
        <v>45313</v>
      </c>
      <c r="E4033" t="s">
        <v>473</v>
      </c>
      <c r="F4033">
        <v>-38.369999999999997</v>
      </c>
      <c r="G4033" t="s">
        <v>89</v>
      </c>
      <c r="H4033" t="s">
        <v>90</v>
      </c>
      <c r="I4033" t="s">
        <v>474</v>
      </c>
    </row>
    <row r="4034" spans="1:9" x14ac:dyDescent="0.25">
      <c r="A4034" t="s">
        <v>264</v>
      </c>
      <c r="B4034" t="s">
        <v>230</v>
      </c>
      <c r="C4034" t="s">
        <v>427</v>
      </c>
      <c r="D4034" s="1">
        <v>45313</v>
      </c>
      <c r="E4034" t="s">
        <v>473</v>
      </c>
      <c r="F4034">
        <v>-31.9</v>
      </c>
      <c r="G4034" t="s">
        <v>89</v>
      </c>
      <c r="H4034" t="s">
        <v>90</v>
      </c>
      <c r="I4034" t="s">
        <v>474</v>
      </c>
    </row>
    <row r="4035" spans="1:9" x14ac:dyDescent="0.25">
      <c r="A4035" t="s">
        <v>264</v>
      </c>
      <c r="B4035" t="s">
        <v>230</v>
      </c>
      <c r="C4035" t="s">
        <v>427</v>
      </c>
      <c r="D4035" s="1">
        <v>45317</v>
      </c>
      <c r="E4035" t="s">
        <v>689</v>
      </c>
      <c r="F4035">
        <v>-4.99</v>
      </c>
      <c r="G4035" t="s">
        <v>212</v>
      </c>
      <c r="H4035" t="s">
        <v>213</v>
      </c>
      <c r="I4035" t="s">
        <v>559</v>
      </c>
    </row>
    <row r="4036" spans="1:9" x14ac:dyDescent="0.25">
      <c r="A4036" t="s">
        <v>264</v>
      </c>
      <c r="B4036" t="s">
        <v>230</v>
      </c>
      <c r="C4036" t="s">
        <v>427</v>
      </c>
      <c r="D4036" s="1">
        <v>45316</v>
      </c>
      <c r="E4036" t="s">
        <v>690</v>
      </c>
      <c r="F4036">
        <v>-1.55</v>
      </c>
      <c r="G4036" t="s">
        <v>68</v>
      </c>
      <c r="H4036" t="s">
        <v>69</v>
      </c>
      <c r="I4036" t="s">
        <v>69</v>
      </c>
    </row>
    <row r="4037" spans="1:9" x14ac:dyDescent="0.25">
      <c r="A4037" t="s">
        <v>264</v>
      </c>
      <c r="B4037" t="s">
        <v>230</v>
      </c>
      <c r="C4037" t="s">
        <v>427</v>
      </c>
      <c r="D4037" s="1">
        <v>45316</v>
      </c>
      <c r="E4037" t="s">
        <v>690</v>
      </c>
      <c r="F4037">
        <v>-0.03</v>
      </c>
      <c r="G4037" t="s">
        <v>68</v>
      </c>
      <c r="H4037" t="s">
        <v>69</v>
      </c>
      <c r="I4037" t="s">
        <v>69</v>
      </c>
    </row>
    <row r="4038" spans="1:9" x14ac:dyDescent="0.25">
      <c r="A4038" t="s">
        <v>264</v>
      </c>
      <c r="B4038" t="s">
        <v>230</v>
      </c>
      <c r="C4038" t="s">
        <v>427</v>
      </c>
      <c r="D4038" s="1">
        <v>45315</v>
      </c>
      <c r="E4038" t="s">
        <v>691</v>
      </c>
      <c r="F4038">
        <v>-23.09</v>
      </c>
      <c r="G4038" t="s">
        <v>76</v>
      </c>
      <c r="H4038" t="s">
        <v>77</v>
      </c>
      <c r="I4038" t="s">
        <v>78</v>
      </c>
    </row>
    <row r="4039" spans="1:9" x14ac:dyDescent="0.25">
      <c r="A4039" t="s">
        <v>264</v>
      </c>
      <c r="B4039" t="s">
        <v>230</v>
      </c>
      <c r="C4039" t="s">
        <v>427</v>
      </c>
      <c r="D4039" s="1">
        <v>45315</v>
      </c>
      <c r="E4039" t="s">
        <v>692</v>
      </c>
      <c r="F4039">
        <v>-1.06</v>
      </c>
      <c r="G4039" t="s">
        <v>76</v>
      </c>
      <c r="H4039" t="s">
        <v>87</v>
      </c>
      <c r="I4039" t="s">
        <v>88</v>
      </c>
    </row>
    <row r="4040" spans="1:9" x14ac:dyDescent="0.25">
      <c r="A4040" t="s">
        <v>264</v>
      </c>
      <c r="B4040" t="s">
        <v>230</v>
      </c>
      <c r="C4040" t="s">
        <v>427</v>
      </c>
      <c r="D4040" s="1">
        <v>45314</v>
      </c>
      <c r="E4040" t="s">
        <v>422</v>
      </c>
      <c r="F4040">
        <v>2.78</v>
      </c>
      <c r="G4040" t="s">
        <v>70</v>
      </c>
      <c r="H4040" t="s">
        <v>264</v>
      </c>
      <c r="I4040" t="s">
        <v>72</v>
      </c>
    </row>
    <row r="4041" spans="1:9" x14ac:dyDescent="0.25">
      <c r="A4041" t="s">
        <v>264</v>
      </c>
      <c r="B4041" t="s">
        <v>230</v>
      </c>
      <c r="C4041" t="s">
        <v>427</v>
      </c>
      <c r="D4041" s="1">
        <v>45317</v>
      </c>
      <c r="E4041" t="s">
        <v>445</v>
      </c>
      <c r="F4041">
        <v>-0.03</v>
      </c>
      <c r="G4041" t="s">
        <v>84</v>
      </c>
      <c r="H4041" t="s">
        <v>85</v>
      </c>
      <c r="I4041" t="s">
        <v>86</v>
      </c>
    </row>
    <row r="4042" spans="1:9" x14ac:dyDescent="0.25">
      <c r="A4042" t="s">
        <v>264</v>
      </c>
      <c r="B4042" t="s">
        <v>230</v>
      </c>
      <c r="C4042" t="s">
        <v>427</v>
      </c>
      <c r="D4042" s="1">
        <v>45317</v>
      </c>
      <c r="E4042" t="s">
        <v>446</v>
      </c>
      <c r="F4042">
        <v>-0.16</v>
      </c>
      <c r="G4042" t="s">
        <v>84</v>
      </c>
      <c r="H4042" t="s">
        <v>85</v>
      </c>
      <c r="I4042" t="s">
        <v>86</v>
      </c>
    </row>
    <row r="4043" spans="1:9" x14ac:dyDescent="0.25">
      <c r="A4043" t="s">
        <v>264</v>
      </c>
      <c r="B4043" t="s">
        <v>230</v>
      </c>
      <c r="C4043" t="s">
        <v>427</v>
      </c>
      <c r="D4043" s="1">
        <v>45317</v>
      </c>
      <c r="E4043" t="s">
        <v>693</v>
      </c>
      <c r="F4043">
        <v>-2.69</v>
      </c>
      <c r="G4043" t="s">
        <v>92</v>
      </c>
      <c r="H4043" t="s">
        <v>104</v>
      </c>
      <c r="I4043" t="s">
        <v>104</v>
      </c>
    </row>
    <row r="4044" spans="1:9" x14ac:dyDescent="0.25">
      <c r="A4044" t="s">
        <v>264</v>
      </c>
      <c r="B4044" t="s">
        <v>230</v>
      </c>
      <c r="C4044" t="s">
        <v>427</v>
      </c>
      <c r="D4044" s="1">
        <v>45316</v>
      </c>
      <c r="E4044" t="s">
        <v>422</v>
      </c>
      <c r="F4044">
        <v>60.05</v>
      </c>
      <c r="G4044" t="s">
        <v>70</v>
      </c>
      <c r="H4044" t="s">
        <v>264</v>
      </c>
      <c r="I4044" t="s">
        <v>72</v>
      </c>
    </row>
    <row r="4045" spans="1:9" x14ac:dyDescent="0.25">
      <c r="A4045" t="s">
        <v>264</v>
      </c>
      <c r="B4045" t="s">
        <v>230</v>
      </c>
      <c r="C4045" t="s">
        <v>427</v>
      </c>
      <c r="D4045" s="1">
        <v>45316</v>
      </c>
      <c r="E4045" t="s">
        <v>541</v>
      </c>
      <c r="F4045">
        <v>-171.4</v>
      </c>
      <c r="G4045" t="s">
        <v>212</v>
      </c>
      <c r="H4045" t="s">
        <v>213</v>
      </c>
      <c r="I4045" t="s">
        <v>214</v>
      </c>
    </row>
    <row r="4046" spans="1:9" x14ac:dyDescent="0.25">
      <c r="A4046" t="s">
        <v>264</v>
      </c>
      <c r="B4046" t="s">
        <v>230</v>
      </c>
      <c r="C4046" t="s">
        <v>427</v>
      </c>
      <c r="D4046" s="1">
        <v>45316</v>
      </c>
      <c r="E4046" t="s">
        <v>428</v>
      </c>
      <c r="F4046">
        <v>-30.35</v>
      </c>
      <c r="G4046" t="s">
        <v>68</v>
      </c>
      <c r="H4046" t="s">
        <v>69</v>
      </c>
      <c r="I4046" t="s">
        <v>69</v>
      </c>
    </row>
    <row r="4047" spans="1:9" x14ac:dyDescent="0.25">
      <c r="A4047" t="s">
        <v>264</v>
      </c>
      <c r="B4047" t="s">
        <v>230</v>
      </c>
      <c r="C4047" t="s">
        <v>427</v>
      </c>
      <c r="D4047" s="1">
        <v>45315</v>
      </c>
      <c r="E4047" t="s">
        <v>422</v>
      </c>
      <c r="F4047">
        <v>11.17</v>
      </c>
      <c r="G4047" t="s">
        <v>70</v>
      </c>
      <c r="H4047" t="s">
        <v>264</v>
      </c>
      <c r="I4047" t="s">
        <v>72</v>
      </c>
    </row>
    <row r="4048" spans="1:9" x14ac:dyDescent="0.25">
      <c r="A4048" t="s">
        <v>264</v>
      </c>
      <c r="B4048" t="s">
        <v>230</v>
      </c>
      <c r="C4048" t="s">
        <v>427</v>
      </c>
      <c r="D4048" s="1">
        <v>45315</v>
      </c>
      <c r="E4048" t="s">
        <v>422</v>
      </c>
      <c r="F4048">
        <v>27.84</v>
      </c>
      <c r="G4048" t="s">
        <v>70</v>
      </c>
      <c r="H4048" t="s">
        <v>264</v>
      </c>
      <c r="I4048" t="s">
        <v>72</v>
      </c>
    </row>
    <row r="4049" spans="1:9" x14ac:dyDescent="0.25">
      <c r="A4049" t="s">
        <v>264</v>
      </c>
      <c r="B4049" t="s">
        <v>230</v>
      </c>
      <c r="C4049" t="s">
        <v>427</v>
      </c>
      <c r="D4049" s="1">
        <v>45317</v>
      </c>
      <c r="E4049" t="s">
        <v>422</v>
      </c>
      <c r="F4049">
        <v>8.4600000000000009</v>
      </c>
      <c r="G4049" t="s">
        <v>70</v>
      </c>
      <c r="H4049" t="s">
        <v>264</v>
      </c>
      <c r="I4049" t="s">
        <v>72</v>
      </c>
    </row>
    <row r="4050" spans="1:9" x14ac:dyDescent="0.25">
      <c r="A4050" t="s">
        <v>264</v>
      </c>
      <c r="B4050" t="s">
        <v>230</v>
      </c>
      <c r="C4050" t="s">
        <v>427</v>
      </c>
      <c r="D4050" s="1">
        <v>45317</v>
      </c>
      <c r="E4050" t="s">
        <v>641</v>
      </c>
      <c r="F4050">
        <v>-32.86</v>
      </c>
      <c r="G4050" t="s">
        <v>76</v>
      </c>
      <c r="H4050" t="s">
        <v>82</v>
      </c>
      <c r="I4050" t="s">
        <v>83</v>
      </c>
    </row>
    <row r="4051" spans="1:9" x14ac:dyDescent="0.25">
      <c r="A4051" t="s">
        <v>264</v>
      </c>
      <c r="B4051" t="s">
        <v>230</v>
      </c>
      <c r="C4051" t="s">
        <v>427</v>
      </c>
      <c r="D4051" s="1">
        <v>45317</v>
      </c>
      <c r="E4051" t="s">
        <v>531</v>
      </c>
      <c r="F4051">
        <v>-3.43</v>
      </c>
      <c r="G4051" t="s">
        <v>89</v>
      </c>
      <c r="H4051" t="s">
        <v>90</v>
      </c>
      <c r="I4051" t="s">
        <v>128</v>
      </c>
    </row>
    <row r="4052" spans="1:9" x14ac:dyDescent="0.25">
      <c r="A4052" t="s">
        <v>264</v>
      </c>
      <c r="B4052" t="s">
        <v>230</v>
      </c>
      <c r="C4052" t="s">
        <v>427</v>
      </c>
      <c r="D4052" s="1">
        <v>45317</v>
      </c>
      <c r="E4052" t="s">
        <v>531</v>
      </c>
      <c r="F4052">
        <v>-0.86</v>
      </c>
      <c r="G4052" t="s">
        <v>89</v>
      </c>
      <c r="H4052" t="s">
        <v>90</v>
      </c>
      <c r="I4052" t="s">
        <v>128</v>
      </c>
    </row>
    <row r="4053" spans="1:9" x14ac:dyDescent="0.25">
      <c r="A4053" t="s">
        <v>264</v>
      </c>
      <c r="B4053" t="s">
        <v>230</v>
      </c>
      <c r="C4053" t="s">
        <v>427</v>
      </c>
      <c r="D4053" s="1">
        <v>45317</v>
      </c>
      <c r="E4053" t="s">
        <v>555</v>
      </c>
      <c r="F4053">
        <v>-1.17</v>
      </c>
      <c r="G4053" t="s">
        <v>68</v>
      </c>
      <c r="H4053" t="s">
        <v>69</v>
      </c>
      <c r="I4053" t="s">
        <v>69</v>
      </c>
    </row>
    <row r="4054" spans="1:9" x14ac:dyDescent="0.25">
      <c r="A4054" t="s">
        <v>264</v>
      </c>
      <c r="B4054" t="s">
        <v>230</v>
      </c>
      <c r="C4054" t="s">
        <v>427</v>
      </c>
      <c r="D4054" s="1">
        <v>45316</v>
      </c>
      <c r="E4054" t="s">
        <v>422</v>
      </c>
      <c r="F4054">
        <v>30.37</v>
      </c>
      <c r="G4054" t="s">
        <v>70</v>
      </c>
      <c r="H4054" t="s">
        <v>264</v>
      </c>
      <c r="I4054" t="s">
        <v>72</v>
      </c>
    </row>
    <row r="4055" spans="1:9" x14ac:dyDescent="0.25">
      <c r="A4055" t="s">
        <v>264</v>
      </c>
      <c r="B4055" t="s">
        <v>230</v>
      </c>
      <c r="C4055" t="s">
        <v>427</v>
      </c>
      <c r="D4055" s="1">
        <v>45316</v>
      </c>
      <c r="E4055" t="s">
        <v>694</v>
      </c>
      <c r="F4055">
        <v>-2.5099999999999998</v>
      </c>
      <c r="G4055" t="s">
        <v>68</v>
      </c>
      <c r="H4055" t="s">
        <v>69</v>
      </c>
      <c r="I4055" t="s">
        <v>69</v>
      </c>
    </row>
    <row r="4056" spans="1:9" x14ac:dyDescent="0.25">
      <c r="A4056" t="s">
        <v>264</v>
      </c>
      <c r="B4056" t="s">
        <v>230</v>
      </c>
      <c r="C4056" t="s">
        <v>427</v>
      </c>
      <c r="D4056" s="1">
        <v>45320</v>
      </c>
      <c r="E4056" t="s">
        <v>428</v>
      </c>
      <c r="F4056">
        <v>-35.9</v>
      </c>
      <c r="G4056" t="s">
        <v>68</v>
      </c>
      <c r="H4056" t="s">
        <v>69</v>
      </c>
      <c r="I4056" t="s">
        <v>69</v>
      </c>
    </row>
    <row r="4057" spans="1:9" x14ac:dyDescent="0.25">
      <c r="A4057" t="s">
        <v>264</v>
      </c>
      <c r="B4057" t="s">
        <v>230</v>
      </c>
      <c r="C4057" t="s">
        <v>427</v>
      </c>
      <c r="D4057" s="1">
        <v>45320</v>
      </c>
      <c r="E4057" t="s">
        <v>624</v>
      </c>
      <c r="F4057">
        <v>-93.91</v>
      </c>
      <c r="G4057" t="s">
        <v>79</v>
      </c>
      <c r="H4057" t="s">
        <v>96</v>
      </c>
      <c r="I4057" t="s">
        <v>96</v>
      </c>
    </row>
    <row r="4058" spans="1:9" x14ac:dyDescent="0.25">
      <c r="A4058" t="s">
        <v>264</v>
      </c>
      <c r="B4058" t="s">
        <v>230</v>
      </c>
      <c r="C4058" t="s">
        <v>427</v>
      </c>
      <c r="D4058" s="1">
        <v>45320</v>
      </c>
      <c r="E4058" t="s">
        <v>695</v>
      </c>
      <c r="F4058">
        <v>-10.73</v>
      </c>
      <c r="G4058" t="s">
        <v>76</v>
      </c>
      <c r="H4058" t="s">
        <v>87</v>
      </c>
      <c r="I4058" t="s">
        <v>88</v>
      </c>
    </row>
    <row r="4059" spans="1:9" x14ac:dyDescent="0.25">
      <c r="A4059" t="s">
        <v>264</v>
      </c>
      <c r="B4059" t="s">
        <v>230</v>
      </c>
      <c r="C4059" t="s">
        <v>427</v>
      </c>
      <c r="D4059" s="1">
        <v>45320</v>
      </c>
      <c r="E4059" t="s">
        <v>696</v>
      </c>
      <c r="F4059">
        <v>-16.39</v>
      </c>
      <c r="G4059" t="s">
        <v>68</v>
      </c>
      <c r="H4059" t="s">
        <v>69</v>
      </c>
      <c r="I4059" t="s">
        <v>69</v>
      </c>
    </row>
    <row r="4060" spans="1:9" x14ac:dyDescent="0.25">
      <c r="A4060" t="s">
        <v>264</v>
      </c>
      <c r="B4060" t="s">
        <v>230</v>
      </c>
      <c r="C4060" t="s">
        <v>427</v>
      </c>
      <c r="D4060" s="1">
        <v>45320</v>
      </c>
      <c r="E4060" t="s">
        <v>424</v>
      </c>
      <c r="F4060">
        <v>-4.43</v>
      </c>
      <c r="G4060" t="s">
        <v>68</v>
      </c>
      <c r="H4060" t="s">
        <v>69</v>
      </c>
      <c r="I4060" t="s">
        <v>69</v>
      </c>
    </row>
    <row r="4061" spans="1:9" x14ac:dyDescent="0.25">
      <c r="A4061" t="s">
        <v>264</v>
      </c>
      <c r="B4061" t="s">
        <v>230</v>
      </c>
      <c r="C4061" t="s">
        <v>427</v>
      </c>
      <c r="D4061" s="1">
        <v>45320</v>
      </c>
      <c r="E4061" t="s">
        <v>696</v>
      </c>
      <c r="F4061">
        <v>-2.67</v>
      </c>
      <c r="G4061" t="s">
        <v>68</v>
      </c>
      <c r="H4061" t="s">
        <v>69</v>
      </c>
      <c r="I4061" t="s">
        <v>69</v>
      </c>
    </row>
    <row r="4062" spans="1:9" x14ac:dyDescent="0.25">
      <c r="A4062" t="s">
        <v>264</v>
      </c>
      <c r="B4062" t="s">
        <v>230</v>
      </c>
      <c r="C4062" t="s">
        <v>427</v>
      </c>
      <c r="D4062" s="1">
        <v>45320</v>
      </c>
      <c r="E4062" t="s">
        <v>696</v>
      </c>
      <c r="F4062">
        <v>-6.45</v>
      </c>
      <c r="G4062" t="s">
        <v>68</v>
      </c>
      <c r="H4062" t="s">
        <v>69</v>
      </c>
      <c r="I4062" t="s">
        <v>69</v>
      </c>
    </row>
    <row r="4063" spans="1:9" x14ac:dyDescent="0.25">
      <c r="A4063" t="s">
        <v>264</v>
      </c>
      <c r="B4063" t="s">
        <v>230</v>
      </c>
      <c r="C4063" t="s">
        <v>427</v>
      </c>
      <c r="D4063" s="1">
        <v>45320</v>
      </c>
      <c r="E4063" t="s">
        <v>696</v>
      </c>
      <c r="F4063">
        <v>-5.59</v>
      </c>
      <c r="G4063" t="s">
        <v>68</v>
      </c>
      <c r="H4063" t="s">
        <v>69</v>
      </c>
      <c r="I4063" t="s">
        <v>69</v>
      </c>
    </row>
    <row r="4064" spans="1:9" x14ac:dyDescent="0.25">
      <c r="A4064" t="s">
        <v>264</v>
      </c>
      <c r="B4064" t="s">
        <v>230</v>
      </c>
      <c r="C4064" t="s">
        <v>427</v>
      </c>
      <c r="D4064" s="1">
        <v>45320</v>
      </c>
      <c r="E4064" t="s">
        <v>696</v>
      </c>
      <c r="F4064">
        <v>-1.52</v>
      </c>
      <c r="G4064" t="s">
        <v>68</v>
      </c>
      <c r="H4064" t="s">
        <v>69</v>
      </c>
      <c r="I4064" t="s">
        <v>69</v>
      </c>
    </row>
    <row r="4065" spans="1:9" x14ac:dyDescent="0.25">
      <c r="A4065" t="s">
        <v>264</v>
      </c>
      <c r="B4065" t="s">
        <v>230</v>
      </c>
      <c r="C4065" t="s">
        <v>427</v>
      </c>
      <c r="D4065" s="1">
        <v>45317</v>
      </c>
      <c r="E4065" t="s">
        <v>422</v>
      </c>
      <c r="F4065">
        <v>3.61</v>
      </c>
      <c r="G4065" t="s">
        <v>70</v>
      </c>
      <c r="H4065" t="s">
        <v>264</v>
      </c>
      <c r="I4065" t="s">
        <v>72</v>
      </c>
    </row>
    <row r="4066" spans="1:9" x14ac:dyDescent="0.25">
      <c r="A4066" t="s">
        <v>264</v>
      </c>
      <c r="B4066" t="s">
        <v>230</v>
      </c>
      <c r="C4066" t="s">
        <v>427</v>
      </c>
      <c r="D4066" s="1">
        <v>45317</v>
      </c>
      <c r="E4066" t="s">
        <v>422</v>
      </c>
      <c r="F4066">
        <v>42.57</v>
      </c>
      <c r="G4066" t="s">
        <v>70</v>
      </c>
      <c r="H4066" t="s">
        <v>264</v>
      </c>
      <c r="I4066" t="s">
        <v>72</v>
      </c>
    </row>
    <row r="4067" spans="1:9" x14ac:dyDescent="0.25">
      <c r="A4067" t="s">
        <v>264</v>
      </c>
      <c r="B4067" t="s">
        <v>230</v>
      </c>
      <c r="C4067" t="s">
        <v>427</v>
      </c>
      <c r="D4067" s="1">
        <v>45317</v>
      </c>
      <c r="E4067" t="s">
        <v>422</v>
      </c>
      <c r="F4067">
        <v>5.63</v>
      </c>
      <c r="G4067" t="s">
        <v>70</v>
      </c>
      <c r="H4067" t="s">
        <v>264</v>
      </c>
      <c r="I4067" t="s">
        <v>72</v>
      </c>
    </row>
    <row r="4068" spans="1:9" x14ac:dyDescent="0.25">
      <c r="A4068" t="s">
        <v>264</v>
      </c>
      <c r="B4068" t="s">
        <v>230</v>
      </c>
      <c r="C4068" t="s">
        <v>427</v>
      </c>
      <c r="D4068" s="1">
        <v>45317</v>
      </c>
      <c r="E4068" t="s">
        <v>422</v>
      </c>
      <c r="F4068">
        <v>53.56</v>
      </c>
      <c r="G4068" t="s">
        <v>70</v>
      </c>
      <c r="H4068" t="s">
        <v>264</v>
      </c>
      <c r="I4068" t="s">
        <v>72</v>
      </c>
    </row>
    <row r="4069" spans="1:9" x14ac:dyDescent="0.25">
      <c r="A4069" t="s">
        <v>264</v>
      </c>
      <c r="B4069" t="s">
        <v>230</v>
      </c>
      <c r="C4069" t="s">
        <v>427</v>
      </c>
      <c r="D4069" s="1">
        <v>45320</v>
      </c>
      <c r="E4069" t="s">
        <v>422</v>
      </c>
      <c r="F4069">
        <v>0.06</v>
      </c>
      <c r="G4069" t="s">
        <v>70</v>
      </c>
      <c r="H4069" t="s">
        <v>264</v>
      </c>
      <c r="I4069" t="s">
        <v>72</v>
      </c>
    </row>
    <row r="4070" spans="1:9" x14ac:dyDescent="0.25">
      <c r="A4070" t="s">
        <v>264</v>
      </c>
      <c r="B4070" t="s">
        <v>230</v>
      </c>
      <c r="C4070" t="s">
        <v>427</v>
      </c>
      <c r="D4070" s="1">
        <v>45320</v>
      </c>
      <c r="E4070" t="s">
        <v>422</v>
      </c>
      <c r="F4070">
        <v>273.85000000000002</v>
      </c>
      <c r="G4070" t="s">
        <v>70</v>
      </c>
      <c r="H4070" t="s">
        <v>264</v>
      </c>
      <c r="I4070" t="s">
        <v>72</v>
      </c>
    </row>
    <row r="4071" spans="1:9" x14ac:dyDescent="0.25">
      <c r="A4071" t="s">
        <v>264</v>
      </c>
      <c r="B4071" t="s">
        <v>230</v>
      </c>
      <c r="C4071" t="s">
        <v>427</v>
      </c>
      <c r="D4071" s="1">
        <v>45320</v>
      </c>
      <c r="E4071" t="s">
        <v>697</v>
      </c>
      <c r="F4071">
        <v>-168.83</v>
      </c>
      <c r="G4071" t="s">
        <v>89</v>
      </c>
      <c r="H4071" t="s">
        <v>90</v>
      </c>
      <c r="I4071" t="s">
        <v>98</v>
      </c>
    </row>
    <row r="4072" spans="1:9" x14ac:dyDescent="0.25">
      <c r="A4072" t="s">
        <v>264</v>
      </c>
      <c r="B4072" t="s">
        <v>230</v>
      </c>
      <c r="C4072" t="s">
        <v>427</v>
      </c>
      <c r="D4072" s="1">
        <v>45320</v>
      </c>
      <c r="E4072" t="s">
        <v>698</v>
      </c>
      <c r="F4072">
        <v>-38.11</v>
      </c>
      <c r="G4072" t="s">
        <v>79</v>
      </c>
      <c r="H4072" t="s">
        <v>96</v>
      </c>
      <c r="I4072" t="s">
        <v>96</v>
      </c>
    </row>
    <row r="4073" spans="1:9" x14ac:dyDescent="0.25">
      <c r="A4073" t="s">
        <v>264</v>
      </c>
      <c r="B4073" t="s">
        <v>230</v>
      </c>
      <c r="C4073" t="s">
        <v>427</v>
      </c>
      <c r="D4073" s="1">
        <v>45320</v>
      </c>
      <c r="E4073" t="s">
        <v>699</v>
      </c>
      <c r="F4073">
        <v>-1.8</v>
      </c>
      <c r="G4073" t="s">
        <v>68</v>
      </c>
      <c r="H4073" t="s">
        <v>69</v>
      </c>
      <c r="I4073" t="s">
        <v>69</v>
      </c>
    </row>
    <row r="4074" spans="1:9" x14ac:dyDescent="0.25">
      <c r="A4074" t="s">
        <v>264</v>
      </c>
      <c r="B4074" t="s">
        <v>230</v>
      </c>
      <c r="C4074" t="s">
        <v>427</v>
      </c>
      <c r="D4074" s="1">
        <v>45320</v>
      </c>
      <c r="E4074" t="s">
        <v>700</v>
      </c>
      <c r="F4074">
        <v>-4.03</v>
      </c>
      <c r="G4074" t="s">
        <v>68</v>
      </c>
      <c r="H4074" t="s">
        <v>69</v>
      </c>
      <c r="I4074" t="s">
        <v>69</v>
      </c>
    </row>
    <row r="4075" spans="1:9" x14ac:dyDescent="0.25">
      <c r="A4075" t="s">
        <v>264</v>
      </c>
      <c r="B4075" t="s">
        <v>230</v>
      </c>
      <c r="C4075" t="s">
        <v>427</v>
      </c>
      <c r="D4075" s="1">
        <v>45320</v>
      </c>
      <c r="E4075" t="s">
        <v>700</v>
      </c>
      <c r="F4075">
        <v>-17.489999999999998</v>
      </c>
      <c r="G4075" t="s">
        <v>68</v>
      </c>
      <c r="H4075" t="s">
        <v>69</v>
      </c>
      <c r="I4075" t="s">
        <v>69</v>
      </c>
    </row>
    <row r="4076" spans="1:9" x14ac:dyDescent="0.25">
      <c r="A4076" t="s">
        <v>264</v>
      </c>
      <c r="B4076" t="s">
        <v>230</v>
      </c>
      <c r="C4076" t="s">
        <v>427</v>
      </c>
      <c r="D4076" s="1">
        <v>45320</v>
      </c>
      <c r="E4076" t="s">
        <v>701</v>
      </c>
      <c r="F4076">
        <v>-8.02</v>
      </c>
      <c r="G4076" t="s">
        <v>467</v>
      </c>
      <c r="H4076" t="s">
        <v>468</v>
      </c>
      <c r="I4076" t="s">
        <v>467</v>
      </c>
    </row>
    <row r="4077" spans="1:9" x14ac:dyDescent="0.25">
      <c r="A4077" t="s">
        <v>264</v>
      </c>
      <c r="B4077" t="s">
        <v>230</v>
      </c>
      <c r="C4077" t="s">
        <v>427</v>
      </c>
      <c r="D4077" s="1">
        <v>45320</v>
      </c>
      <c r="E4077" t="s">
        <v>430</v>
      </c>
      <c r="F4077">
        <v>-3.52</v>
      </c>
      <c r="G4077" t="s">
        <v>89</v>
      </c>
      <c r="H4077" t="s">
        <v>90</v>
      </c>
      <c r="I4077" t="s">
        <v>128</v>
      </c>
    </row>
    <row r="4078" spans="1:9" x14ac:dyDescent="0.25">
      <c r="A4078" t="s">
        <v>264</v>
      </c>
      <c r="B4078" t="s">
        <v>230</v>
      </c>
      <c r="C4078" t="s">
        <v>427</v>
      </c>
      <c r="D4078" s="1">
        <v>45320</v>
      </c>
      <c r="E4078" t="s">
        <v>698</v>
      </c>
      <c r="F4078">
        <v>-4.6500000000000004</v>
      </c>
      <c r="G4078" t="s">
        <v>79</v>
      </c>
      <c r="H4078" t="s">
        <v>96</v>
      </c>
      <c r="I4078" t="s">
        <v>96</v>
      </c>
    </row>
    <row r="4079" spans="1:9" x14ac:dyDescent="0.25">
      <c r="A4079" t="s">
        <v>264</v>
      </c>
      <c r="B4079" t="s">
        <v>230</v>
      </c>
      <c r="C4079" t="s">
        <v>427</v>
      </c>
      <c r="D4079" s="1">
        <v>45320</v>
      </c>
      <c r="E4079" t="s">
        <v>700</v>
      </c>
      <c r="F4079">
        <v>-5.31</v>
      </c>
      <c r="G4079" t="s">
        <v>68</v>
      </c>
      <c r="H4079" t="s">
        <v>69</v>
      </c>
      <c r="I4079" t="s">
        <v>69</v>
      </c>
    </row>
    <row r="4080" spans="1:9" x14ac:dyDescent="0.25">
      <c r="A4080" t="s">
        <v>264</v>
      </c>
      <c r="B4080" t="s">
        <v>230</v>
      </c>
      <c r="C4080" t="s">
        <v>427</v>
      </c>
      <c r="D4080" s="1">
        <v>45320</v>
      </c>
      <c r="E4080" t="s">
        <v>431</v>
      </c>
      <c r="F4080">
        <v>-1.83</v>
      </c>
      <c r="G4080" t="s">
        <v>68</v>
      </c>
      <c r="H4080" t="s">
        <v>69</v>
      </c>
      <c r="I4080" t="s">
        <v>69</v>
      </c>
    </row>
    <row r="4081" spans="1:9" x14ac:dyDescent="0.25">
      <c r="A4081" t="s">
        <v>264</v>
      </c>
      <c r="B4081" t="s">
        <v>230</v>
      </c>
      <c r="C4081" t="s">
        <v>427</v>
      </c>
      <c r="D4081" s="1">
        <v>45320</v>
      </c>
      <c r="E4081" t="s">
        <v>422</v>
      </c>
      <c r="F4081">
        <v>19.149999999999999</v>
      </c>
      <c r="G4081" t="s">
        <v>70</v>
      </c>
      <c r="H4081" t="s">
        <v>264</v>
      </c>
      <c r="I4081" t="s">
        <v>72</v>
      </c>
    </row>
    <row r="4082" spans="1:9" x14ac:dyDescent="0.25">
      <c r="A4082" t="s">
        <v>264</v>
      </c>
      <c r="B4082" t="s">
        <v>230</v>
      </c>
      <c r="C4082" t="s">
        <v>427</v>
      </c>
      <c r="D4082" s="1">
        <v>45320</v>
      </c>
      <c r="E4082" t="s">
        <v>422</v>
      </c>
      <c r="F4082">
        <v>98.71</v>
      </c>
      <c r="G4082" t="s">
        <v>70</v>
      </c>
      <c r="H4082" t="s">
        <v>264</v>
      </c>
      <c r="I4082" t="s">
        <v>72</v>
      </c>
    </row>
    <row r="4083" spans="1:9" x14ac:dyDescent="0.25">
      <c r="A4083" t="s">
        <v>264</v>
      </c>
      <c r="B4083" t="s">
        <v>230</v>
      </c>
      <c r="C4083" t="s">
        <v>427</v>
      </c>
      <c r="D4083" s="1">
        <v>45320</v>
      </c>
      <c r="E4083" t="s">
        <v>702</v>
      </c>
      <c r="F4083">
        <v>-71.19</v>
      </c>
      <c r="G4083" t="s">
        <v>76</v>
      </c>
      <c r="H4083" t="s">
        <v>77</v>
      </c>
      <c r="I4083" t="s">
        <v>539</v>
      </c>
    </row>
    <row r="4084" spans="1:9" x14ac:dyDescent="0.25">
      <c r="A4084" t="s">
        <v>264</v>
      </c>
      <c r="B4084" t="s">
        <v>230</v>
      </c>
      <c r="C4084" t="s">
        <v>427</v>
      </c>
      <c r="D4084" s="1">
        <v>45320</v>
      </c>
      <c r="E4084" t="s">
        <v>641</v>
      </c>
      <c r="F4084">
        <v>-106.98</v>
      </c>
      <c r="G4084" t="s">
        <v>76</v>
      </c>
      <c r="H4084" t="s">
        <v>82</v>
      </c>
      <c r="I4084" t="s">
        <v>83</v>
      </c>
    </row>
    <row r="4085" spans="1:9" x14ac:dyDescent="0.25">
      <c r="A4085" t="s">
        <v>264</v>
      </c>
      <c r="B4085" t="s">
        <v>230</v>
      </c>
      <c r="C4085" t="s">
        <v>427</v>
      </c>
      <c r="D4085" s="1">
        <v>45320</v>
      </c>
      <c r="E4085" t="s">
        <v>641</v>
      </c>
      <c r="F4085">
        <v>-26.37</v>
      </c>
      <c r="G4085" t="s">
        <v>76</v>
      </c>
      <c r="H4085" t="s">
        <v>82</v>
      </c>
      <c r="I4085" t="s">
        <v>83</v>
      </c>
    </row>
    <row r="4086" spans="1:9" x14ac:dyDescent="0.25">
      <c r="A4086" t="s">
        <v>264</v>
      </c>
      <c r="B4086" t="s">
        <v>230</v>
      </c>
      <c r="C4086" t="s">
        <v>427</v>
      </c>
      <c r="D4086" s="1">
        <v>45320</v>
      </c>
      <c r="E4086" t="s">
        <v>703</v>
      </c>
      <c r="F4086">
        <v>-13.83</v>
      </c>
      <c r="G4086" t="s">
        <v>68</v>
      </c>
      <c r="H4086" t="s">
        <v>69</v>
      </c>
      <c r="I4086" t="s">
        <v>69</v>
      </c>
    </row>
    <row r="4087" spans="1:9" x14ac:dyDescent="0.25">
      <c r="A4087" t="s">
        <v>264</v>
      </c>
      <c r="B4087" t="s">
        <v>230</v>
      </c>
      <c r="C4087" t="s">
        <v>427</v>
      </c>
      <c r="D4087" s="1">
        <v>45321</v>
      </c>
      <c r="E4087" t="s">
        <v>422</v>
      </c>
      <c r="F4087">
        <v>9.73</v>
      </c>
      <c r="G4087" t="s">
        <v>70</v>
      </c>
      <c r="H4087" t="s">
        <v>264</v>
      </c>
      <c r="I4087" t="s">
        <v>72</v>
      </c>
    </row>
    <row r="4088" spans="1:9" x14ac:dyDescent="0.25">
      <c r="A4088" t="s">
        <v>264</v>
      </c>
      <c r="B4088" t="s">
        <v>230</v>
      </c>
      <c r="C4088" t="s">
        <v>427</v>
      </c>
      <c r="D4088" s="1">
        <v>45321</v>
      </c>
      <c r="E4088" t="s">
        <v>703</v>
      </c>
      <c r="F4088">
        <v>-18.260000000000002</v>
      </c>
      <c r="G4088" t="s">
        <v>68</v>
      </c>
      <c r="H4088" t="s">
        <v>69</v>
      </c>
      <c r="I4088" t="s">
        <v>69</v>
      </c>
    </row>
    <row r="4089" spans="1:9" x14ac:dyDescent="0.25">
      <c r="A4089" t="s">
        <v>264</v>
      </c>
      <c r="B4089" t="s">
        <v>230</v>
      </c>
      <c r="C4089" t="s">
        <v>427</v>
      </c>
      <c r="D4089" s="1">
        <v>45320</v>
      </c>
      <c r="E4089" t="s">
        <v>422</v>
      </c>
      <c r="F4089">
        <v>72.06</v>
      </c>
      <c r="G4089" t="s">
        <v>70</v>
      </c>
      <c r="H4089" t="s">
        <v>264</v>
      </c>
      <c r="I4089" t="s">
        <v>72</v>
      </c>
    </row>
    <row r="4090" spans="1:9" x14ac:dyDescent="0.25">
      <c r="A4090" t="s">
        <v>264</v>
      </c>
      <c r="B4090" t="s">
        <v>230</v>
      </c>
      <c r="C4090" t="s">
        <v>427</v>
      </c>
      <c r="D4090" s="1">
        <v>45320</v>
      </c>
      <c r="E4090" t="s">
        <v>422</v>
      </c>
      <c r="F4090">
        <v>36.28</v>
      </c>
      <c r="G4090" t="s">
        <v>70</v>
      </c>
      <c r="H4090" t="s">
        <v>264</v>
      </c>
      <c r="I4090" t="s">
        <v>72</v>
      </c>
    </row>
    <row r="4091" spans="1:9" x14ac:dyDescent="0.25">
      <c r="A4091" t="s">
        <v>264</v>
      </c>
      <c r="B4091" t="s">
        <v>230</v>
      </c>
      <c r="C4091" t="s">
        <v>427</v>
      </c>
      <c r="D4091" s="1">
        <v>45320</v>
      </c>
      <c r="E4091" t="s">
        <v>704</v>
      </c>
      <c r="F4091">
        <v>-410.07</v>
      </c>
      <c r="G4091" t="s">
        <v>76</v>
      </c>
      <c r="H4091" t="s">
        <v>77</v>
      </c>
      <c r="I4091" t="s">
        <v>78</v>
      </c>
    </row>
    <row r="4092" spans="1:9" x14ac:dyDescent="0.25">
      <c r="A4092" t="s">
        <v>264</v>
      </c>
      <c r="B4092" t="s">
        <v>230</v>
      </c>
      <c r="C4092" t="s">
        <v>427</v>
      </c>
      <c r="D4092" s="1">
        <v>45322</v>
      </c>
      <c r="E4092" t="s">
        <v>703</v>
      </c>
      <c r="F4092">
        <v>-52.14</v>
      </c>
      <c r="G4092" t="s">
        <v>68</v>
      </c>
      <c r="H4092" t="s">
        <v>69</v>
      </c>
      <c r="I4092" t="s">
        <v>69</v>
      </c>
    </row>
    <row r="4093" spans="1:9" x14ac:dyDescent="0.25">
      <c r="A4093" t="s">
        <v>264</v>
      </c>
      <c r="B4093" t="s">
        <v>230</v>
      </c>
      <c r="C4093" t="s">
        <v>427</v>
      </c>
      <c r="D4093" s="1">
        <v>45322</v>
      </c>
      <c r="E4093" t="s">
        <v>705</v>
      </c>
      <c r="F4093">
        <v>-64.37</v>
      </c>
      <c r="G4093" t="s">
        <v>76</v>
      </c>
      <c r="H4093" t="s">
        <v>87</v>
      </c>
      <c r="I4093" t="s">
        <v>88</v>
      </c>
    </row>
    <row r="4094" spans="1:9" x14ac:dyDescent="0.25">
      <c r="A4094" t="s">
        <v>264</v>
      </c>
      <c r="B4094" t="s">
        <v>230</v>
      </c>
      <c r="C4094" t="s">
        <v>427</v>
      </c>
      <c r="D4094" s="1">
        <v>45322</v>
      </c>
      <c r="E4094" t="s">
        <v>699</v>
      </c>
      <c r="F4094">
        <v>-13.21</v>
      </c>
      <c r="G4094" t="s">
        <v>68</v>
      </c>
      <c r="H4094" t="s">
        <v>69</v>
      </c>
      <c r="I4094" t="s">
        <v>69</v>
      </c>
    </row>
    <row r="4095" spans="1:9" x14ac:dyDescent="0.25">
      <c r="A4095" t="s">
        <v>264</v>
      </c>
      <c r="B4095" t="s">
        <v>230</v>
      </c>
      <c r="C4095" t="s">
        <v>427</v>
      </c>
      <c r="D4095" s="1">
        <v>45321</v>
      </c>
      <c r="E4095" t="s">
        <v>422</v>
      </c>
      <c r="F4095">
        <v>26.17</v>
      </c>
      <c r="G4095" t="s">
        <v>70</v>
      </c>
      <c r="H4095" t="s">
        <v>264</v>
      </c>
      <c r="I4095" t="s">
        <v>72</v>
      </c>
    </row>
    <row r="4096" spans="1:9" x14ac:dyDescent="0.25">
      <c r="A4096" t="s">
        <v>264</v>
      </c>
      <c r="B4096" t="s">
        <v>230</v>
      </c>
      <c r="C4096" t="s">
        <v>427</v>
      </c>
      <c r="D4096" s="1">
        <v>45321</v>
      </c>
      <c r="E4096" t="s">
        <v>422</v>
      </c>
      <c r="F4096">
        <v>123.52</v>
      </c>
      <c r="G4096" t="s">
        <v>70</v>
      </c>
      <c r="H4096" t="s">
        <v>264</v>
      </c>
      <c r="I4096" t="s">
        <v>72</v>
      </c>
    </row>
    <row r="4097" spans="1:9" x14ac:dyDescent="0.25">
      <c r="A4097" t="s">
        <v>264</v>
      </c>
      <c r="B4097" t="s">
        <v>230</v>
      </c>
      <c r="C4097" t="s">
        <v>427</v>
      </c>
      <c r="D4097" s="1">
        <v>45323</v>
      </c>
      <c r="E4097" t="s">
        <v>706</v>
      </c>
      <c r="F4097">
        <v>-85.56</v>
      </c>
      <c r="G4097" t="s">
        <v>76</v>
      </c>
      <c r="H4097" t="s">
        <v>87</v>
      </c>
      <c r="I4097" t="s">
        <v>88</v>
      </c>
    </row>
    <row r="4098" spans="1:9" x14ac:dyDescent="0.25">
      <c r="A4098" t="s">
        <v>264</v>
      </c>
      <c r="B4098" t="s">
        <v>230</v>
      </c>
      <c r="C4098" t="s">
        <v>427</v>
      </c>
      <c r="D4098" s="1">
        <v>45323</v>
      </c>
      <c r="E4098" t="s">
        <v>707</v>
      </c>
      <c r="F4098">
        <v>-5.99</v>
      </c>
      <c r="G4098" t="s">
        <v>76</v>
      </c>
      <c r="H4098" t="s">
        <v>87</v>
      </c>
      <c r="I4098" t="s">
        <v>88</v>
      </c>
    </row>
    <row r="4099" spans="1:9" x14ac:dyDescent="0.25">
      <c r="A4099" t="s">
        <v>264</v>
      </c>
      <c r="B4099" t="s">
        <v>230</v>
      </c>
      <c r="C4099" t="s">
        <v>427</v>
      </c>
      <c r="D4099" s="1">
        <v>45322</v>
      </c>
      <c r="E4099" t="s">
        <v>422</v>
      </c>
      <c r="F4099">
        <v>9.4499999999999993</v>
      </c>
      <c r="G4099" t="s">
        <v>70</v>
      </c>
      <c r="H4099" t="s">
        <v>264</v>
      </c>
      <c r="I4099" t="s">
        <v>72</v>
      </c>
    </row>
    <row r="4100" spans="1:9" x14ac:dyDescent="0.25">
      <c r="A4100" t="s">
        <v>264</v>
      </c>
      <c r="B4100" t="s">
        <v>230</v>
      </c>
      <c r="C4100" t="s">
        <v>427</v>
      </c>
      <c r="D4100" s="1">
        <v>45322</v>
      </c>
      <c r="E4100" t="s">
        <v>422</v>
      </c>
      <c r="F4100">
        <v>24.22</v>
      </c>
      <c r="G4100" t="s">
        <v>70</v>
      </c>
      <c r="H4100" t="s">
        <v>264</v>
      </c>
      <c r="I4100" t="s">
        <v>72</v>
      </c>
    </row>
    <row r="4101" spans="1:9" x14ac:dyDescent="0.25">
      <c r="A4101" t="s">
        <v>264</v>
      </c>
      <c r="B4101" t="s">
        <v>230</v>
      </c>
      <c r="C4101" t="s">
        <v>427</v>
      </c>
      <c r="D4101" s="1">
        <v>45324</v>
      </c>
      <c r="E4101" t="s">
        <v>708</v>
      </c>
      <c r="F4101">
        <v>-59.89</v>
      </c>
      <c r="G4101" t="s">
        <v>76</v>
      </c>
      <c r="H4101" t="s">
        <v>77</v>
      </c>
      <c r="I4101" t="s">
        <v>539</v>
      </c>
    </row>
    <row r="4102" spans="1:9" x14ac:dyDescent="0.25">
      <c r="A4102" t="s">
        <v>264</v>
      </c>
      <c r="B4102" t="s">
        <v>230</v>
      </c>
      <c r="C4102" t="s">
        <v>427</v>
      </c>
      <c r="D4102" s="1">
        <v>45324</v>
      </c>
      <c r="E4102" t="s">
        <v>709</v>
      </c>
      <c r="F4102">
        <v>-24.52</v>
      </c>
      <c r="G4102" t="s">
        <v>68</v>
      </c>
      <c r="H4102" t="s">
        <v>69</v>
      </c>
      <c r="I4102" t="s">
        <v>69</v>
      </c>
    </row>
    <row r="4103" spans="1:9" x14ac:dyDescent="0.25">
      <c r="A4103" t="s">
        <v>264</v>
      </c>
      <c r="B4103" t="s">
        <v>230</v>
      </c>
      <c r="C4103" t="s">
        <v>427</v>
      </c>
      <c r="D4103" s="1">
        <v>45327</v>
      </c>
      <c r="E4103" t="s">
        <v>428</v>
      </c>
      <c r="F4103">
        <v>-191.75</v>
      </c>
      <c r="G4103" t="s">
        <v>68</v>
      </c>
      <c r="H4103" t="s">
        <v>69</v>
      </c>
      <c r="I4103" t="s">
        <v>69</v>
      </c>
    </row>
    <row r="4104" spans="1:9" x14ac:dyDescent="0.25">
      <c r="A4104" t="s">
        <v>264</v>
      </c>
      <c r="B4104" t="s">
        <v>230</v>
      </c>
      <c r="C4104" t="s">
        <v>427</v>
      </c>
      <c r="D4104" s="1">
        <v>45327</v>
      </c>
      <c r="E4104" t="s">
        <v>710</v>
      </c>
      <c r="F4104">
        <v>-69.599999999999994</v>
      </c>
      <c r="G4104" t="s">
        <v>76</v>
      </c>
      <c r="H4104" t="s">
        <v>87</v>
      </c>
      <c r="I4104" t="s">
        <v>88</v>
      </c>
    </row>
    <row r="4105" spans="1:9" x14ac:dyDescent="0.25">
      <c r="A4105" t="s">
        <v>264</v>
      </c>
      <c r="B4105" t="s">
        <v>230</v>
      </c>
      <c r="C4105" t="s">
        <v>427</v>
      </c>
      <c r="D4105" s="1">
        <v>45324</v>
      </c>
      <c r="E4105" t="s">
        <v>422</v>
      </c>
      <c r="F4105">
        <v>97.12</v>
      </c>
      <c r="G4105" t="s">
        <v>70</v>
      </c>
      <c r="H4105" t="s">
        <v>264</v>
      </c>
      <c r="I4105" t="s">
        <v>72</v>
      </c>
    </row>
    <row r="4106" spans="1:9" x14ac:dyDescent="0.25">
      <c r="A4106" t="s">
        <v>264</v>
      </c>
      <c r="B4106" t="s">
        <v>230</v>
      </c>
      <c r="C4106" t="s">
        <v>427</v>
      </c>
      <c r="D4106" s="1">
        <v>45324</v>
      </c>
      <c r="E4106" t="s">
        <v>593</v>
      </c>
      <c r="F4106">
        <v>-8.92</v>
      </c>
      <c r="G4106" t="s">
        <v>68</v>
      </c>
      <c r="H4106" t="s">
        <v>69</v>
      </c>
      <c r="I4106" t="s">
        <v>69</v>
      </c>
    </row>
    <row r="4107" spans="1:9" x14ac:dyDescent="0.25">
      <c r="A4107" t="s">
        <v>264</v>
      </c>
      <c r="B4107" t="s">
        <v>230</v>
      </c>
      <c r="C4107" t="s">
        <v>427</v>
      </c>
      <c r="D4107" s="1">
        <v>45327</v>
      </c>
      <c r="E4107" t="s">
        <v>422</v>
      </c>
      <c r="F4107">
        <v>456.92</v>
      </c>
      <c r="G4107" t="s">
        <v>70</v>
      </c>
      <c r="H4107" t="s">
        <v>264</v>
      </c>
      <c r="I4107" t="s">
        <v>72</v>
      </c>
    </row>
    <row r="4108" spans="1:9" x14ac:dyDescent="0.25">
      <c r="A4108" t="s">
        <v>264</v>
      </c>
      <c r="B4108" t="s">
        <v>230</v>
      </c>
      <c r="C4108" t="s">
        <v>427</v>
      </c>
      <c r="D4108" s="1">
        <v>45327</v>
      </c>
      <c r="E4108" t="s">
        <v>422</v>
      </c>
      <c r="F4108">
        <v>40.71</v>
      </c>
      <c r="G4108" t="s">
        <v>70</v>
      </c>
      <c r="H4108" t="s">
        <v>264</v>
      </c>
      <c r="I4108" t="s">
        <v>72</v>
      </c>
    </row>
    <row r="4109" spans="1:9" x14ac:dyDescent="0.25">
      <c r="A4109" t="s">
        <v>264</v>
      </c>
      <c r="B4109" t="s">
        <v>230</v>
      </c>
      <c r="C4109" t="s">
        <v>427</v>
      </c>
      <c r="D4109" s="1">
        <v>45327</v>
      </c>
      <c r="E4109" t="s">
        <v>422</v>
      </c>
      <c r="F4109">
        <v>1.67</v>
      </c>
      <c r="G4109" t="s">
        <v>70</v>
      </c>
      <c r="H4109" t="s">
        <v>264</v>
      </c>
      <c r="I4109" t="s">
        <v>72</v>
      </c>
    </row>
    <row r="4110" spans="1:9" x14ac:dyDescent="0.25">
      <c r="A4110" t="s">
        <v>264</v>
      </c>
      <c r="B4110" t="s">
        <v>230</v>
      </c>
      <c r="C4110" t="s">
        <v>427</v>
      </c>
      <c r="D4110" s="1">
        <v>45327</v>
      </c>
      <c r="E4110" t="s">
        <v>711</v>
      </c>
      <c r="F4110">
        <v>-6.15</v>
      </c>
      <c r="G4110" t="s">
        <v>76</v>
      </c>
      <c r="H4110" t="s">
        <v>87</v>
      </c>
      <c r="I4110" t="s">
        <v>88</v>
      </c>
    </row>
    <row r="4111" spans="1:9" x14ac:dyDescent="0.25">
      <c r="A4111" t="s">
        <v>264</v>
      </c>
      <c r="B4111" t="s">
        <v>230</v>
      </c>
      <c r="C4111" t="s">
        <v>427</v>
      </c>
      <c r="D4111" s="1">
        <v>45327</v>
      </c>
      <c r="E4111" t="s">
        <v>608</v>
      </c>
      <c r="F4111">
        <v>-1.68</v>
      </c>
      <c r="G4111" t="s">
        <v>92</v>
      </c>
      <c r="H4111" t="s">
        <v>93</v>
      </c>
      <c r="I4111" t="s">
        <v>94</v>
      </c>
    </row>
    <row r="4112" spans="1:9" x14ac:dyDescent="0.25">
      <c r="A4112" t="s">
        <v>264</v>
      </c>
      <c r="B4112" t="s">
        <v>230</v>
      </c>
      <c r="C4112" t="s">
        <v>427</v>
      </c>
      <c r="D4112" s="1">
        <v>45327</v>
      </c>
      <c r="E4112" t="s">
        <v>712</v>
      </c>
      <c r="F4112">
        <v>-37.76</v>
      </c>
      <c r="G4112" t="s">
        <v>79</v>
      </c>
      <c r="H4112" t="s">
        <v>96</v>
      </c>
      <c r="I4112" t="s">
        <v>96</v>
      </c>
    </row>
    <row r="4113" spans="1:9" x14ac:dyDescent="0.25">
      <c r="A4113" t="s">
        <v>264</v>
      </c>
      <c r="B4113" t="s">
        <v>230</v>
      </c>
      <c r="C4113" t="s">
        <v>427</v>
      </c>
      <c r="D4113" s="1">
        <v>45327</v>
      </c>
      <c r="E4113" t="s">
        <v>713</v>
      </c>
      <c r="F4113">
        <v>-4.16</v>
      </c>
      <c r="G4113" t="s">
        <v>212</v>
      </c>
      <c r="H4113" t="s">
        <v>213</v>
      </c>
      <c r="I4113" t="s">
        <v>214</v>
      </c>
    </row>
    <row r="4114" spans="1:9" x14ac:dyDescent="0.25">
      <c r="A4114" t="s">
        <v>264</v>
      </c>
      <c r="B4114" t="s">
        <v>230</v>
      </c>
      <c r="C4114" t="s">
        <v>427</v>
      </c>
      <c r="D4114" s="1">
        <v>45329</v>
      </c>
      <c r="E4114" t="s">
        <v>608</v>
      </c>
      <c r="F4114">
        <v>-23.76</v>
      </c>
      <c r="G4114" t="s">
        <v>92</v>
      </c>
      <c r="H4114" t="s">
        <v>93</v>
      </c>
      <c r="I4114" t="s">
        <v>94</v>
      </c>
    </row>
    <row r="4115" spans="1:9" x14ac:dyDescent="0.25">
      <c r="A4115" t="s">
        <v>264</v>
      </c>
      <c r="B4115" t="s">
        <v>230</v>
      </c>
      <c r="C4115" t="s">
        <v>427</v>
      </c>
      <c r="D4115" s="1">
        <v>45327</v>
      </c>
      <c r="E4115" t="s">
        <v>422</v>
      </c>
      <c r="F4115">
        <v>105.7</v>
      </c>
      <c r="G4115" t="s">
        <v>70</v>
      </c>
      <c r="H4115" t="s">
        <v>264</v>
      </c>
      <c r="I4115" t="s">
        <v>72</v>
      </c>
    </row>
    <row r="4116" spans="1:9" x14ac:dyDescent="0.25">
      <c r="A4116" t="s">
        <v>264</v>
      </c>
      <c r="B4116" t="s">
        <v>230</v>
      </c>
      <c r="C4116" t="s">
        <v>427</v>
      </c>
      <c r="D4116" s="1">
        <v>45327</v>
      </c>
      <c r="E4116" t="s">
        <v>422</v>
      </c>
      <c r="F4116">
        <v>3.46</v>
      </c>
      <c r="G4116" t="s">
        <v>70</v>
      </c>
      <c r="H4116" t="s">
        <v>264</v>
      </c>
      <c r="I4116" t="s">
        <v>72</v>
      </c>
    </row>
    <row r="4117" spans="1:9" x14ac:dyDescent="0.25">
      <c r="A4117" t="s">
        <v>264</v>
      </c>
      <c r="B4117" t="s">
        <v>230</v>
      </c>
      <c r="C4117" t="s">
        <v>427</v>
      </c>
      <c r="D4117" s="1">
        <v>45327</v>
      </c>
      <c r="E4117" t="s">
        <v>422</v>
      </c>
      <c r="F4117">
        <v>0.28999999999999998</v>
      </c>
      <c r="G4117" t="s">
        <v>70</v>
      </c>
      <c r="H4117" t="s">
        <v>264</v>
      </c>
      <c r="I4117" t="s">
        <v>72</v>
      </c>
    </row>
    <row r="4118" spans="1:9" x14ac:dyDescent="0.25">
      <c r="A4118" t="s">
        <v>264</v>
      </c>
      <c r="B4118" t="s">
        <v>230</v>
      </c>
      <c r="C4118" t="s">
        <v>427</v>
      </c>
      <c r="D4118" s="1">
        <v>45327</v>
      </c>
      <c r="E4118" t="s">
        <v>714</v>
      </c>
      <c r="F4118">
        <v>-5.1100000000000003</v>
      </c>
      <c r="G4118" t="s">
        <v>76</v>
      </c>
      <c r="H4118" t="s">
        <v>87</v>
      </c>
      <c r="I4118" t="s">
        <v>88</v>
      </c>
    </row>
    <row r="4119" spans="1:9" x14ac:dyDescent="0.25">
      <c r="A4119" t="s">
        <v>264</v>
      </c>
      <c r="B4119" t="s">
        <v>230</v>
      </c>
      <c r="C4119" t="s">
        <v>427</v>
      </c>
      <c r="D4119" s="1">
        <v>45327</v>
      </c>
      <c r="E4119" t="s">
        <v>531</v>
      </c>
      <c r="F4119">
        <v>-0.33</v>
      </c>
      <c r="G4119" t="s">
        <v>89</v>
      </c>
      <c r="H4119" t="s">
        <v>90</v>
      </c>
      <c r="I4119" t="s">
        <v>128</v>
      </c>
    </row>
    <row r="4120" spans="1:9" x14ac:dyDescent="0.25">
      <c r="A4120" t="s">
        <v>264</v>
      </c>
      <c r="B4120" t="s">
        <v>230</v>
      </c>
      <c r="C4120" t="s">
        <v>427</v>
      </c>
      <c r="D4120" s="1">
        <v>45329</v>
      </c>
      <c r="E4120" t="s">
        <v>578</v>
      </c>
      <c r="F4120">
        <v>6.5</v>
      </c>
      <c r="G4120" t="s">
        <v>68</v>
      </c>
      <c r="H4120" t="s">
        <v>69</v>
      </c>
      <c r="I4120" t="s">
        <v>69</v>
      </c>
    </row>
    <row r="4121" spans="1:9" x14ac:dyDescent="0.25">
      <c r="A4121" t="s">
        <v>264</v>
      </c>
      <c r="B4121" t="s">
        <v>230</v>
      </c>
      <c r="C4121" t="s">
        <v>427</v>
      </c>
      <c r="D4121" s="1">
        <v>45329</v>
      </c>
      <c r="E4121" t="s">
        <v>578</v>
      </c>
      <c r="F4121">
        <v>-47</v>
      </c>
      <c r="G4121" t="s">
        <v>68</v>
      </c>
      <c r="H4121" t="s">
        <v>69</v>
      </c>
      <c r="I4121" t="s">
        <v>69</v>
      </c>
    </row>
    <row r="4122" spans="1:9" x14ac:dyDescent="0.25">
      <c r="A4122" t="s">
        <v>264</v>
      </c>
      <c r="B4122" t="s">
        <v>230</v>
      </c>
      <c r="C4122" t="s">
        <v>427</v>
      </c>
      <c r="D4122" s="1">
        <v>45329</v>
      </c>
      <c r="E4122" t="s">
        <v>509</v>
      </c>
      <c r="F4122">
        <v>-12.06</v>
      </c>
      <c r="G4122" t="s">
        <v>92</v>
      </c>
      <c r="H4122" t="s">
        <v>510</v>
      </c>
      <c r="I4122" t="s">
        <v>510</v>
      </c>
    </row>
    <row r="4123" spans="1:9" x14ac:dyDescent="0.25">
      <c r="A4123" t="s">
        <v>264</v>
      </c>
      <c r="B4123" t="s">
        <v>230</v>
      </c>
      <c r="C4123" t="s">
        <v>427</v>
      </c>
      <c r="D4123" s="1">
        <v>45327</v>
      </c>
      <c r="E4123" t="s">
        <v>422</v>
      </c>
      <c r="F4123">
        <v>14.79</v>
      </c>
      <c r="G4123" t="s">
        <v>70</v>
      </c>
      <c r="H4123" t="s">
        <v>264</v>
      </c>
      <c r="I4123" t="s">
        <v>72</v>
      </c>
    </row>
    <row r="4124" spans="1:9" x14ac:dyDescent="0.25">
      <c r="A4124" t="s">
        <v>264</v>
      </c>
      <c r="B4124" t="s">
        <v>230</v>
      </c>
      <c r="C4124" t="s">
        <v>427</v>
      </c>
      <c r="D4124" s="1">
        <v>45327</v>
      </c>
      <c r="E4124" t="s">
        <v>422</v>
      </c>
      <c r="F4124">
        <v>58.12</v>
      </c>
      <c r="G4124" t="s">
        <v>70</v>
      </c>
      <c r="H4124" t="s">
        <v>264</v>
      </c>
      <c r="I4124" t="s">
        <v>72</v>
      </c>
    </row>
    <row r="4125" spans="1:9" x14ac:dyDescent="0.25">
      <c r="A4125" t="s">
        <v>264</v>
      </c>
      <c r="B4125" t="s">
        <v>230</v>
      </c>
      <c r="C4125" t="s">
        <v>427</v>
      </c>
      <c r="D4125" s="1">
        <v>45329</v>
      </c>
      <c r="E4125" t="s">
        <v>422</v>
      </c>
      <c r="F4125">
        <v>14.54</v>
      </c>
      <c r="G4125" t="s">
        <v>70</v>
      </c>
      <c r="H4125" t="s">
        <v>264</v>
      </c>
      <c r="I4125" t="s">
        <v>72</v>
      </c>
    </row>
    <row r="4126" spans="1:9" x14ac:dyDescent="0.25">
      <c r="A4126" t="s">
        <v>264</v>
      </c>
      <c r="B4126" t="s">
        <v>230</v>
      </c>
      <c r="C4126" t="s">
        <v>427</v>
      </c>
      <c r="D4126" s="1">
        <v>45329</v>
      </c>
      <c r="E4126" t="s">
        <v>486</v>
      </c>
      <c r="F4126">
        <v>-25.43</v>
      </c>
      <c r="G4126" t="s">
        <v>79</v>
      </c>
      <c r="H4126" t="s">
        <v>512</v>
      </c>
      <c r="I4126" t="s">
        <v>512</v>
      </c>
    </row>
    <row r="4127" spans="1:9" x14ac:dyDescent="0.25">
      <c r="A4127" t="s">
        <v>264</v>
      </c>
      <c r="B4127" t="s">
        <v>230</v>
      </c>
      <c r="C4127" t="s">
        <v>427</v>
      </c>
      <c r="D4127" s="1">
        <v>45334</v>
      </c>
      <c r="E4127" t="s">
        <v>715</v>
      </c>
      <c r="F4127">
        <v>-101.83</v>
      </c>
      <c r="G4127" t="s">
        <v>76</v>
      </c>
      <c r="H4127" t="s">
        <v>82</v>
      </c>
      <c r="I4127" t="s">
        <v>83</v>
      </c>
    </row>
    <row r="4128" spans="1:9" x14ac:dyDescent="0.25">
      <c r="A4128" t="s">
        <v>264</v>
      </c>
      <c r="B4128" t="s">
        <v>230</v>
      </c>
      <c r="C4128" t="s">
        <v>427</v>
      </c>
      <c r="D4128" s="1">
        <v>45330</v>
      </c>
      <c r="E4128" t="s">
        <v>641</v>
      </c>
      <c r="F4128">
        <v>-101.02</v>
      </c>
      <c r="G4128" t="s">
        <v>76</v>
      </c>
      <c r="H4128" t="s">
        <v>82</v>
      </c>
      <c r="I4128" t="s">
        <v>83</v>
      </c>
    </row>
    <row r="4129" spans="1:9" x14ac:dyDescent="0.25">
      <c r="A4129" t="s">
        <v>264</v>
      </c>
      <c r="B4129" t="s">
        <v>230</v>
      </c>
      <c r="C4129" t="s">
        <v>427</v>
      </c>
      <c r="D4129" s="1">
        <v>45330</v>
      </c>
      <c r="E4129" t="s">
        <v>428</v>
      </c>
      <c r="F4129">
        <v>-60.22</v>
      </c>
      <c r="G4129" t="s">
        <v>68</v>
      </c>
      <c r="H4129" t="s">
        <v>69</v>
      </c>
      <c r="I4129" t="s">
        <v>69</v>
      </c>
    </row>
    <row r="4130" spans="1:9" x14ac:dyDescent="0.25">
      <c r="A4130" t="s">
        <v>264</v>
      </c>
      <c r="B4130" t="s">
        <v>230</v>
      </c>
      <c r="C4130" t="s">
        <v>427</v>
      </c>
      <c r="D4130" s="1">
        <v>45330</v>
      </c>
      <c r="E4130" t="s">
        <v>517</v>
      </c>
      <c r="F4130">
        <v>-394.74</v>
      </c>
      <c r="G4130" t="s">
        <v>76</v>
      </c>
      <c r="H4130" t="s">
        <v>82</v>
      </c>
      <c r="I4130" t="s">
        <v>83</v>
      </c>
    </row>
    <row r="4131" spans="1:9" x14ac:dyDescent="0.25">
      <c r="A4131" t="s">
        <v>264</v>
      </c>
      <c r="B4131" t="s">
        <v>230</v>
      </c>
      <c r="C4131" t="s">
        <v>427</v>
      </c>
      <c r="D4131" s="1">
        <v>45330</v>
      </c>
      <c r="E4131" t="s">
        <v>648</v>
      </c>
      <c r="F4131">
        <v>-42.8</v>
      </c>
      <c r="G4131" t="s">
        <v>68</v>
      </c>
      <c r="H4131" t="s">
        <v>69</v>
      </c>
      <c r="I4131" t="s">
        <v>69</v>
      </c>
    </row>
    <row r="4132" spans="1:9" x14ac:dyDescent="0.25">
      <c r="A4132" t="s">
        <v>264</v>
      </c>
      <c r="B4132" t="s">
        <v>230</v>
      </c>
      <c r="C4132" t="s">
        <v>427</v>
      </c>
      <c r="D4132" s="1">
        <v>45329</v>
      </c>
      <c r="E4132" t="s">
        <v>422</v>
      </c>
      <c r="F4132">
        <v>229.94</v>
      </c>
      <c r="G4132" t="s">
        <v>70</v>
      </c>
      <c r="H4132" t="s">
        <v>264</v>
      </c>
      <c r="I4132" t="s">
        <v>72</v>
      </c>
    </row>
    <row r="4133" spans="1:9" x14ac:dyDescent="0.25">
      <c r="A4133" t="s">
        <v>264</v>
      </c>
      <c r="B4133" t="s">
        <v>230</v>
      </c>
      <c r="C4133" t="s">
        <v>427</v>
      </c>
      <c r="D4133" s="1">
        <v>45329</v>
      </c>
      <c r="E4133" t="s">
        <v>422</v>
      </c>
      <c r="F4133">
        <v>2.59</v>
      </c>
      <c r="G4133" t="s">
        <v>70</v>
      </c>
      <c r="H4133" t="s">
        <v>264</v>
      </c>
      <c r="I4133" t="s">
        <v>72</v>
      </c>
    </row>
    <row r="4134" spans="1:9" x14ac:dyDescent="0.25">
      <c r="A4134" t="s">
        <v>264</v>
      </c>
      <c r="B4134" t="s">
        <v>230</v>
      </c>
      <c r="C4134" t="s">
        <v>427</v>
      </c>
      <c r="D4134" s="1">
        <v>45329</v>
      </c>
      <c r="E4134" t="s">
        <v>422</v>
      </c>
      <c r="F4134">
        <v>87.24</v>
      </c>
      <c r="G4134" t="s">
        <v>70</v>
      </c>
      <c r="H4134" t="s">
        <v>264</v>
      </c>
      <c r="I4134" t="s">
        <v>72</v>
      </c>
    </row>
    <row r="4135" spans="1:9" x14ac:dyDescent="0.25">
      <c r="A4135" t="s">
        <v>264</v>
      </c>
      <c r="B4135" t="s">
        <v>230</v>
      </c>
      <c r="C4135" t="s">
        <v>427</v>
      </c>
      <c r="D4135" s="1">
        <v>45331</v>
      </c>
      <c r="E4135" t="s">
        <v>517</v>
      </c>
      <c r="F4135">
        <v>-27.11</v>
      </c>
      <c r="G4135" t="s">
        <v>76</v>
      </c>
      <c r="H4135" t="s">
        <v>82</v>
      </c>
      <c r="I4135" t="s">
        <v>83</v>
      </c>
    </row>
    <row r="4136" spans="1:9" x14ac:dyDescent="0.25">
      <c r="A4136" t="s">
        <v>264</v>
      </c>
      <c r="B4136" t="s">
        <v>230</v>
      </c>
      <c r="C4136" t="s">
        <v>427</v>
      </c>
      <c r="D4136" s="1">
        <v>45330</v>
      </c>
      <c r="E4136" t="s">
        <v>422</v>
      </c>
      <c r="F4136">
        <v>91.62</v>
      </c>
      <c r="G4136" t="s">
        <v>70</v>
      </c>
      <c r="H4136" t="s">
        <v>264</v>
      </c>
      <c r="I4136" t="s">
        <v>72</v>
      </c>
    </row>
    <row r="4137" spans="1:9" x14ac:dyDescent="0.25">
      <c r="A4137" t="s">
        <v>264</v>
      </c>
      <c r="B4137" t="s">
        <v>230</v>
      </c>
      <c r="C4137" t="s">
        <v>427</v>
      </c>
      <c r="D4137" s="1">
        <v>45330</v>
      </c>
      <c r="E4137" t="s">
        <v>422</v>
      </c>
      <c r="F4137">
        <v>8.9600000000000009</v>
      </c>
      <c r="G4137" t="s">
        <v>70</v>
      </c>
      <c r="H4137" t="s">
        <v>264</v>
      </c>
      <c r="I4137" t="s">
        <v>72</v>
      </c>
    </row>
    <row r="4138" spans="1:9" x14ac:dyDescent="0.25">
      <c r="A4138" t="s">
        <v>264</v>
      </c>
      <c r="B4138" t="s">
        <v>230</v>
      </c>
      <c r="C4138" t="s">
        <v>427</v>
      </c>
      <c r="D4138" s="1">
        <v>45334</v>
      </c>
      <c r="E4138" t="s">
        <v>566</v>
      </c>
      <c r="F4138">
        <v>-8.67</v>
      </c>
      <c r="G4138" t="s">
        <v>79</v>
      </c>
      <c r="H4138" t="s">
        <v>80</v>
      </c>
      <c r="I4138" t="s">
        <v>80</v>
      </c>
    </row>
    <row r="4139" spans="1:9" x14ac:dyDescent="0.25">
      <c r="A4139" t="s">
        <v>264</v>
      </c>
      <c r="B4139" t="s">
        <v>230</v>
      </c>
      <c r="C4139" t="s">
        <v>427</v>
      </c>
      <c r="D4139" s="1">
        <v>45334</v>
      </c>
      <c r="E4139" t="s">
        <v>716</v>
      </c>
      <c r="F4139">
        <v>-4405.87</v>
      </c>
      <c r="G4139" t="s">
        <v>84</v>
      </c>
      <c r="H4139" t="s">
        <v>85</v>
      </c>
      <c r="I4139" t="s">
        <v>717</v>
      </c>
    </row>
    <row r="4140" spans="1:9" x14ac:dyDescent="0.25">
      <c r="A4140" t="s">
        <v>264</v>
      </c>
      <c r="B4140" t="s">
        <v>230</v>
      </c>
      <c r="C4140" t="s">
        <v>427</v>
      </c>
      <c r="D4140" s="1">
        <v>45334</v>
      </c>
      <c r="E4140" t="s">
        <v>534</v>
      </c>
      <c r="F4140">
        <v>-137.11000000000001</v>
      </c>
      <c r="G4140" t="s">
        <v>79</v>
      </c>
      <c r="H4140" t="s">
        <v>81</v>
      </c>
      <c r="I4140" t="s">
        <v>81</v>
      </c>
    </row>
    <row r="4141" spans="1:9" x14ac:dyDescent="0.25">
      <c r="A4141" t="s">
        <v>264</v>
      </c>
      <c r="B4141" t="s">
        <v>230</v>
      </c>
      <c r="C4141" t="s">
        <v>427</v>
      </c>
      <c r="D4141" s="1">
        <v>45331</v>
      </c>
      <c r="E4141" t="s">
        <v>422</v>
      </c>
      <c r="F4141">
        <v>583.98</v>
      </c>
      <c r="G4141" t="s">
        <v>70</v>
      </c>
      <c r="H4141" t="s">
        <v>264</v>
      </c>
      <c r="I4141" t="s">
        <v>72</v>
      </c>
    </row>
    <row r="4142" spans="1:9" x14ac:dyDescent="0.25">
      <c r="A4142" t="s">
        <v>264</v>
      </c>
      <c r="B4142" t="s">
        <v>230</v>
      </c>
      <c r="C4142" t="s">
        <v>427</v>
      </c>
      <c r="D4142" s="1">
        <v>45331</v>
      </c>
      <c r="E4142" t="s">
        <v>422</v>
      </c>
      <c r="F4142">
        <v>935.74</v>
      </c>
      <c r="G4142" t="s">
        <v>70</v>
      </c>
      <c r="H4142" t="s">
        <v>264</v>
      </c>
      <c r="I4142" t="s">
        <v>72</v>
      </c>
    </row>
    <row r="4143" spans="1:9" x14ac:dyDescent="0.25">
      <c r="A4143" t="s">
        <v>264</v>
      </c>
      <c r="B4143" t="s">
        <v>230</v>
      </c>
      <c r="C4143" t="s">
        <v>427</v>
      </c>
      <c r="D4143" s="1">
        <v>45334</v>
      </c>
      <c r="E4143" t="s">
        <v>422</v>
      </c>
      <c r="F4143">
        <v>30.03</v>
      </c>
      <c r="G4143" t="s">
        <v>70</v>
      </c>
      <c r="H4143" t="s">
        <v>264</v>
      </c>
      <c r="I4143" t="s">
        <v>72</v>
      </c>
    </row>
    <row r="4144" spans="1:9" x14ac:dyDescent="0.25">
      <c r="A4144" t="s">
        <v>264</v>
      </c>
      <c r="B4144" t="s">
        <v>230</v>
      </c>
      <c r="C4144" t="s">
        <v>427</v>
      </c>
      <c r="D4144" s="1">
        <v>45334</v>
      </c>
      <c r="E4144" t="s">
        <v>575</v>
      </c>
      <c r="F4144">
        <v>-37.47</v>
      </c>
      <c r="G4144" t="s">
        <v>73</v>
      </c>
      <c r="H4144" t="s">
        <v>576</v>
      </c>
      <c r="I4144" t="s">
        <v>576</v>
      </c>
    </row>
    <row r="4145" spans="1:9" x14ac:dyDescent="0.25">
      <c r="A4145" t="s">
        <v>264</v>
      </c>
      <c r="B4145" t="s">
        <v>230</v>
      </c>
      <c r="C4145" t="s">
        <v>427</v>
      </c>
      <c r="D4145" s="1">
        <v>45337</v>
      </c>
      <c r="E4145" t="s">
        <v>718</v>
      </c>
      <c r="F4145">
        <v>-57.94</v>
      </c>
      <c r="G4145" t="s">
        <v>76</v>
      </c>
      <c r="H4145" t="s">
        <v>82</v>
      </c>
      <c r="I4145" t="s">
        <v>83</v>
      </c>
    </row>
    <row r="4146" spans="1:9" x14ac:dyDescent="0.25">
      <c r="A4146" t="s">
        <v>264</v>
      </c>
      <c r="B4146" t="s">
        <v>230</v>
      </c>
      <c r="C4146" t="s">
        <v>427</v>
      </c>
      <c r="D4146" s="1">
        <v>45336</v>
      </c>
      <c r="E4146" t="s">
        <v>719</v>
      </c>
      <c r="F4146">
        <v>-203.91</v>
      </c>
      <c r="G4146" t="s">
        <v>76</v>
      </c>
      <c r="H4146" t="s">
        <v>82</v>
      </c>
      <c r="I4146" t="s">
        <v>83</v>
      </c>
    </row>
    <row r="4147" spans="1:9" x14ac:dyDescent="0.25">
      <c r="A4147" t="s">
        <v>264</v>
      </c>
      <c r="B4147" t="s">
        <v>230</v>
      </c>
      <c r="C4147" t="s">
        <v>427</v>
      </c>
      <c r="D4147" s="1">
        <v>45336</v>
      </c>
      <c r="E4147" t="s">
        <v>720</v>
      </c>
      <c r="F4147">
        <v>-136.69999999999999</v>
      </c>
      <c r="G4147" t="s">
        <v>76</v>
      </c>
      <c r="H4147" t="s">
        <v>82</v>
      </c>
      <c r="I4147" t="s">
        <v>83</v>
      </c>
    </row>
    <row r="4148" spans="1:9" x14ac:dyDescent="0.25">
      <c r="A4148" t="s">
        <v>264</v>
      </c>
      <c r="B4148" t="s">
        <v>230</v>
      </c>
      <c r="C4148" t="s">
        <v>427</v>
      </c>
      <c r="D4148" s="1">
        <v>45336</v>
      </c>
      <c r="E4148" t="s">
        <v>445</v>
      </c>
      <c r="F4148">
        <v>-5.32</v>
      </c>
      <c r="G4148" t="s">
        <v>84</v>
      </c>
      <c r="H4148" t="s">
        <v>85</v>
      </c>
      <c r="I4148" t="s">
        <v>86</v>
      </c>
    </row>
    <row r="4149" spans="1:9" x14ac:dyDescent="0.25">
      <c r="A4149" t="s">
        <v>264</v>
      </c>
      <c r="B4149" t="s">
        <v>230</v>
      </c>
      <c r="C4149" t="s">
        <v>427</v>
      </c>
      <c r="D4149" s="1">
        <v>45336</v>
      </c>
      <c r="E4149" t="s">
        <v>446</v>
      </c>
      <c r="F4149">
        <v>-0.7</v>
      </c>
      <c r="G4149" t="s">
        <v>84</v>
      </c>
      <c r="H4149" t="s">
        <v>85</v>
      </c>
      <c r="I4149" t="s">
        <v>86</v>
      </c>
    </row>
    <row r="4150" spans="1:9" x14ac:dyDescent="0.25">
      <c r="A4150" t="s">
        <v>264</v>
      </c>
      <c r="B4150" t="s">
        <v>230</v>
      </c>
      <c r="C4150" t="s">
        <v>427</v>
      </c>
      <c r="D4150" s="1">
        <v>45336</v>
      </c>
      <c r="E4150" t="s">
        <v>721</v>
      </c>
      <c r="F4150">
        <v>-522</v>
      </c>
      <c r="G4150" t="s">
        <v>76</v>
      </c>
      <c r="H4150" t="s">
        <v>82</v>
      </c>
      <c r="I4150" t="s">
        <v>83</v>
      </c>
    </row>
    <row r="4151" spans="1:9" x14ac:dyDescent="0.25">
      <c r="A4151" t="s">
        <v>264</v>
      </c>
      <c r="B4151" t="s">
        <v>230</v>
      </c>
      <c r="C4151" t="s">
        <v>427</v>
      </c>
      <c r="D4151" s="1">
        <v>45336</v>
      </c>
      <c r="E4151" t="s">
        <v>445</v>
      </c>
      <c r="F4151">
        <v>-6.45</v>
      </c>
      <c r="G4151" t="s">
        <v>84</v>
      </c>
      <c r="H4151" t="s">
        <v>85</v>
      </c>
      <c r="I4151" t="s">
        <v>86</v>
      </c>
    </row>
    <row r="4152" spans="1:9" x14ac:dyDescent="0.25">
      <c r="A4152" t="s">
        <v>264</v>
      </c>
      <c r="B4152" t="s">
        <v>230</v>
      </c>
      <c r="C4152" t="s">
        <v>427</v>
      </c>
      <c r="D4152" s="1">
        <v>45336</v>
      </c>
      <c r="E4152" t="s">
        <v>446</v>
      </c>
      <c r="F4152">
        <v>-1.58</v>
      </c>
      <c r="G4152" t="s">
        <v>84</v>
      </c>
      <c r="H4152" t="s">
        <v>85</v>
      </c>
      <c r="I4152" t="s">
        <v>86</v>
      </c>
    </row>
    <row r="4153" spans="1:9" x14ac:dyDescent="0.25">
      <c r="A4153" t="s">
        <v>264</v>
      </c>
      <c r="B4153" t="s">
        <v>230</v>
      </c>
      <c r="C4153" t="s">
        <v>427</v>
      </c>
      <c r="D4153" s="1">
        <v>45336</v>
      </c>
      <c r="E4153" t="s">
        <v>722</v>
      </c>
      <c r="F4153">
        <v>-932.43</v>
      </c>
      <c r="G4153" t="s">
        <v>76</v>
      </c>
      <c r="H4153" t="s">
        <v>82</v>
      </c>
      <c r="I4153" t="s">
        <v>83</v>
      </c>
    </row>
    <row r="4154" spans="1:9" x14ac:dyDescent="0.25">
      <c r="A4154" t="s">
        <v>264</v>
      </c>
      <c r="B4154" t="s">
        <v>230</v>
      </c>
      <c r="C4154" t="s">
        <v>427</v>
      </c>
      <c r="D4154" s="1">
        <v>45334</v>
      </c>
      <c r="E4154" t="s">
        <v>422</v>
      </c>
      <c r="F4154">
        <v>4.9400000000000004</v>
      </c>
      <c r="G4154" t="s">
        <v>70</v>
      </c>
      <c r="H4154" t="s">
        <v>264</v>
      </c>
      <c r="I4154" t="s">
        <v>72</v>
      </c>
    </row>
    <row r="4155" spans="1:9" x14ac:dyDescent="0.25">
      <c r="A4155" t="s">
        <v>264</v>
      </c>
      <c r="B4155" t="s">
        <v>230</v>
      </c>
      <c r="C4155" t="s">
        <v>427</v>
      </c>
      <c r="D4155" s="1">
        <v>45334</v>
      </c>
      <c r="E4155" t="s">
        <v>422</v>
      </c>
      <c r="F4155">
        <v>202.57</v>
      </c>
      <c r="G4155" t="s">
        <v>70</v>
      </c>
      <c r="H4155" t="s">
        <v>264</v>
      </c>
      <c r="I4155" t="s">
        <v>72</v>
      </c>
    </row>
    <row r="4156" spans="1:9" x14ac:dyDescent="0.25">
      <c r="A4156" t="s">
        <v>264</v>
      </c>
      <c r="B4156" t="s">
        <v>230</v>
      </c>
      <c r="C4156" t="s">
        <v>427</v>
      </c>
      <c r="D4156" s="1">
        <v>45334</v>
      </c>
      <c r="E4156" t="s">
        <v>422</v>
      </c>
      <c r="F4156">
        <v>4129.54</v>
      </c>
      <c r="G4156" t="s">
        <v>70</v>
      </c>
      <c r="H4156" t="s">
        <v>264</v>
      </c>
      <c r="I4156" t="s">
        <v>72</v>
      </c>
    </row>
    <row r="4157" spans="1:9" x14ac:dyDescent="0.25">
      <c r="A4157" t="s">
        <v>264</v>
      </c>
      <c r="B4157" t="s">
        <v>230</v>
      </c>
      <c r="C4157" t="s">
        <v>427</v>
      </c>
      <c r="D4157" s="1">
        <v>45334</v>
      </c>
      <c r="E4157" t="s">
        <v>593</v>
      </c>
      <c r="F4157">
        <v>-13.82</v>
      </c>
      <c r="G4157" t="s">
        <v>68</v>
      </c>
      <c r="H4157" t="s">
        <v>69</v>
      </c>
      <c r="I4157" t="s">
        <v>69</v>
      </c>
    </row>
    <row r="4158" spans="1:9" x14ac:dyDescent="0.25">
      <c r="A4158" t="s">
        <v>264</v>
      </c>
      <c r="B4158" t="s">
        <v>230</v>
      </c>
      <c r="C4158" t="s">
        <v>427</v>
      </c>
      <c r="D4158" s="1">
        <v>45335</v>
      </c>
      <c r="E4158" t="s">
        <v>445</v>
      </c>
      <c r="F4158">
        <v>-2.96</v>
      </c>
      <c r="G4158" t="s">
        <v>84</v>
      </c>
      <c r="H4158" t="s">
        <v>85</v>
      </c>
      <c r="I4158" t="s">
        <v>86</v>
      </c>
    </row>
    <row r="4159" spans="1:9" x14ac:dyDescent="0.25">
      <c r="A4159" t="s">
        <v>264</v>
      </c>
      <c r="B4159" t="s">
        <v>230</v>
      </c>
      <c r="C4159" t="s">
        <v>427</v>
      </c>
      <c r="D4159" s="1">
        <v>45335</v>
      </c>
      <c r="E4159" t="s">
        <v>446</v>
      </c>
      <c r="F4159">
        <v>-4.84</v>
      </c>
      <c r="G4159" t="s">
        <v>84</v>
      </c>
      <c r="H4159" t="s">
        <v>85</v>
      </c>
      <c r="I4159" t="s">
        <v>86</v>
      </c>
    </row>
    <row r="4160" spans="1:9" x14ac:dyDescent="0.25">
      <c r="A4160" t="s">
        <v>264</v>
      </c>
      <c r="B4160" t="s">
        <v>230</v>
      </c>
      <c r="C4160" t="s">
        <v>427</v>
      </c>
      <c r="D4160" s="1">
        <v>45335</v>
      </c>
      <c r="E4160" t="s">
        <v>723</v>
      </c>
      <c r="F4160">
        <v>-113.01</v>
      </c>
      <c r="G4160" t="s">
        <v>76</v>
      </c>
      <c r="H4160" t="s">
        <v>82</v>
      </c>
      <c r="I4160" t="s">
        <v>83</v>
      </c>
    </row>
    <row r="4161" spans="1:9" x14ac:dyDescent="0.25">
      <c r="A4161" t="s">
        <v>264</v>
      </c>
      <c r="B4161" t="s">
        <v>230</v>
      </c>
      <c r="C4161" t="s">
        <v>427</v>
      </c>
      <c r="D4161" s="1">
        <v>45334</v>
      </c>
      <c r="E4161" t="s">
        <v>724</v>
      </c>
      <c r="F4161">
        <v>-90.58</v>
      </c>
      <c r="G4161" t="s">
        <v>76</v>
      </c>
      <c r="H4161" t="s">
        <v>77</v>
      </c>
      <c r="I4161" t="s">
        <v>78</v>
      </c>
    </row>
    <row r="4162" spans="1:9" x14ac:dyDescent="0.25">
      <c r="A4162" t="s">
        <v>264</v>
      </c>
      <c r="B4162" t="s">
        <v>230</v>
      </c>
      <c r="C4162" t="s">
        <v>427</v>
      </c>
      <c r="D4162" s="1">
        <v>45336</v>
      </c>
      <c r="E4162" t="s">
        <v>428</v>
      </c>
      <c r="F4162">
        <v>-113.82</v>
      </c>
      <c r="G4162" t="s">
        <v>68</v>
      </c>
      <c r="H4162" t="s">
        <v>69</v>
      </c>
      <c r="I4162" t="s">
        <v>69</v>
      </c>
    </row>
    <row r="4163" spans="1:9" x14ac:dyDescent="0.25">
      <c r="A4163" t="s">
        <v>264</v>
      </c>
      <c r="B4163" t="s">
        <v>230</v>
      </c>
      <c r="C4163" t="s">
        <v>427</v>
      </c>
      <c r="D4163" s="1">
        <v>45341</v>
      </c>
      <c r="E4163" t="s">
        <v>725</v>
      </c>
      <c r="F4163">
        <v>-488.52</v>
      </c>
      <c r="G4163" t="s">
        <v>76</v>
      </c>
      <c r="H4163" t="s">
        <v>82</v>
      </c>
      <c r="I4163" t="s">
        <v>83</v>
      </c>
    </row>
    <row r="4164" spans="1:9" x14ac:dyDescent="0.25">
      <c r="A4164" t="s">
        <v>264</v>
      </c>
      <c r="B4164" t="s">
        <v>230</v>
      </c>
      <c r="C4164" t="s">
        <v>427</v>
      </c>
      <c r="D4164" s="1">
        <v>45338</v>
      </c>
      <c r="E4164" t="s">
        <v>480</v>
      </c>
      <c r="F4164">
        <v>-27.92</v>
      </c>
      <c r="G4164" t="s">
        <v>76</v>
      </c>
      <c r="H4164" t="s">
        <v>82</v>
      </c>
      <c r="I4164" t="s">
        <v>83</v>
      </c>
    </row>
    <row r="4165" spans="1:9" x14ac:dyDescent="0.25">
      <c r="A4165" t="s">
        <v>264</v>
      </c>
      <c r="B4165" t="s">
        <v>230</v>
      </c>
      <c r="C4165" t="s">
        <v>427</v>
      </c>
      <c r="D4165" s="1">
        <v>45338</v>
      </c>
      <c r="E4165" t="s">
        <v>726</v>
      </c>
      <c r="F4165">
        <v>-73.48</v>
      </c>
      <c r="G4165" t="s">
        <v>76</v>
      </c>
      <c r="H4165" t="s">
        <v>87</v>
      </c>
      <c r="I4165" t="s">
        <v>88</v>
      </c>
    </row>
    <row r="4166" spans="1:9" x14ac:dyDescent="0.25">
      <c r="A4166" t="s">
        <v>264</v>
      </c>
      <c r="B4166" t="s">
        <v>230</v>
      </c>
      <c r="C4166" t="s">
        <v>427</v>
      </c>
      <c r="D4166" s="1">
        <v>45338</v>
      </c>
      <c r="E4166" t="s">
        <v>445</v>
      </c>
      <c r="F4166">
        <v>-0.14000000000000001</v>
      </c>
      <c r="G4166" t="s">
        <v>84</v>
      </c>
      <c r="H4166" t="s">
        <v>85</v>
      </c>
      <c r="I4166" t="s">
        <v>86</v>
      </c>
    </row>
    <row r="4167" spans="1:9" x14ac:dyDescent="0.25">
      <c r="A4167" t="s">
        <v>264</v>
      </c>
      <c r="B4167" t="s">
        <v>230</v>
      </c>
      <c r="C4167" t="s">
        <v>427</v>
      </c>
      <c r="D4167" s="1">
        <v>45338</v>
      </c>
      <c r="E4167" t="s">
        <v>446</v>
      </c>
      <c r="F4167">
        <v>-3.38</v>
      </c>
      <c r="G4167" t="s">
        <v>84</v>
      </c>
      <c r="H4167" t="s">
        <v>85</v>
      </c>
      <c r="I4167" t="s">
        <v>86</v>
      </c>
    </row>
    <row r="4168" spans="1:9" x14ac:dyDescent="0.25">
      <c r="A4168" t="s">
        <v>264</v>
      </c>
      <c r="B4168" t="s">
        <v>230</v>
      </c>
      <c r="C4168" t="s">
        <v>427</v>
      </c>
      <c r="D4168" s="1">
        <v>45338</v>
      </c>
      <c r="E4168" t="s">
        <v>727</v>
      </c>
      <c r="F4168">
        <v>-34.71</v>
      </c>
      <c r="G4168" t="s">
        <v>76</v>
      </c>
      <c r="H4168" t="s">
        <v>82</v>
      </c>
      <c r="I4168" t="s">
        <v>83</v>
      </c>
    </row>
    <row r="4169" spans="1:9" x14ac:dyDescent="0.25">
      <c r="A4169" t="s">
        <v>264</v>
      </c>
      <c r="B4169" t="s">
        <v>230</v>
      </c>
      <c r="C4169" t="s">
        <v>427</v>
      </c>
      <c r="D4169" s="1">
        <v>45336</v>
      </c>
      <c r="E4169" t="s">
        <v>422</v>
      </c>
      <c r="F4169">
        <v>4.22</v>
      </c>
      <c r="G4169" t="s">
        <v>70</v>
      </c>
      <c r="H4169" t="s">
        <v>264</v>
      </c>
      <c r="I4169" t="s">
        <v>72</v>
      </c>
    </row>
    <row r="4170" spans="1:9" x14ac:dyDescent="0.25">
      <c r="A4170" t="s">
        <v>264</v>
      </c>
      <c r="B4170" t="s">
        <v>230</v>
      </c>
      <c r="C4170" t="s">
        <v>427</v>
      </c>
      <c r="D4170" s="1">
        <v>45336</v>
      </c>
      <c r="E4170" t="s">
        <v>422</v>
      </c>
      <c r="F4170">
        <v>126.76</v>
      </c>
      <c r="G4170" t="s">
        <v>70</v>
      </c>
      <c r="H4170" t="s">
        <v>264</v>
      </c>
      <c r="I4170" t="s">
        <v>72</v>
      </c>
    </row>
    <row r="4171" spans="1:9" x14ac:dyDescent="0.25">
      <c r="A4171" t="s">
        <v>264</v>
      </c>
      <c r="B4171" t="s">
        <v>230</v>
      </c>
      <c r="C4171" t="s">
        <v>427</v>
      </c>
      <c r="D4171" s="1">
        <v>45338</v>
      </c>
      <c r="E4171" t="s">
        <v>422</v>
      </c>
      <c r="F4171">
        <v>819.81</v>
      </c>
      <c r="G4171" t="s">
        <v>70</v>
      </c>
      <c r="H4171" t="s">
        <v>264</v>
      </c>
      <c r="I4171" t="s">
        <v>72</v>
      </c>
    </row>
    <row r="4172" spans="1:9" x14ac:dyDescent="0.25">
      <c r="A4172" t="s">
        <v>264</v>
      </c>
      <c r="B4172" t="s">
        <v>230</v>
      </c>
      <c r="C4172" t="s">
        <v>427</v>
      </c>
      <c r="D4172" s="1">
        <v>45337</v>
      </c>
      <c r="E4172" t="s">
        <v>422</v>
      </c>
      <c r="F4172">
        <v>76.81</v>
      </c>
      <c r="G4172" t="s">
        <v>70</v>
      </c>
      <c r="H4172" t="s">
        <v>264</v>
      </c>
      <c r="I4172" t="s">
        <v>72</v>
      </c>
    </row>
    <row r="4173" spans="1:9" x14ac:dyDescent="0.25">
      <c r="A4173" t="s">
        <v>264</v>
      </c>
      <c r="B4173" t="s">
        <v>230</v>
      </c>
      <c r="C4173" t="s">
        <v>427</v>
      </c>
      <c r="D4173" s="1">
        <v>45341</v>
      </c>
      <c r="E4173" t="s">
        <v>685</v>
      </c>
      <c r="F4173">
        <v>78.17</v>
      </c>
      <c r="G4173" t="s">
        <v>76</v>
      </c>
      <c r="H4173" t="s">
        <v>77</v>
      </c>
      <c r="I4173" t="s">
        <v>435</v>
      </c>
    </row>
    <row r="4174" spans="1:9" x14ac:dyDescent="0.25">
      <c r="A4174" t="s">
        <v>264</v>
      </c>
      <c r="B4174" t="s">
        <v>230</v>
      </c>
      <c r="C4174" t="s">
        <v>427</v>
      </c>
      <c r="D4174" s="1">
        <v>45341</v>
      </c>
      <c r="E4174" t="s">
        <v>422</v>
      </c>
      <c r="F4174">
        <v>44.9</v>
      </c>
      <c r="G4174" t="s">
        <v>70</v>
      </c>
      <c r="H4174" t="s">
        <v>264</v>
      </c>
      <c r="I4174" t="s">
        <v>72</v>
      </c>
    </row>
    <row r="4175" spans="1:9" x14ac:dyDescent="0.25">
      <c r="A4175" t="s">
        <v>264</v>
      </c>
      <c r="B4175" t="s">
        <v>230</v>
      </c>
      <c r="C4175" t="s">
        <v>427</v>
      </c>
      <c r="D4175" s="1">
        <v>45341</v>
      </c>
      <c r="E4175" t="s">
        <v>659</v>
      </c>
      <c r="F4175">
        <v>-6.76</v>
      </c>
      <c r="G4175" t="s">
        <v>68</v>
      </c>
      <c r="H4175" t="s">
        <v>69</v>
      </c>
      <c r="I4175" t="s">
        <v>69</v>
      </c>
    </row>
    <row r="4176" spans="1:9" x14ac:dyDescent="0.25">
      <c r="A4176" t="s">
        <v>264</v>
      </c>
      <c r="B4176" t="s">
        <v>230</v>
      </c>
      <c r="C4176" t="s">
        <v>427</v>
      </c>
      <c r="D4176" s="1">
        <v>45341</v>
      </c>
      <c r="E4176" t="s">
        <v>554</v>
      </c>
      <c r="F4176">
        <v>-79.12</v>
      </c>
      <c r="G4176" t="s">
        <v>68</v>
      </c>
      <c r="H4176" t="s">
        <v>69</v>
      </c>
      <c r="I4176" t="s">
        <v>69</v>
      </c>
    </row>
    <row r="4177" spans="1:9" x14ac:dyDescent="0.25">
      <c r="A4177" t="s">
        <v>264</v>
      </c>
      <c r="B4177" t="s">
        <v>230</v>
      </c>
      <c r="C4177" t="s">
        <v>427</v>
      </c>
      <c r="D4177" s="1">
        <v>45341</v>
      </c>
      <c r="E4177" t="s">
        <v>728</v>
      </c>
      <c r="F4177">
        <v>-3.07</v>
      </c>
      <c r="G4177" t="s">
        <v>76</v>
      </c>
      <c r="H4177" t="s">
        <v>87</v>
      </c>
      <c r="I4177" t="s">
        <v>88</v>
      </c>
    </row>
    <row r="4178" spans="1:9" x14ac:dyDescent="0.25">
      <c r="A4178" t="s">
        <v>264</v>
      </c>
      <c r="B4178" t="s">
        <v>230</v>
      </c>
      <c r="C4178" t="s">
        <v>427</v>
      </c>
      <c r="D4178" s="1">
        <v>45341</v>
      </c>
      <c r="E4178" t="s">
        <v>729</v>
      </c>
      <c r="F4178">
        <v>-1.17</v>
      </c>
      <c r="G4178" t="s">
        <v>76</v>
      </c>
      <c r="H4178" t="s">
        <v>87</v>
      </c>
      <c r="I4178" t="s">
        <v>88</v>
      </c>
    </row>
    <row r="4179" spans="1:9" x14ac:dyDescent="0.25">
      <c r="A4179" t="s">
        <v>264</v>
      </c>
      <c r="B4179" t="s">
        <v>230</v>
      </c>
      <c r="C4179" t="s">
        <v>427</v>
      </c>
      <c r="D4179" s="1">
        <v>45341</v>
      </c>
      <c r="E4179" t="s">
        <v>544</v>
      </c>
      <c r="F4179">
        <v>-19.12</v>
      </c>
      <c r="G4179" t="s">
        <v>68</v>
      </c>
      <c r="H4179" t="s">
        <v>69</v>
      </c>
      <c r="I4179" t="s">
        <v>69</v>
      </c>
    </row>
    <row r="4180" spans="1:9" x14ac:dyDescent="0.25">
      <c r="A4180" t="s">
        <v>264</v>
      </c>
      <c r="B4180" t="s">
        <v>230</v>
      </c>
      <c r="C4180" t="s">
        <v>427</v>
      </c>
      <c r="D4180" s="1">
        <v>45341</v>
      </c>
      <c r="E4180" t="s">
        <v>546</v>
      </c>
      <c r="F4180">
        <v>-48</v>
      </c>
      <c r="G4180" t="s">
        <v>68</v>
      </c>
      <c r="H4180" t="s">
        <v>69</v>
      </c>
      <c r="I4180" t="s">
        <v>69</v>
      </c>
    </row>
    <row r="4181" spans="1:9" x14ac:dyDescent="0.25">
      <c r="A4181" t="s">
        <v>264</v>
      </c>
      <c r="B4181" t="s">
        <v>230</v>
      </c>
      <c r="C4181" t="s">
        <v>427</v>
      </c>
      <c r="D4181" s="1">
        <v>45341</v>
      </c>
      <c r="E4181" t="s">
        <v>422</v>
      </c>
      <c r="F4181">
        <v>3.47</v>
      </c>
      <c r="G4181" t="s">
        <v>70</v>
      </c>
      <c r="H4181" t="s">
        <v>264</v>
      </c>
      <c r="I4181" t="s">
        <v>72</v>
      </c>
    </row>
    <row r="4182" spans="1:9" x14ac:dyDescent="0.25">
      <c r="A4182" t="s">
        <v>264</v>
      </c>
      <c r="B4182" t="s">
        <v>230</v>
      </c>
      <c r="C4182" t="s">
        <v>427</v>
      </c>
      <c r="D4182" s="1">
        <v>45341</v>
      </c>
      <c r="E4182" t="s">
        <v>422</v>
      </c>
      <c r="F4182">
        <v>7.2</v>
      </c>
      <c r="G4182" t="s">
        <v>70</v>
      </c>
      <c r="H4182" t="s">
        <v>264</v>
      </c>
      <c r="I4182" t="s">
        <v>72</v>
      </c>
    </row>
    <row r="4183" spans="1:9" x14ac:dyDescent="0.25">
      <c r="A4183" t="s">
        <v>264</v>
      </c>
      <c r="B4183" t="s">
        <v>230</v>
      </c>
      <c r="C4183" t="s">
        <v>427</v>
      </c>
      <c r="D4183" s="1">
        <v>45341</v>
      </c>
      <c r="E4183" t="s">
        <v>422</v>
      </c>
      <c r="F4183">
        <v>25.36</v>
      </c>
      <c r="G4183" t="s">
        <v>70</v>
      </c>
      <c r="H4183" t="s">
        <v>264</v>
      </c>
      <c r="I4183" t="s">
        <v>72</v>
      </c>
    </row>
    <row r="4184" spans="1:9" x14ac:dyDescent="0.25">
      <c r="A4184" t="s">
        <v>264</v>
      </c>
      <c r="B4184" t="s">
        <v>230</v>
      </c>
      <c r="C4184" t="s">
        <v>427</v>
      </c>
      <c r="D4184" s="1">
        <v>45341</v>
      </c>
      <c r="E4184" t="s">
        <v>443</v>
      </c>
      <c r="F4184">
        <v>-7.94</v>
      </c>
      <c r="G4184" t="s">
        <v>79</v>
      </c>
      <c r="H4184" t="s">
        <v>96</v>
      </c>
      <c r="I4184" t="s">
        <v>96</v>
      </c>
    </row>
    <row r="4185" spans="1:9" x14ac:dyDescent="0.25">
      <c r="A4185" t="s">
        <v>264</v>
      </c>
      <c r="B4185" t="s">
        <v>230</v>
      </c>
      <c r="C4185" t="s">
        <v>427</v>
      </c>
      <c r="D4185" s="1">
        <v>45341</v>
      </c>
      <c r="E4185" t="s">
        <v>730</v>
      </c>
      <c r="F4185">
        <v>-12.73</v>
      </c>
      <c r="G4185" t="s">
        <v>68</v>
      </c>
      <c r="H4185" t="s">
        <v>69</v>
      </c>
      <c r="I4185" t="s">
        <v>69</v>
      </c>
    </row>
    <row r="4186" spans="1:9" x14ac:dyDescent="0.25">
      <c r="A4186" t="s">
        <v>264</v>
      </c>
      <c r="B4186" t="s">
        <v>230</v>
      </c>
      <c r="C4186" t="s">
        <v>427</v>
      </c>
      <c r="D4186" s="1">
        <v>45341</v>
      </c>
      <c r="E4186" t="s">
        <v>731</v>
      </c>
      <c r="F4186">
        <v>-18.46</v>
      </c>
      <c r="G4186" t="s">
        <v>68</v>
      </c>
      <c r="H4186" t="s">
        <v>69</v>
      </c>
      <c r="I4186" t="s">
        <v>69</v>
      </c>
    </row>
    <row r="4187" spans="1:9" x14ac:dyDescent="0.25">
      <c r="A4187" t="s">
        <v>264</v>
      </c>
      <c r="B4187" t="s">
        <v>230</v>
      </c>
      <c r="C4187" t="s">
        <v>427</v>
      </c>
      <c r="D4187" s="1">
        <v>45343</v>
      </c>
      <c r="E4187" t="s">
        <v>486</v>
      </c>
      <c r="F4187">
        <v>-175.37</v>
      </c>
      <c r="G4187" t="s">
        <v>350</v>
      </c>
      <c r="H4187" t="s">
        <v>487</v>
      </c>
      <c r="I4187" t="s">
        <v>487</v>
      </c>
    </row>
    <row r="4188" spans="1:9" x14ac:dyDescent="0.25">
      <c r="A4188" t="s">
        <v>264</v>
      </c>
      <c r="B4188" t="s">
        <v>230</v>
      </c>
      <c r="C4188" t="s">
        <v>427</v>
      </c>
      <c r="D4188" s="1">
        <v>45343</v>
      </c>
      <c r="E4188" t="s">
        <v>486</v>
      </c>
      <c r="F4188">
        <v>-120.85</v>
      </c>
      <c r="G4188" t="s">
        <v>73</v>
      </c>
      <c r="H4188" t="s">
        <v>487</v>
      </c>
      <c r="I4188" t="s">
        <v>487</v>
      </c>
    </row>
    <row r="4189" spans="1:9" x14ac:dyDescent="0.25">
      <c r="A4189" t="s">
        <v>264</v>
      </c>
      <c r="B4189" t="s">
        <v>230</v>
      </c>
      <c r="C4189" t="s">
        <v>427</v>
      </c>
      <c r="D4189" s="1">
        <v>45343</v>
      </c>
      <c r="E4189" t="s">
        <v>486</v>
      </c>
      <c r="F4189">
        <v>-75.349999999999994</v>
      </c>
      <c r="G4189" t="s">
        <v>79</v>
      </c>
      <c r="H4189" t="s">
        <v>95</v>
      </c>
      <c r="I4189" t="s">
        <v>95</v>
      </c>
    </row>
    <row r="4190" spans="1:9" x14ac:dyDescent="0.25">
      <c r="A4190" t="s">
        <v>264</v>
      </c>
      <c r="B4190" t="s">
        <v>230</v>
      </c>
      <c r="C4190" t="s">
        <v>427</v>
      </c>
      <c r="D4190" s="1">
        <v>45343</v>
      </c>
      <c r="E4190" t="s">
        <v>578</v>
      </c>
      <c r="F4190">
        <v>-16.579999999999998</v>
      </c>
      <c r="G4190" t="s">
        <v>68</v>
      </c>
      <c r="H4190" t="s">
        <v>69</v>
      </c>
      <c r="I4190" t="s">
        <v>69</v>
      </c>
    </row>
    <row r="4191" spans="1:9" x14ac:dyDescent="0.25">
      <c r="A4191" t="s">
        <v>264</v>
      </c>
      <c r="B4191" t="s">
        <v>230</v>
      </c>
      <c r="C4191" t="s">
        <v>427</v>
      </c>
      <c r="D4191" s="1">
        <v>45342</v>
      </c>
      <c r="E4191" t="s">
        <v>422</v>
      </c>
      <c r="F4191">
        <v>356.36</v>
      </c>
      <c r="G4191" t="s">
        <v>70</v>
      </c>
      <c r="H4191" t="s">
        <v>264</v>
      </c>
      <c r="I4191" t="s">
        <v>72</v>
      </c>
    </row>
    <row r="4192" spans="1:9" x14ac:dyDescent="0.25">
      <c r="A4192" t="s">
        <v>264</v>
      </c>
      <c r="B4192" t="s">
        <v>230</v>
      </c>
      <c r="C4192" t="s">
        <v>427</v>
      </c>
      <c r="D4192" s="1">
        <v>45344</v>
      </c>
      <c r="E4192" t="s">
        <v>732</v>
      </c>
      <c r="F4192">
        <v>-6.67</v>
      </c>
      <c r="G4192" t="s">
        <v>68</v>
      </c>
      <c r="H4192" t="s">
        <v>69</v>
      </c>
      <c r="I4192" t="s">
        <v>69</v>
      </c>
    </row>
    <row r="4193" spans="1:9" x14ac:dyDescent="0.25">
      <c r="A4193" t="s">
        <v>264</v>
      </c>
      <c r="B4193" t="s">
        <v>230</v>
      </c>
      <c r="C4193" t="s">
        <v>427</v>
      </c>
      <c r="D4193" s="1">
        <v>45343</v>
      </c>
      <c r="E4193" t="s">
        <v>422</v>
      </c>
      <c r="F4193">
        <v>8.99</v>
      </c>
      <c r="G4193" t="s">
        <v>70</v>
      </c>
      <c r="H4193" t="s">
        <v>264</v>
      </c>
      <c r="I4193" t="s">
        <v>72</v>
      </c>
    </row>
    <row r="4194" spans="1:9" x14ac:dyDescent="0.25">
      <c r="A4194" t="s">
        <v>264</v>
      </c>
      <c r="B4194" t="s">
        <v>230</v>
      </c>
      <c r="C4194" t="s">
        <v>427</v>
      </c>
      <c r="D4194" s="1">
        <v>45345</v>
      </c>
      <c r="E4194" t="s">
        <v>546</v>
      </c>
      <c r="F4194">
        <v>-5.24</v>
      </c>
      <c r="G4194" t="s">
        <v>68</v>
      </c>
      <c r="H4194" t="s">
        <v>69</v>
      </c>
      <c r="I4194" t="s">
        <v>69</v>
      </c>
    </row>
    <row r="4195" spans="1:9" x14ac:dyDescent="0.25">
      <c r="A4195" t="s">
        <v>264</v>
      </c>
      <c r="B4195" t="s">
        <v>230</v>
      </c>
      <c r="C4195" t="s">
        <v>427</v>
      </c>
      <c r="D4195" s="1">
        <v>45344</v>
      </c>
      <c r="E4195" t="s">
        <v>422</v>
      </c>
      <c r="F4195">
        <v>0.26</v>
      </c>
      <c r="G4195" t="s">
        <v>70</v>
      </c>
      <c r="H4195" t="s">
        <v>264</v>
      </c>
      <c r="I4195" t="s">
        <v>72</v>
      </c>
    </row>
    <row r="4196" spans="1:9" x14ac:dyDescent="0.25">
      <c r="A4196" t="s">
        <v>264</v>
      </c>
      <c r="B4196" t="s">
        <v>230</v>
      </c>
      <c r="C4196" t="s">
        <v>427</v>
      </c>
      <c r="D4196" s="1">
        <v>45344</v>
      </c>
      <c r="E4196" t="s">
        <v>422</v>
      </c>
      <c r="F4196">
        <v>46.25</v>
      </c>
      <c r="G4196" t="s">
        <v>70</v>
      </c>
      <c r="H4196" t="s">
        <v>264</v>
      </c>
      <c r="I4196" t="s">
        <v>72</v>
      </c>
    </row>
    <row r="4197" spans="1:9" x14ac:dyDescent="0.25">
      <c r="A4197" t="s">
        <v>264</v>
      </c>
      <c r="B4197" t="s">
        <v>230</v>
      </c>
      <c r="C4197" t="s">
        <v>427</v>
      </c>
      <c r="D4197" s="1">
        <v>45344</v>
      </c>
      <c r="E4197" t="s">
        <v>733</v>
      </c>
      <c r="F4197">
        <v>-43.53</v>
      </c>
      <c r="G4197" t="s">
        <v>467</v>
      </c>
      <c r="H4197" t="s">
        <v>468</v>
      </c>
      <c r="I4197" t="s">
        <v>467</v>
      </c>
    </row>
    <row r="4198" spans="1:9" x14ac:dyDescent="0.25">
      <c r="A4198" t="s">
        <v>264</v>
      </c>
      <c r="B4198" t="s">
        <v>230</v>
      </c>
      <c r="C4198" t="s">
        <v>427</v>
      </c>
      <c r="D4198" s="1">
        <v>45348</v>
      </c>
      <c r="E4198" t="s">
        <v>445</v>
      </c>
      <c r="F4198">
        <v>-0.02</v>
      </c>
      <c r="G4198" t="s">
        <v>84</v>
      </c>
      <c r="H4198" t="s">
        <v>85</v>
      </c>
      <c r="I4198" t="s">
        <v>86</v>
      </c>
    </row>
    <row r="4199" spans="1:9" x14ac:dyDescent="0.25">
      <c r="A4199" t="s">
        <v>264</v>
      </c>
      <c r="B4199" t="s">
        <v>230</v>
      </c>
      <c r="C4199" t="s">
        <v>427</v>
      </c>
      <c r="D4199" s="1">
        <v>45348</v>
      </c>
      <c r="E4199" t="s">
        <v>446</v>
      </c>
      <c r="F4199">
        <v>-0.09</v>
      </c>
      <c r="G4199" t="s">
        <v>84</v>
      </c>
      <c r="H4199" t="s">
        <v>85</v>
      </c>
      <c r="I4199" t="s">
        <v>86</v>
      </c>
    </row>
    <row r="4200" spans="1:9" x14ac:dyDescent="0.25">
      <c r="A4200" t="s">
        <v>264</v>
      </c>
      <c r="B4200" t="s">
        <v>230</v>
      </c>
      <c r="C4200" t="s">
        <v>427</v>
      </c>
      <c r="D4200" s="1">
        <v>45348</v>
      </c>
      <c r="E4200" t="s">
        <v>734</v>
      </c>
      <c r="F4200">
        <v>-9.2899999999999991</v>
      </c>
      <c r="G4200" t="s">
        <v>92</v>
      </c>
      <c r="H4200" t="s">
        <v>104</v>
      </c>
      <c r="I4200" t="s">
        <v>104</v>
      </c>
    </row>
    <row r="4201" spans="1:9" x14ac:dyDescent="0.25">
      <c r="A4201" t="s">
        <v>264</v>
      </c>
      <c r="B4201" t="s">
        <v>230</v>
      </c>
      <c r="C4201" t="s">
        <v>427</v>
      </c>
      <c r="D4201" s="1">
        <v>45348</v>
      </c>
      <c r="E4201" t="s">
        <v>422</v>
      </c>
      <c r="F4201">
        <v>14.77</v>
      </c>
      <c r="G4201" t="s">
        <v>70</v>
      </c>
      <c r="H4201" t="s">
        <v>264</v>
      </c>
      <c r="I4201" t="s">
        <v>72</v>
      </c>
    </row>
    <row r="4202" spans="1:9" x14ac:dyDescent="0.25">
      <c r="A4202" t="s">
        <v>264</v>
      </c>
      <c r="B4202" t="s">
        <v>230</v>
      </c>
      <c r="C4202" t="s">
        <v>427</v>
      </c>
      <c r="D4202" s="1">
        <v>45348</v>
      </c>
      <c r="E4202" t="s">
        <v>422</v>
      </c>
      <c r="F4202">
        <v>48.03</v>
      </c>
      <c r="G4202" t="s">
        <v>70</v>
      </c>
      <c r="H4202" t="s">
        <v>264</v>
      </c>
      <c r="I4202" t="s">
        <v>72</v>
      </c>
    </row>
    <row r="4203" spans="1:9" x14ac:dyDescent="0.25">
      <c r="A4203" t="s">
        <v>264</v>
      </c>
      <c r="B4203" t="s">
        <v>230</v>
      </c>
      <c r="C4203" t="s">
        <v>427</v>
      </c>
      <c r="D4203" s="1">
        <v>45348</v>
      </c>
      <c r="E4203" t="s">
        <v>428</v>
      </c>
      <c r="F4203">
        <v>-202.51</v>
      </c>
      <c r="G4203" t="s">
        <v>68</v>
      </c>
      <c r="H4203" t="s">
        <v>69</v>
      </c>
      <c r="I4203" t="s">
        <v>69</v>
      </c>
    </row>
    <row r="4204" spans="1:9" x14ac:dyDescent="0.25">
      <c r="A4204" t="s">
        <v>264</v>
      </c>
      <c r="B4204" t="s">
        <v>230</v>
      </c>
      <c r="C4204" t="s">
        <v>427</v>
      </c>
      <c r="D4204" s="1">
        <v>45348</v>
      </c>
      <c r="E4204" t="s">
        <v>648</v>
      </c>
      <c r="F4204">
        <v>-24.99</v>
      </c>
      <c r="G4204" t="s">
        <v>68</v>
      </c>
      <c r="H4204" t="s">
        <v>69</v>
      </c>
      <c r="I4204" t="s">
        <v>69</v>
      </c>
    </row>
    <row r="4205" spans="1:9" x14ac:dyDescent="0.25">
      <c r="A4205" t="s">
        <v>264</v>
      </c>
      <c r="B4205" t="s">
        <v>230</v>
      </c>
      <c r="C4205" t="s">
        <v>427</v>
      </c>
      <c r="D4205" s="1">
        <v>45348</v>
      </c>
      <c r="E4205" t="s">
        <v>735</v>
      </c>
      <c r="F4205">
        <v>-9.6999999999999993</v>
      </c>
      <c r="G4205" t="s">
        <v>467</v>
      </c>
      <c r="H4205" t="s">
        <v>468</v>
      </c>
      <c r="I4205" t="s">
        <v>467</v>
      </c>
    </row>
    <row r="4206" spans="1:9" x14ac:dyDescent="0.25">
      <c r="A4206" t="s">
        <v>264</v>
      </c>
      <c r="B4206" t="s">
        <v>230</v>
      </c>
      <c r="C4206" t="s">
        <v>427</v>
      </c>
      <c r="D4206" s="1">
        <v>45348</v>
      </c>
      <c r="E4206" t="s">
        <v>645</v>
      </c>
      <c r="F4206">
        <v>-2.44</v>
      </c>
      <c r="G4206" t="s">
        <v>212</v>
      </c>
      <c r="H4206" t="s">
        <v>213</v>
      </c>
      <c r="I4206" t="s">
        <v>214</v>
      </c>
    </row>
    <row r="4207" spans="1:9" x14ac:dyDescent="0.25">
      <c r="A4207" t="s">
        <v>264</v>
      </c>
      <c r="B4207" t="s">
        <v>230</v>
      </c>
      <c r="C4207" t="s">
        <v>427</v>
      </c>
      <c r="D4207" s="1">
        <v>45350</v>
      </c>
      <c r="E4207" t="s">
        <v>736</v>
      </c>
      <c r="F4207">
        <v>-129.13999999999999</v>
      </c>
      <c r="G4207" t="s">
        <v>79</v>
      </c>
      <c r="H4207" t="s">
        <v>96</v>
      </c>
      <c r="I4207" t="s">
        <v>96</v>
      </c>
    </row>
    <row r="4208" spans="1:9" x14ac:dyDescent="0.25">
      <c r="A4208" t="s">
        <v>264</v>
      </c>
      <c r="B4208" t="s">
        <v>230</v>
      </c>
      <c r="C4208" t="s">
        <v>427</v>
      </c>
      <c r="D4208" s="1">
        <v>45349</v>
      </c>
      <c r="E4208" t="s">
        <v>422</v>
      </c>
      <c r="F4208">
        <v>0.18</v>
      </c>
      <c r="G4208" t="s">
        <v>70</v>
      </c>
      <c r="H4208" t="s">
        <v>264</v>
      </c>
      <c r="I4208" t="s">
        <v>72</v>
      </c>
    </row>
    <row r="4209" spans="1:9" x14ac:dyDescent="0.25">
      <c r="A4209" t="s">
        <v>264</v>
      </c>
      <c r="B4209" t="s">
        <v>230</v>
      </c>
      <c r="C4209" t="s">
        <v>427</v>
      </c>
      <c r="D4209" s="1">
        <v>45349</v>
      </c>
      <c r="E4209" t="s">
        <v>422</v>
      </c>
      <c r="F4209">
        <v>7.08</v>
      </c>
      <c r="G4209" t="s">
        <v>70</v>
      </c>
      <c r="H4209" t="s">
        <v>264</v>
      </c>
      <c r="I4209" t="s">
        <v>72</v>
      </c>
    </row>
    <row r="4210" spans="1:9" x14ac:dyDescent="0.25">
      <c r="A4210" t="s">
        <v>264</v>
      </c>
      <c r="B4210" t="s">
        <v>230</v>
      </c>
      <c r="C4210" t="s">
        <v>427</v>
      </c>
      <c r="D4210" s="1">
        <v>45351</v>
      </c>
      <c r="E4210" t="s">
        <v>490</v>
      </c>
      <c r="F4210">
        <v>-1708.21</v>
      </c>
      <c r="G4210" t="s">
        <v>350</v>
      </c>
      <c r="H4210" t="s">
        <v>352</v>
      </c>
      <c r="I4210" t="s">
        <v>352</v>
      </c>
    </row>
    <row r="4211" spans="1:9" x14ac:dyDescent="0.25">
      <c r="A4211" t="s">
        <v>264</v>
      </c>
      <c r="B4211" t="s">
        <v>230</v>
      </c>
      <c r="C4211" t="s">
        <v>427</v>
      </c>
      <c r="D4211" s="1">
        <v>45351</v>
      </c>
      <c r="E4211" t="s">
        <v>491</v>
      </c>
      <c r="F4211">
        <v>-22.45</v>
      </c>
      <c r="G4211" t="s">
        <v>79</v>
      </c>
      <c r="H4211" t="s">
        <v>352</v>
      </c>
      <c r="I4211" t="s">
        <v>352</v>
      </c>
    </row>
    <row r="4212" spans="1:9" x14ac:dyDescent="0.25">
      <c r="A4212" t="s">
        <v>264</v>
      </c>
      <c r="B4212" t="s">
        <v>230</v>
      </c>
      <c r="C4212" t="s">
        <v>427</v>
      </c>
      <c r="D4212" s="1">
        <v>45350</v>
      </c>
      <c r="E4212" t="s">
        <v>422</v>
      </c>
      <c r="F4212">
        <v>16.71</v>
      </c>
      <c r="G4212" t="s">
        <v>70</v>
      </c>
      <c r="H4212" t="s">
        <v>264</v>
      </c>
      <c r="I4212" t="s">
        <v>72</v>
      </c>
    </row>
    <row r="4213" spans="1:9" x14ac:dyDescent="0.25">
      <c r="A4213" t="s">
        <v>264</v>
      </c>
      <c r="B4213" t="s">
        <v>230</v>
      </c>
      <c r="C4213" t="s">
        <v>427</v>
      </c>
      <c r="D4213" s="1">
        <v>45352</v>
      </c>
      <c r="E4213" t="s">
        <v>546</v>
      </c>
      <c r="F4213">
        <v>-10.32</v>
      </c>
      <c r="G4213" t="s">
        <v>68</v>
      </c>
      <c r="H4213" t="s">
        <v>69</v>
      </c>
      <c r="I4213" t="s">
        <v>69</v>
      </c>
    </row>
    <row r="4214" spans="1:9" x14ac:dyDescent="0.25">
      <c r="A4214" t="s">
        <v>264</v>
      </c>
      <c r="B4214" t="s">
        <v>230</v>
      </c>
      <c r="C4214" t="s">
        <v>427</v>
      </c>
      <c r="D4214" s="1">
        <v>45351</v>
      </c>
      <c r="E4214" t="s">
        <v>422</v>
      </c>
      <c r="F4214">
        <v>4.6100000000000003</v>
      </c>
      <c r="G4214" t="s">
        <v>70</v>
      </c>
      <c r="H4214" t="s">
        <v>264</v>
      </c>
      <c r="I4214" t="s">
        <v>72</v>
      </c>
    </row>
    <row r="4215" spans="1:9" x14ac:dyDescent="0.25">
      <c r="A4215" t="s">
        <v>264</v>
      </c>
      <c r="B4215" t="s">
        <v>230</v>
      </c>
      <c r="C4215" t="s">
        <v>427</v>
      </c>
      <c r="D4215" s="1">
        <v>45351</v>
      </c>
      <c r="E4215" t="s">
        <v>737</v>
      </c>
      <c r="F4215">
        <v>-5.42</v>
      </c>
      <c r="G4215" t="s">
        <v>76</v>
      </c>
      <c r="H4215" t="s">
        <v>87</v>
      </c>
      <c r="I4215" t="s">
        <v>88</v>
      </c>
    </row>
    <row r="4216" spans="1:9" x14ac:dyDescent="0.25">
      <c r="A4216" t="s">
        <v>264</v>
      </c>
      <c r="B4216" t="s">
        <v>230</v>
      </c>
      <c r="C4216" t="s">
        <v>427</v>
      </c>
      <c r="D4216" s="1">
        <v>45355</v>
      </c>
      <c r="E4216" t="s">
        <v>422</v>
      </c>
      <c r="F4216">
        <v>16.71</v>
      </c>
      <c r="G4216" t="s">
        <v>70</v>
      </c>
      <c r="H4216" t="s">
        <v>264</v>
      </c>
      <c r="I4216" t="s">
        <v>72</v>
      </c>
    </row>
    <row r="4217" spans="1:9" x14ac:dyDescent="0.25">
      <c r="A4217" t="s">
        <v>264</v>
      </c>
      <c r="B4217" t="s">
        <v>230</v>
      </c>
      <c r="C4217" t="s">
        <v>427</v>
      </c>
      <c r="D4217" s="1">
        <v>45355</v>
      </c>
      <c r="E4217" t="s">
        <v>422</v>
      </c>
      <c r="F4217">
        <v>67.709999999999994</v>
      </c>
      <c r="G4217" t="s">
        <v>70</v>
      </c>
      <c r="H4217" t="s">
        <v>264</v>
      </c>
      <c r="I4217" t="s">
        <v>72</v>
      </c>
    </row>
    <row r="4218" spans="1:9" x14ac:dyDescent="0.25">
      <c r="A4218" t="s">
        <v>264</v>
      </c>
      <c r="B4218" t="s">
        <v>230</v>
      </c>
      <c r="C4218" t="s">
        <v>427</v>
      </c>
      <c r="D4218" s="1">
        <v>45355</v>
      </c>
      <c r="E4218" t="s">
        <v>433</v>
      </c>
      <c r="F4218">
        <v>-26.06</v>
      </c>
      <c r="G4218" t="s">
        <v>68</v>
      </c>
      <c r="H4218" t="s">
        <v>69</v>
      </c>
      <c r="I4218" t="s">
        <v>69</v>
      </c>
    </row>
    <row r="4219" spans="1:9" x14ac:dyDescent="0.25">
      <c r="A4219" t="s">
        <v>264</v>
      </c>
      <c r="B4219" t="s">
        <v>230</v>
      </c>
      <c r="C4219" t="s">
        <v>427</v>
      </c>
      <c r="D4219" s="1">
        <v>45355</v>
      </c>
      <c r="E4219" t="s">
        <v>443</v>
      </c>
      <c r="F4219">
        <v>-13.05</v>
      </c>
      <c r="G4219" t="s">
        <v>79</v>
      </c>
      <c r="H4219" t="s">
        <v>96</v>
      </c>
      <c r="I4219" t="s">
        <v>96</v>
      </c>
    </row>
    <row r="4220" spans="1:9" x14ac:dyDescent="0.25">
      <c r="A4220" t="s">
        <v>264</v>
      </c>
      <c r="B4220" t="s">
        <v>230</v>
      </c>
      <c r="C4220" t="s">
        <v>427</v>
      </c>
      <c r="D4220" s="1">
        <v>45355</v>
      </c>
      <c r="E4220" t="s">
        <v>608</v>
      </c>
      <c r="F4220">
        <v>-7.28</v>
      </c>
      <c r="G4220" t="s">
        <v>92</v>
      </c>
      <c r="H4220" t="s">
        <v>93</v>
      </c>
      <c r="I4220" t="s">
        <v>94</v>
      </c>
    </row>
    <row r="4221" spans="1:9" x14ac:dyDescent="0.25">
      <c r="A4221" t="s">
        <v>264</v>
      </c>
      <c r="B4221" t="s">
        <v>230</v>
      </c>
      <c r="C4221" t="s">
        <v>427</v>
      </c>
      <c r="D4221" s="1">
        <v>45355</v>
      </c>
      <c r="E4221" t="s">
        <v>732</v>
      </c>
      <c r="F4221">
        <v>-8.82</v>
      </c>
      <c r="G4221" t="s">
        <v>68</v>
      </c>
      <c r="H4221" t="s">
        <v>69</v>
      </c>
      <c r="I4221" t="s">
        <v>69</v>
      </c>
    </row>
    <row r="4222" spans="1:9" x14ac:dyDescent="0.25">
      <c r="A4222" t="s">
        <v>264</v>
      </c>
      <c r="B4222" t="s">
        <v>230</v>
      </c>
      <c r="C4222" t="s">
        <v>427</v>
      </c>
      <c r="D4222" s="1">
        <v>45355</v>
      </c>
      <c r="E4222" t="s">
        <v>439</v>
      </c>
      <c r="F4222">
        <v>-5.91</v>
      </c>
      <c r="G4222" t="s">
        <v>79</v>
      </c>
      <c r="H4222" t="s">
        <v>96</v>
      </c>
      <c r="I4222" t="s">
        <v>96</v>
      </c>
    </row>
    <row r="4223" spans="1:9" x14ac:dyDescent="0.25">
      <c r="A4223" t="s">
        <v>264</v>
      </c>
      <c r="B4223" t="s">
        <v>230</v>
      </c>
      <c r="C4223" t="s">
        <v>427</v>
      </c>
      <c r="D4223" s="1">
        <v>45355</v>
      </c>
      <c r="E4223" t="s">
        <v>444</v>
      </c>
      <c r="F4223">
        <v>-8.9600000000000009</v>
      </c>
      <c r="G4223" t="s">
        <v>68</v>
      </c>
      <c r="H4223" t="s">
        <v>69</v>
      </c>
      <c r="I4223" t="s">
        <v>69</v>
      </c>
    </row>
    <row r="4224" spans="1:9" x14ac:dyDescent="0.25">
      <c r="A4224" t="s">
        <v>264</v>
      </c>
      <c r="B4224" t="s">
        <v>230</v>
      </c>
      <c r="C4224" t="s">
        <v>427</v>
      </c>
      <c r="D4224" s="1">
        <v>45355</v>
      </c>
      <c r="E4224" t="s">
        <v>738</v>
      </c>
      <c r="F4224">
        <v>-9.4700000000000006</v>
      </c>
      <c r="G4224" t="s">
        <v>68</v>
      </c>
      <c r="H4224" t="s">
        <v>69</v>
      </c>
      <c r="I4224" t="s">
        <v>69</v>
      </c>
    </row>
    <row r="4225" spans="1:9" x14ac:dyDescent="0.25">
      <c r="A4225" t="s">
        <v>264</v>
      </c>
      <c r="B4225" t="s">
        <v>230</v>
      </c>
      <c r="C4225" t="s">
        <v>427</v>
      </c>
      <c r="D4225" s="1">
        <v>45355</v>
      </c>
      <c r="E4225" t="s">
        <v>739</v>
      </c>
      <c r="F4225">
        <v>-3.44</v>
      </c>
      <c r="G4225" t="s">
        <v>68</v>
      </c>
      <c r="H4225" t="s">
        <v>69</v>
      </c>
      <c r="I4225" t="s">
        <v>69</v>
      </c>
    </row>
    <row r="4226" spans="1:9" x14ac:dyDescent="0.25">
      <c r="A4226" t="s">
        <v>264</v>
      </c>
      <c r="B4226" t="s">
        <v>230</v>
      </c>
      <c r="C4226" t="s">
        <v>427</v>
      </c>
      <c r="D4226" s="1">
        <v>45356</v>
      </c>
      <c r="E4226" t="s">
        <v>608</v>
      </c>
      <c r="F4226">
        <v>-14.39</v>
      </c>
      <c r="G4226" t="s">
        <v>92</v>
      </c>
      <c r="H4226" t="s">
        <v>93</v>
      </c>
      <c r="I4226" t="s">
        <v>94</v>
      </c>
    </row>
    <row r="4227" spans="1:9" x14ac:dyDescent="0.25">
      <c r="A4227" t="s">
        <v>264</v>
      </c>
      <c r="B4227" t="s">
        <v>230</v>
      </c>
      <c r="C4227" t="s">
        <v>427</v>
      </c>
      <c r="D4227" s="1">
        <v>45355</v>
      </c>
      <c r="E4227" t="s">
        <v>422</v>
      </c>
      <c r="F4227">
        <v>68.150000000000006</v>
      </c>
      <c r="G4227" t="s">
        <v>70</v>
      </c>
      <c r="H4227" t="s">
        <v>264</v>
      </c>
      <c r="I4227" t="s">
        <v>72</v>
      </c>
    </row>
    <row r="4228" spans="1:9" x14ac:dyDescent="0.25">
      <c r="A4228" t="s">
        <v>264</v>
      </c>
      <c r="B4228" t="s">
        <v>230</v>
      </c>
      <c r="C4228" t="s">
        <v>427</v>
      </c>
      <c r="D4228" s="1">
        <v>45355</v>
      </c>
      <c r="E4228" t="s">
        <v>428</v>
      </c>
      <c r="F4228">
        <v>-21.96</v>
      </c>
      <c r="G4228" t="s">
        <v>68</v>
      </c>
      <c r="H4228" t="s">
        <v>69</v>
      </c>
      <c r="I4228" t="s">
        <v>69</v>
      </c>
    </row>
    <row r="4229" spans="1:9" x14ac:dyDescent="0.25">
      <c r="A4229" t="s">
        <v>264</v>
      </c>
      <c r="B4229" t="s">
        <v>230</v>
      </c>
      <c r="C4229" t="s">
        <v>427</v>
      </c>
      <c r="D4229" s="1">
        <v>45355</v>
      </c>
      <c r="E4229" t="s">
        <v>424</v>
      </c>
      <c r="F4229">
        <v>-54.33</v>
      </c>
      <c r="G4229" t="s">
        <v>68</v>
      </c>
      <c r="H4229" t="s">
        <v>69</v>
      </c>
      <c r="I4229" t="s">
        <v>69</v>
      </c>
    </row>
    <row r="4230" spans="1:9" x14ac:dyDescent="0.25">
      <c r="A4230" t="s">
        <v>264</v>
      </c>
      <c r="B4230" t="s">
        <v>230</v>
      </c>
      <c r="C4230" t="s">
        <v>427</v>
      </c>
      <c r="D4230" s="1">
        <v>45355</v>
      </c>
      <c r="E4230" t="s">
        <v>422</v>
      </c>
      <c r="F4230">
        <v>0.99</v>
      </c>
      <c r="G4230" t="s">
        <v>70</v>
      </c>
      <c r="H4230" t="s">
        <v>264</v>
      </c>
      <c r="I4230" t="s">
        <v>72</v>
      </c>
    </row>
    <row r="4231" spans="1:9" x14ac:dyDescent="0.25">
      <c r="A4231" t="s">
        <v>264</v>
      </c>
      <c r="B4231" t="s">
        <v>230</v>
      </c>
      <c r="C4231" t="s">
        <v>427</v>
      </c>
      <c r="D4231" s="1">
        <v>45358</v>
      </c>
      <c r="E4231" t="s">
        <v>509</v>
      </c>
      <c r="F4231">
        <v>-12.3</v>
      </c>
      <c r="G4231" t="s">
        <v>92</v>
      </c>
      <c r="H4231" t="s">
        <v>510</v>
      </c>
      <c r="I4231" t="s">
        <v>510</v>
      </c>
    </row>
    <row r="4232" spans="1:9" x14ac:dyDescent="0.25">
      <c r="A4232" t="s">
        <v>264</v>
      </c>
      <c r="B4232" t="s">
        <v>230</v>
      </c>
      <c r="C4232" t="s">
        <v>427</v>
      </c>
      <c r="D4232" s="1">
        <v>45356</v>
      </c>
      <c r="E4232" t="s">
        <v>422</v>
      </c>
      <c r="F4232">
        <v>16.63</v>
      </c>
      <c r="G4232" t="s">
        <v>70</v>
      </c>
      <c r="H4232" t="s">
        <v>264</v>
      </c>
      <c r="I4232" t="s">
        <v>72</v>
      </c>
    </row>
    <row r="4233" spans="1:9" x14ac:dyDescent="0.25">
      <c r="A4233" t="s">
        <v>264</v>
      </c>
      <c r="B4233" t="s">
        <v>230</v>
      </c>
      <c r="C4233" t="s">
        <v>427</v>
      </c>
      <c r="D4233" s="1">
        <v>45359</v>
      </c>
      <c r="E4233" t="s">
        <v>591</v>
      </c>
      <c r="F4233">
        <v>-30.96</v>
      </c>
      <c r="G4233" t="s">
        <v>212</v>
      </c>
      <c r="H4233" t="s">
        <v>213</v>
      </c>
      <c r="I4233" t="s">
        <v>559</v>
      </c>
    </row>
    <row r="4234" spans="1:9" x14ac:dyDescent="0.25">
      <c r="A4234" t="s">
        <v>264</v>
      </c>
      <c r="B4234" t="s">
        <v>230</v>
      </c>
      <c r="C4234" t="s">
        <v>427</v>
      </c>
      <c r="D4234" s="1">
        <v>45358</v>
      </c>
      <c r="E4234" t="s">
        <v>422</v>
      </c>
      <c r="F4234">
        <v>125.33</v>
      </c>
      <c r="G4234" t="s">
        <v>70</v>
      </c>
      <c r="H4234" t="s">
        <v>264</v>
      </c>
      <c r="I4234" t="s">
        <v>72</v>
      </c>
    </row>
    <row r="4235" spans="1:9" x14ac:dyDescent="0.25">
      <c r="A4235" t="s">
        <v>264</v>
      </c>
      <c r="B4235" t="s">
        <v>230</v>
      </c>
      <c r="C4235" t="s">
        <v>427</v>
      </c>
      <c r="D4235" s="1">
        <v>45358</v>
      </c>
      <c r="E4235" t="s">
        <v>566</v>
      </c>
      <c r="F4235">
        <v>-163.22999999999999</v>
      </c>
      <c r="G4235" t="s">
        <v>79</v>
      </c>
      <c r="H4235" t="s">
        <v>80</v>
      </c>
      <c r="I4235" t="s">
        <v>80</v>
      </c>
    </row>
    <row r="4236" spans="1:9" x14ac:dyDescent="0.25">
      <c r="A4236" t="s">
        <v>264</v>
      </c>
      <c r="B4236" t="s">
        <v>230</v>
      </c>
      <c r="C4236" t="s">
        <v>427</v>
      </c>
      <c r="D4236" s="1">
        <v>45358</v>
      </c>
      <c r="E4236" t="s">
        <v>486</v>
      </c>
      <c r="F4236">
        <v>-41.03</v>
      </c>
      <c r="G4236" t="s">
        <v>79</v>
      </c>
      <c r="H4236" t="s">
        <v>512</v>
      </c>
      <c r="I4236" t="s">
        <v>512</v>
      </c>
    </row>
    <row r="4237" spans="1:9" x14ac:dyDescent="0.25">
      <c r="A4237" t="s">
        <v>264</v>
      </c>
      <c r="B4237" t="s">
        <v>230</v>
      </c>
      <c r="C4237" t="s">
        <v>427</v>
      </c>
      <c r="D4237" s="1">
        <v>45358</v>
      </c>
      <c r="E4237" t="s">
        <v>688</v>
      </c>
      <c r="F4237">
        <v>-47.3</v>
      </c>
      <c r="G4237" t="s">
        <v>89</v>
      </c>
      <c r="H4237" t="s">
        <v>90</v>
      </c>
      <c r="I4237" t="s">
        <v>98</v>
      </c>
    </row>
    <row r="4238" spans="1:9" x14ac:dyDescent="0.25">
      <c r="A4238" t="s">
        <v>264</v>
      </c>
      <c r="B4238" t="s">
        <v>230</v>
      </c>
      <c r="C4238" t="s">
        <v>427</v>
      </c>
      <c r="D4238" s="1">
        <v>45357</v>
      </c>
      <c r="E4238" t="s">
        <v>422</v>
      </c>
      <c r="F4238">
        <v>61.29</v>
      </c>
      <c r="G4238" t="s">
        <v>70</v>
      </c>
      <c r="H4238" t="s">
        <v>264</v>
      </c>
      <c r="I4238" t="s">
        <v>72</v>
      </c>
    </row>
    <row r="4239" spans="1:9" x14ac:dyDescent="0.25">
      <c r="A4239" t="s">
        <v>264</v>
      </c>
      <c r="B4239" t="s">
        <v>230</v>
      </c>
      <c r="C4239" t="s">
        <v>427</v>
      </c>
      <c r="D4239" s="1">
        <v>45359</v>
      </c>
      <c r="E4239" t="s">
        <v>428</v>
      </c>
      <c r="F4239">
        <v>-115.23</v>
      </c>
      <c r="G4239" t="s">
        <v>68</v>
      </c>
      <c r="H4239" t="s">
        <v>69</v>
      </c>
      <c r="I4239" t="s">
        <v>69</v>
      </c>
    </row>
    <row r="4240" spans="1:9" x14ac:dyDescent="0.25">
      <c r="A4240" t="s">
        <v>264</v>
      </c>
      <c r="B4240" t="s">
        <v>230</v>
      </c>
      <c r="C4240" t="s">
        <v>427</v>
      </c>
      <c r="D4240" s="1">
        <v>45359</v>
      </c>
      <c r="E4240" t="s">
        <v>579</v>
      </c>
      <c r="F4240">
        <v>-16.98</v>
      </c>
      <c r="G4240" t="s">
        <v>76</v>
      </c>
      <c r="H4240" t="s">
        <v>87</v>
      </c>
      <c r="I4240" t="s">
        <v>88</v>
      </c>
    </row>
    <row r="4241" spans="1:9" x14ac:dyDescent="0.25">
      <c r="A4241" t="s">
        <v>264</v>
      </c>
      <c r="B4241" t="s">
        <v>230</v>
      </c>
      <c r="C4241" t="s">
        <v>427</v>
      </c>
      <c r="D4241" s="1">
        <v>45358</v>
      </c>
      <c r="E4241" t="s">
        <v>422</v>
      </c>
      <c r="F4241">
        <v>143.94</v>
      </c>
      <c r="G4241" t="s">
        <v>70</v>
      </c>
      <c r="H4241" t="s">
        <v>264</v>
      </c>
      <c r="I4241" t="s">
        <v>72</v>
      </c>
    </row>
    <row r="4242" spans="1:9" x14ac:dyDescent="0.25">
      <c r="A4242" t="s">
        <v>264</v>
      </c>
      <c r="B4242" t="s">
        <v>230</v>
      </c>
      <c r="C4242" t="s">
        <v>427</v>
      </c>
      <c r="D4242" s="1">
        <v>45362</v>
      </c>
      <c r="E4242" t="s">
        <v>740</v>
      </c>
      <c r="F4242">
        <v>-10.27</v>
      </c>
      <c r="G4242" t="s">
        <v>68</v>
      </c>
      <c r="H4242" t="s">
        <v>69</v>
      </c>
      <c r="I4242" t="s">
        <v>69</v>
      </c>
    </row>
    <row r="4243" spans="1:9" x14ac:dyDescent="0.25">
      <c r="A4243" t="s">
        <v>264</v>
      </c>
      <c r="B4243" t="s">
        <v>230</v>
      </c>
      <c r="C4243" t="s">
        <v>427</v>
      </c>
      <c r="D4243" s="1">
        <v>45362</v>
      </c>
      <c r="E4243" t="s">
        <v>422</v>
      </c>
      <c r="F4243">
        <v>6.25</v>
      </c>
      <c r="G4243" t="s">
        <v>70</v>
      </c>
      <c r="H4243" t="s">
        <v>264</v>
      </c>
      <c r="I4243" t="s">
        <v>72</v>
      </c>
    </row>
    <row r="4244" spans="1:9" x14ac:dyDescent="0.25">
      <c r="A4244" t="s">
        <v>264</v>
      </c>
      <c r="B4244" t="s">
        <v>230</v>
      </c>
      <c r="C4244" t="s">
        <v>427</v>
      </c>
      <c r="D4244" s="1">
        <v>45362</v>
      </c>
      <c r="E4244" t="s">
        <v>578</v>
      </c>
      <c r="F4244">
        <v>-34.659999999999997</v>
      </c>
      <c r="G4244" t="s">
        <v>68</v>
      </c>
      <c r="H4244" t="s">
        <v>69</v>
      </c>
      <c r="I4244" t="s">
        <v>69</v>
      </c>
    </row>
    <row r="4245" spans="1:9" x14ac:dyDescent="0.25">
      <c r="A4245" t="s">
        <v>264</v>
      </c>
      <c r="B4245" t="s">
        <v>230</v>
      </c>
      <c r="C4245" t="s">
        <v>427</v>
      </c>
      <c r="D4245" s="1">
        <v>45362</v>
      </c>
      <c r="E4245" t="s">
        <v>741</v>
      </c>
      <c r="F4245">
        <v>-7.57</v>
      </c>
      <c r="G4245" t="s">
        <v>76</v>
      </c>
      <c r="H4245" t="s">
        <v>87</v>
      </c>
      <c r="I4245" t="s">
        <v>88</v>
      </c>
    </row>
    <row r="4246" spans="1:9" x14ac:dyDescent="0.25">
      <c r="A4246" t="s">
        <v>264</v>
      </c>
      <c r="B4246" t="s">
        <v>230</v>
      </c>
      <c r="C4246" t="s">
        <v>427</v>
      </c>
      <c r="D4246" s="1">
        <v>45362</v>
      </c>
      <c r="E4246" t="s">
        <v>422</v>
      </c>
      <c r="F4246">
        <v>94.28</v>
      </c>
      <c r="G4246" t="s">
        <v>70</v>
      </c>
      <c r="H4246" t="s">
        <v>264</v>
      </c>
      <c r="I4246" t="s">
        <v>72</v>
      </c>
    </row>
    <row r="4247" spans="1:9" x14ac:dyDescent="0.25">
      <c r="A4247" t="s">
        <v>264</v>
      </c>
      <c r="B4247" t="s">
        <v>230</v>
      </c>
      <c r="C4247" t="s">
        <v>427</v>
      </c>
      <c r="D4247" s="1">
        <v>45362</v>
      </c>
      <c r="E4247" t="s">
        <v>575</v>
      </c>
      <c r="F4247">
        <v>-50.27</v>
      </c>
      <c r="G4247" t="s">
        <v>73</v>
      </c>
      <c r="H4247" t="s">
        <v>576</v>
      </c>
      <c r="I4247" t="s">
        <v>576</v>
      </c>
    </row>
    <row r="4248" spans="1:9" x14ac:dyDescent="0.25">
      <c r="A4248" t="s">
        <v>264</v>
      </c>
      <c r="B4248" t="s">
        <v>230</v>
      </c>
      <c r="C4248" t="s">
        <v>427</v>
      </c>
      <c r="D4248" s="1">
        <v>45364</v>
      </c>
      <c r="E4248" t="s">
        <v>534</v>
      </c>
      <c r="F4248">
        <v>-258.5</v>
      </c>
      <c r="G4248" t="s">
        <v>79</v>
      </c>
      <c r="H4248" t="s">
        <v>81</v>
      </c>
      <c r="I4248" t="s">
        <v>81</v>
      </c>
    </row>
    <row r="4249" spans="1:9" x14ac:dyDescent="0.25">
      <c r="A4249" t="s">
        <v>264</v>
      </c>
      <c r="B4249" t="s">
        <v>230</v>
      </c>
      <c r="C4249" t="s">
        <v>427</v>
      </c>
      <c r="D4249" s="1">
        <v>45364</v>
      </c>
      <c r="E4249" t="s">
        <v>742</v>
      </c>
      <c r="F4249">
        <v>-13.4</v>
      </c>
      <c r="G4249" t="s">
        <v>68</v>
      </c>
      <c r="H4249" t="s">
        <v>69</v>
      </c>
      <c r="I4249" t="s">
        <v>69</v>
      </c>
    </row>
    <row r="4250" spans="1:9" x14ac:dyDescent="0.25">
      <c r="A4250" t="s">
        <v>264</v>
      </c>
      <c r="B4250" t="s">
        <v>230</v>
      </c>
      <c r="C4250" t="s">
        <v>427</v>
      </c>
      <c r="D4250" s="1">
        <v>45364</v>
      </c>
      <c r="E4250" t="s">
        <v>422</v>
      </c>
      <c r="F4250">
        <v>107.99</v>
      </c>
      <c r="G4250" t="s">
        <v>70</v>
      </c>
      <c r="H4250" t="s">
        <v>264</v>
      </c>
      <c r="I4250" t="s">
        <v>72</v>
      </c>
    </row>
    <row r="4251" spans="1:9" x14ac:dyDescent="0.25">
      <c r="A4251" t="s">
        <v>264</v>
      </c>
      <c r="B4251" t="s">
        <v>230</v>
      </c>
      <c r="C4251" t="s">
        <v>427</v>
      </c>
      <c r="D4251" s="1">
        <v>45369</v>
      </c>
      <c r="E4251" t="s">
        <v>480</v>
      </c>
      <c r="F4251">
        <v>-43.75</v>
      </c>
      <c r="G4251" t="s">
        <v>76</v>
      </c>
      <c r="H4251" t="s">
        <v>82</v>
      </c>
      <c r="I4251" t="s">
        <v>83</v>
      </c>
    </row>
    <row r="4252" spans="1:9" x14ac:dyDescent="0.25">
      <c r="A4252" t="s">
        <v>264</v>
      </c>
      <c r="B4252" t="s">
        <v>230</v>
      </c>
      <c r="C4252" t="s">
        <v>427</v>
      </c>
      <c r="D4252" s="1">
        <v>45366</v>
      </c>
      <c r="E4252" t="s">
        <v>422</v>
      </c>
      <c r="F4252">
        <v>143.87</v>
      </c>
      <c r="G4252" t="s">
        <v>70</v>
      </c>
      <c r="H4252" t="s">
        <v>264</v>
      </c>
      <c r="I4252" t="s">
        <v>72</v>
      </c>
    </row>
    <row r="4253" spans="1:9" x14ac:dyDescent="0.25">
      <c r="A4253" t="s">
        <v>264</v>
      </c>
      <c r="B4253" t="s">
        <v>230</v>
      </c>
      <c r="C4253" t="s">
        <v>427</v>
      </c>
      <c r="D4253" s="1">
        <v>45366</v>
      </c>
      <c r="E4253" t="s">
        <v>428</v>
      </c>
      <c r="F4253">
        <v>-14.09</v>
      </c>
      <c r="G4253" t="s">
        <v>68</v>
      </c>
      <c r="H4253" t="s">
        <v>69</v>
      </c>
      <c r="I4253" t="s">
        <v>69</v>
      </c>
    </row>
    <row r="4254" spans="1:9" x14ac:dyDescent="0.25">
      <c r="A4254" t="s">
        <v>264</v>
      </c>
      <c r="B4254" t="s">
        <v>230</v>
      </c>
      <c r="C4254" t="s">
        <v>427</v>
      </c>
      <c r="D4254" s="1">
        <v>45366</v>
      </c>
      <c r="E4254" t="s">
        <v>743</v>
      </c>
      <c r="F4254">
        <v>-9.75</v>
      </c>
      <c r="G4254" t="s">
        <v>79</v>
      </c>
      <c r="H4254" t="s">
        <v>96</v>
      </c>
      <c r="I4254" t="s">
        <v>96</v>
      </c>
    </row>
    <row r="4255" spans="1:9" x14ac:dyDescent="0.25">
      <c r="A4255" t="s">
        <v>264</v>
      </c>
      <c r="B4255" t="s">
        <v>230</v>
      </c>
      <c r="C4255" t="s">
        <v>427</v>
      </c>
      <c r="D4255" s="1">
        <v>45365</v>
      </c>
      <c r="E4255" t="s">
        <v>422</v>
      </c>
      <c r="F4255">
        <v>185.83</v>
      </c>
      <c r="G4255" t="s">
        <v>70</v>
      </c>
      <c r="H4255" t="s">
        <v>264</v>
      </c>
      <c r="I4255" t="s">
        <v>72</v>
      </c>
    </row>
    <row r="4256" spans="1:9" x14ac:dyDescent="0.25">
      <c r="A4256" t="s">
        <v>264</v>
      </c>
      <c r="B4256" t="s">
        <v>230</v>
      </c>
      <c r="C4256" t="s">
        <v>427</v>
      </c>
      <c r="D4256" s="1">
        <v>45365</v>
      </c>
      <c r="E4256" t="s">
        <v>438</v>
      </c>
      <c r="F4256">
        <v>-9.82</v>
      </c>
      <c r="G4256" t="s">
        <v>68</v>
      </c>
      <c r="H4256" t="s">
        <v>69</v>
      </c>
      <c r="I4256" t="s">
        <v>69</v>
      </c>
    </row>
    <row r="4257" spans="1:9" x14ac:dyDescent="0.25">
      <c r="A4257" t="s">
        <v>264</v>
      </c>
      <c r="B4257" t="s">
        <v>230</v>
      </c>
      <c r="C4257" t="s">
        <v>427</v>
      </c>
      <c r="D4257" s="1">
        <v>45369</v>
      </c>
      <c r="E4257" t="s">
        <v>422</v>
      </c>
      <c r="F4257">
        <v>20.66</v>
      </c>
      <c r="G4257" t="s">
        <v>70</v>
      </c>
      <c r="H4257" t="s">
        <v>264</v>
      </c>
      <c r="I4257" t="s">
        <v>72</v>
      </c>
    </row>
    <row r="4258" spans="1:9" x14ac:dyDescent="0.25">
      <c r="A4258" t="s">
        <v>264</v>
      </c>
      <c r="B4258" t="s">
        <v>230</v>
      </c>
      <c r="C4258" t="s">
        <v>427</v>
      </c>
      <c r="D4258" s="1">
        <v>45369</v>
      </c>
      <c r="E4258" t="s">
        <v>744</v>
      </c>
      <c r="F4258">
        <v>-86.71</v>
      </c>
      <c r="G4258" t="s">
        <v>212</v>
      </c>
      <c r="H4258" t="s">
        <v>213</v>
      </c>
      <c r="I4258" t="s">
        <v>214</v>
      </c>
    </row>
    <row r="4259" spans="1:9" x14ac:dyDescent="0.25">
      <c r="A4259" t="s">
        <v>264</v>
      </c>
      <c r="B4259" t="s">
        <v>230</v>
      </c>
      <c r="C4259" t="s">
        <v>427</v>
      </c>
      <c r="D4259" s="1">
        <v>45369</v>
      </c>
      <c r="E4259" t="s">
        <v>595</v>
      </c>
      <c r="F4259">
        <v>-20.49</v>
      </c>
      <c r="G4259" t="s">
        <v>467</v>
      </c>
      <c r="H4259" t="s">
        <v>468</v>
      </c>
      <c r="I4259" t="s">
        <v>467</v>
      </c>
    </row>
    <row r="4260" spans="1:9" x14ac:dyDescent="0.25">
      <c r="A4260" t="s">
        <v>264</v>
      </c>
      <c r="B4260" t="s">
        <v>230</v>
      </c>
      <c r="C4260" t="s">
        <v>427</v>
      </c>
      <c r="D4260" s="1">
        <v>45369</v>
      </c>
      <c r="E4260" t="s">
        <v>745</v>
      </c>
      <c r="F4260">
        <v>-13.23</v>
      </c>
      <c r="G4260" t="s">
        <v>76</v>
      </c>
      <c r="H4260" t="s">
        <v>87</v>
      </c>
      <c r="I4260" t="s">
        <v>88</v>
      </c>
    </row>
    <row r="4261" spans="1:9" x14ac:dyDescent="0.25">
      <c r="A4261" t="s">
        <v>264</v>
      </c>
      <c r="B4261" t="s">
        <v>230</v>
      </c>
      <c r="C4261" t="s">
        <v>427</v>
      </c>
      <c r="D4261" s="1">
        <v>45369</v>
      </c>
      <c r="E4261" t="s">
        <v>489</v>
      </c>
      <c r="F4261">
        <v>-12.26</v>
      </c>
      <c r="G4261" t="s">
        <v>79</v>
      </c>
      <c r="H4261" t="s">
        <v>96</v>
      </c>
      <c r="I4261" t="s">
        <v>96</v>
      </c>
    </row>
    <row r="4262" spans="1:9" x14ac:dyDescent="0.25">
      <c r="A4262" t="s">
        <v>264</v>
      </c>
      <c r="B4262" t="s">
        <v>230</v>
      </c>
      <c r="C4262" t="s">
        <v>427</v>
      </c>
      <c r="D4262" s="1">
        <v>45369</v>
      </c>
      <c r="E4262" t="s">
        <v>746</v>
      </c>
      <c r="F4262">
        <v>-3.9</v>
      </c>
      <c r="G4262" t="s">
        <v>212</v>
      </c>
      <c r="H4262" t="s">
        <v>213</v>
      </c>
      <c r="I4262" t="s">
        <v>214</v>
      </c>
    </row>
    <row r="4263" spans="1:9" x14ac:dyDescent="0.25">
      <c r="A4263" t="s">
        <v>264</v>
      </c>
      <c r="B4263" t="s">
        <v>230</v>
      </c>
      <c r="C4263" t="s">
        <v>427</v>
      </c>
      <c r="D4263" s="1">
        <v>45369</v>
      </c>
      <c r="E4263" t="s">
        <v>645</v>
      </c>
      <c r="F4263">
        <v>-7.51</v>
      </c>
      <c r="G4263" t="s">
        <v>212</v>
      </c>
      <c r="H4263" t="s">
        <v>213</v>
      </c>
      <c r="I4263" t="s">
        <v>214</v>
      </c>
    </row>
    <row r="4264" spans="1:9" x14ac:dyDescent="0.25">
      <c r="A4264" t="s">
        <v>264</v>
      </c>
      <c r="B4264" t="s">
        <v>230</v>
      </c>
      <c r="C4264" t="s">
        <v>427</v>
      </c>
      <c r="D4264" s="1">
        <v>45369</v>
      </c>
      <c r="E4264" t="s">
        <v>422</v>
      </c>
      <c r="F4264">
        <v>116.18</v>
      </c>
      <c r="G4264" t="s">
        <v>70</v>
      </c>
      <c r="H4264" t="s">
        <v>264</v>
      </c>
      <c r="I4264" t="s">
        <v>72</v>
      </c>
    </row>
    <row r="4265" spans="1:9" x14ac:dyDescent="0.25">
      <c r="A4265" t="s">
        <v>264</v>
      </c>
      <c r="B4265" t="s">
        <v>230</v>
      </c>
      <c r="C4265" t="s">
        <v>427</v>
      </c>
      <c r="D4265" s="1">
        <v>45370</v>
      </c>
      <c r="E4265" t="s">
        <v>618</v>
      </c>
      <c r="F4265">
        <v>-4.45</v>
      </c>
      <c r="G4265" t="s">
        <v>89</v>
      </c>
      <c r="H4265" t="s">
        <v>90</v>
      </c>
      <c r="I4265" t="s">
        <v>474</v>
      </c>
    </row>
    <row r="4266" spans="1:9" x14ac:dyDescent="0.25">
      <c r="A4266" t="s">
        <v>264</v>
      </c>
      <c r="B4266" t="s">
        <v>230</v>
      </c>
      <c r="C4266" t="s">
        <v>427</v>
      </c>
      <c r="D4266" s="1">
        <v>45376</v>
      </c>
      <c r="E4266" t="s">
        <v>715</v>
      </c>
      <c r="F4266">
        <v>-427.26</v>
      </c>
      <c r="G4266" t="s">
        <v>76</v>
      </c>
      <c r="H4266" t="s">
        <v>82</v>
      </c>
      <c r="I4266" t="s">
        <v>83</v>
      </c>
    </row>
    <row r="4267" spans="1:9" x14ac:dyDescent="0.25">
      <c r="A4267" t="s">
        <v>264</v>
      </c>
      <c r="B4267" t="s">
        <v>230</v>
      </c>
      <c r="C4267" t="s">
        <v>427</v>
      </c>
      <c r="D4267" s="1">
        <v>45370</v>
      </c>
      <c r="E4267" t="s">
        <v>422</v>
      </c>
      <c r="F4267">
        <v>2.92</v>
      </c>
      <c r="G4267" t="s">
        <v>70</v>
      </c>
      <c r="H4267" t="s">
        <v>264</v>
      </c>
      <c r="I4267" t="s">
        <v>72</v>
      </c>
    </row>
    <row r="4268" spans="1:9" x14ac:dyDescent="0.25">
      <c r="A4268" t="s">
        <v>264</v>
      </c>
      <c r="B4268" t="s">
        <v>230</v>
      </c>
      <c r="C4268" t="s">
        <v>427</v>
      </c>
      <c r="D4268" s="1">
        <v>45372</v>
      </c>
      <c r="E4268" t="s">
        <v>486</v>
      </c>
      <c r="F4268">
        <v>-66.83</v>
      </c>
      <c r="G4268" t="s">
        <v>350</v>
      </c>
      <c r="H4268" t="s">
        <v>487</v>
      </c>
      <c r="I4268" t="s">
        <v>487</v>
      </c>
    </row>
    <row r="4269" spans="1:9" x14ac:dyDescent="0.25">
      <c r="A4269" t="s">
        <v>264</v>
      </c>
      <c r="B4269" t="s">
        <v>230</v>
      </c>
      <c r="C4269" t="s">
        <v>427</v>
      </c>
      <c r="D4269" s="1">
        <v>45372</v>
      </c>
      <c r="E4269" t="s">
        <v>486</v>
      </c>
      <c r="F4269">
        <v>-123.86</v>
      </c>
      <c r="G4269" t="s">
        <v>73</v>
      </c>
      <c r="H4269" t="s">
        <v>487</v>
      </c>
      <c r="I4269" t="s">
        <v>487</v>
      </c>
    </row>
    <row r="4270" spans="1:9" x14ac:dyDescent="0.25">
      <c r="A4270" t="s">
        <v>264</v>
      </c>
      <c r="B4270" t="s">
        <v>230</v>
      </c>
      <c r="C4270" t="s">
        <v>427</v>
      </c>
      <c r="D4270" s="1">
        <v>45372</v>
      </c>
      <c r="E4270" t="s">
        <v>486</v>
      </c>
      <c r="F4270">
        <v>-139.06</v>
      </c>
      <c r="G4270" t="s">
        <v>79</v>
      </c>
      <c r="H4270" t="s">
        <v>95</v>
      </c>
      <c r="I4270" t="s">
        <v>95</v>
      </c>
    </row>
    <row r="4271" spans="1:9" x14ac:dyDescent="0.25">
      <c r="A4271" t="s">
        <v>264</v>
      </c>
      <c r="B4271" t="s">
        <v>230</v>
      </c>
      <c r="C4271" t="s">
        <v>427</v>
      </c>
      <c r="D4271" s="1">
        <v>45371</v>
      </c>
      <c r="E4271" t="s">
        <v>422</v>
      </c>
      <c r="F4271">
        <v>2.44</v>
      </c>
      <c r="G4271" t="s">
        <v>70</v>
      </c>
      <c r="H4271" t="s">
        <v>264</v>
      </c>
      <c r="I4271" t="s">
        <v>72</v>
      </c>
    </row>
    <row r="4272" spans="1:9" x14ac:dyDescent="0.25">
      <c r="A4272" t="s">
        <v>264</v>
      </c>
      <c r="B4272" t="s">
        <v>230</v>
      </c>
      <c r="C4272" t="s">
        <v>427</v>
      </c>
      <c r="D4272" s="1">
        <v>45371</v>
      </c>
      <c r="E4272" t="s">
        <v>422</v>
      </c>
      <c r="F4272">
        <v>258.43</v>
      </c>
      <c r="G4272" t="s">
        <v>70</v>
      </c>
      <c r="H4272" t="s">
        <v>264</v>
      </c>
      <c r="I4272" t="s">
        <v>72</v>
      </c>
    </row>
    <row r="4273" spans="1:9" x14ac:dyDescent="0.25">
      <c r="A4273" t="s">
        <v>264</v>
      </c>
      <c r="B4273" t="s">
        <v>230</v>
      </c>
      <c r="C4273" t="s">
        <v>427</v>
      </c>
      <c r="D4273" s="1">
        <v>45371</v>
      </c>
      <c r="E4273" t="s">
        <v>747</v>
      </c>
      <c r="F4273">
        <v>-131.76</v>
      </c>
      <c r="G4273" t="s">
        <v>89</v>
      </c>
      <c r="H4273" t="s">
        <v>90</v>
      </c>
      <c r="I4273" t="s">
        <v>98</v>
      </c>
    </row>
    <row r="4274" spans="1:9" x14ac:dyDescent="0.25">
      <c r="A4274" t="s">
        <v>264</v>
      </c>
      <c r="B4274" t="s">
        <v>230</v>
      </c>
      <c r="C4274" t="s">
        <v>427</v>
      </c>
      <c r="D4274" s="1">
        <v>45371</v>
      </c>
      <c r="E4274" t="s">
        <v>428</v>
      </c>
      <c r="F4274">
        <v>-64.819999999999993</v>
      </c>
      <c r="G4274" t="s">
        <v>68</v>
      </c>
      <c r="H4274" t="s">
        <v>69</v>
      </c>
      <c r="I4274" t="s">
        <v>69</v>
      </c>
    </row>
    <row r="4275" spans="1:9" x14ac:dyDescent="0.25">
      <c r="A4275" t="s">
        <v>264</v>
      </c>
      <c r="B4275" t="s">
        <v>230</v>
      </c>
      <c r="C4275" t="s">
        <v>427</v>
      </c>
      <c r="D4275" s="1">
        <v>45371</v>
      </c>
      <c r="E4275" t="s">
        <v>593</v>
      </c>
      <c r="F4275">
        <v>-4.8099999999999996</v>
      </c>
      <c r="G4275" t="s">
        <v>68</v>
      </c>
      <c r="H4275" t="s">
        <v>69</v>
      </c>
      <c r="I4275" t="s">
        <v>69</v>
      </c>
    </row>
    <row r="4276" spans="1:9" x14ac:dyDescent="0.25">
      <c r="A4276" t="s">
        <v>264</v>
      </c>
      <c r="B4276" t="s">
        <v>230</v>
      </c>
      <c r="C4276" t="s">
        <v>427</v>
      </c>
      <c r="D4276" s="1">
        <v>45376</v>
      </c>
      <c r="E4276" t="s">
        <v>748</v>
      </c>
      <c r="F4276">
        <v>290.52999999999997</v>
      </c>
      <c r="G4276" t="s">
        <v>212</v>
      </c>
      <c r="H4276" t="s">
        <v>213</v>
      </c>
      <c r="I4276" t="s">
        <v>214</v>
      </c>
    </row>
    <row r="4277" spans="1:9" x14ac:dyDescent="0.25">
      <c r="A4277" t="s">
        <v>264</v>
      </c>
      <c r="B4277" t="s">
        <v>230</v>
      </c>
      <c r="C4277" t="s">
        <v>427</v>
      </c>
      <c r="D4277" s="1">
        <v>45376</v>
      </c>
      <c r="E4277" t="s">
        <v>749</v>
      </c>
      <c r="F4277">
        <v>-9.56</v>
      </c>
      <c r="G4277" t="s">
        <v>76</v>
      </c>
      <c r="H4277" t="s">
        <v>87</v>
      </c>
      <c r="I4277" t="s">
        <v>88</v>
      </c>
    </row>
    <row r="4278" spans="1:9" x14ac:dyDescent="0.25">
      <c r="A4278" t="s">
        <v>264</v>
      </c>
      <c r="B4278" t="s">
        <v>230</v>
      </c>
      <c r="C4278" t="s">
        <v>427</v>
      </c>
      <c r="D4278" s="1">
        <v>45376</v>
      </c>
      <c r="E4278" t="s">
        <v>750</v>
      </c>
      <c r="F4278">
        <v>-13.93</v>
      </c>
      <c r="G4278" t="s">
        <v>79</v>
      </c>
      <c r="H4278" t="s">
        <v>96</v>
      </c>
      <c r="I4278" t="s">
        <v>96</v>
      </c>
    </row>
    <row r="4279" spans="1:9" x14ac:dyDescent="0.25">
      <c r="A4279" t="s">
        <v>264</v>
      </c>
      <c r="B4279" t="s">
        <v>230</v>
      </c>
      <c r="C4279" t="s">
        <v>427</v>
      </c>
      <c r="D4279" s="1">
        <v>45376</v>
      </c>
      <c r="E4279" t="s">
        <v>751</v>
      </c>
      <c r="F4279">
        <v>-2.46</v>
      </c>
      <c r="G4279" t="s">
        <v>76</v>
      </c>
      <c r="H4279" t="s">
        <v>87</v>
      </c>
      <c r="I4279" t="s">
        <v>88</v>
      </c>
    </row>
    <row r="4280" spans="1:9" x14ac:dyDescent="0.25">
      <c r="A4280" t="s">
        <v>264</v>
      </c>
      <c r="B4280" t="s">
        <v>230</v>
      </c>
      <c r="C4280" t="s">
        <v>427</v>
      </c>
      <c r="D4280" s="1">
        <v>45377</v>
      </c>
      <c r="E4280" t="s">
        <v>445</v>
      </c>
      <c r="F4280">
        <v>-0.15</v>
      </c>
      <c r="G4280" t="s">
        <v>84</v>
      </c>
      <c r="H4280" t="s">
        <v>85</v>
      </c>
      <c r="I4280" t="s">
        <v>86</v>
      </c>
    </row>
    <row r="4281" spans="1:9" x14ac:dyDescent="0.25">
      <c r="A4281" t="s">
        <v>264</v>
      </c>
      <c r="B4281" t="s">
        <v>230</v>
      </c>
      <c r="C4281" t="s">
        <v>427</v>
      </c>
      <c r="D4281" s="1">
        <v>45377</v>
      </c>
      <c r="E4281" t="s">
        <v>446</v>
      </c>
      <c r="F4281">
        <v>-0.2</v>
      </c>
      <c r="G4281" t="s">
        <v>84</v>
      </c>
      <c r="H4281" t="s">
        <v>85</v>
      </c>
      <c r="I4281" t="s">
        <v>86</v>
      </c>
    </row>
    <row r="4282" spans="1:9" x14ac:dyDescent="0.25">
      <c r="A4282" t="s">
        <v>264</v>
      </c>
      <c r="B4282" t="s">
        <v>230</v>
      </c>
      <c r="C4282" t="s">
        <v>427</v>
      </c>
      <c r="D4282" s="1">
        <v>45377</v>
      </c>
      <c r="E4282" t="s">
        <v>752</v>
      </c>
      <c r="F4282">
        <v>-4.0999999999999996</v>
      </c>
      <c r="G4282" t="s">
        <v>92</v>
      </c>
      <c r="H4282" t="s">
        <v>104</v>
      </c>
      <c r="I4282" t="s">
        <v>104</v>
      </c>
    </row>
    <row r="4283" spans="1:9" x14ac:dyDescent="0.25">
      <c r="A4283" t="s">
        <v>264</v>
      </c>
      <c r="B4283" t="s">
        <v>230</v>
      </c>
      <c r="C4283" t="s">
        <v>427</v>
      </c>
      <c r="D4283" s="1">
        <v>45376</v>
      </c>
      <c r="E4283" t="s">
        <v>422</v>
      </c>
      <c r="F4283">
        <v>43.25</v>
      </c>
      <c r="G4283" t="s">
        <v>70</v>
      </c>
      <c r="H4283" t="s">
        <v>264</v>
      </c>
      <c r="I4283" t="s">
        <v>72</v>
      </c>
    </row>
    <row r="4284" spans="1:9" x14ac:dyDescent="0.25">
      <c r="A4284" t="s">
        <v>264</v>
      </c>
      <c r="B4284" t="s">
        <v>230</v>
      </c>
      <c r="C4284" t="s">
        <v>427</v>
      </c>
      <c r="D4284" s="1">
        <v>45378</v>
      </c>
      <c r="E4284" t="s">
        <v>578</v>
      </c>
      <c r="F4284">
        <v>-25.26</v>
      </c>
      <c r="G4284" t="s">
        <v>68</v>
      </c>
      <c r="H4284" t="s">
        <v>69</v>
      </c>
      <c r="I4284" t="s">
        <v>69</v>
      </c>
    </row>
    <row r="4285" spans="1:9" x14ac:dyDescent="0.25">
      <c r="A4285" t="s">
        <v>264</v>
      </c>
      <c r="B4285" t="s">
        <v>230</v>
      </c>
      <c r="C4285" t="s">
        <v>427</v>
      </c>
      <c r="D4285" s="1">
        <v>45379</v>
      </c>
      <c r="E4285" t="s">
        <v>579</v>
      </c>
      <c r="F4285">
        <v>-76.25</v>
      </c>
      <c r="G4285" t="s">
        <v>76</v>
      </c>
      <c r="H4285" t="s">
        <v>87</v>
      </c>
      <c r="I4285" t="s">
        <v>88</v>
      </c>
    </row>
    <row r="4286" spans="1:9" x14ac:dyDescent="0.25">
      <c r="A4286" t="s">
        <v>264</v>
      </c>
      <c r="B4286" t="s">
        <v>230</v>
      </c>
      <c r="C4286" t="s">
        <v>427</v>
      </c>
      <c r="D4286" s="1">
        <v>45379</v>
      </c>
      <c r="E4286" t="s">
        <v>422</v>
      </c>
      <c r="F4286">
        <v>316.35000000000002</v>
      </c>
      <c r="G4286" t="s">
        <v>70</v>
      </c>
      <c r="H4286" t="s">
        <v>264</v>
      </c>
      <c r="I4286" t="s">
        <v>72</v>
      </c>
    </row>
    <row r="4287" spans="1:9" x14ac:dyDescent="0.25">
      <c r="A4287" t="s">
        <v>264</v>
      </c>
      <c r="B4287" t="s">
        <v>230</v>
      </c>
      <c r="C4287" t="s">
        <v>427</v>
      </c>
      <c r="D4287" s="1">
        <v>45379</v>
      </c>
      <c r="E4287" t="s">
        <v>724</v>
      </c>
      <c r="F4287">
        <v>-299.68</v>
      </c>
      <c r="G4287" t="s">
        <v>76</v>
      </c>
      <c r="H4287" t="s">
        <v>77</v>
      </c>
      <c r="I4287" t="s">
        <v>78</v>
      </c>
    </row>
  </sheetData>
  <autoFilter ref="A1:I4287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3584-7724-4B29-922D-FCB57E2E2B89}">
  <dimension ref="A3:B134"/>
  <sheetViews>
    <sheetView tabSelected="1" topLeftCell="A103" workbookViewId="0"/>
  </sheetViews>
  <sheetFormatPr defaultRowHeight="15" x14ac:dyDescent="0.25"/>
  <cols>
    <col min="1" max="1" width="35.42578125" bestFit="1" customWidth="1"/>
    <col min="2" max="2" width="14.85546875" bestFit="1" customWidth="1"/>
  </cols>
  <sheetData>
    <row r="3" spans="1:2" x14ac:dyDescent="0.25">
      <c r="A3" s="7" t="s">
        <v>753</v>
      </c>
      <c r="B3" t="s">
        <v>756</v>
      </c>
    </row>
    <row r="4" spans="1:2" x14ac:dyDescent="0.25">
      <c r="A4" s="8" t="s">
        <v>73</v>
      </c>
      <c r="B4" s="11">
        <v>23464.740000000016</v>
      </c>
    </row>
    <row r="5" spans="1:2" x14ac:dyDescent="0.25">
      <c r="A5" s="9" t="s">
        <v>352</v>
      </c>
      <c r="B5" s="11">
        <v>-1947.02</v>
      </c>
    </row>
    <row r="6" spans="1:2" x14ac:dyDescent="0.25">
      <c r="A6" s="10" t="s">
        <v>352</v>
      </c>
      <c r="B6" s="11">
        <v>-1947.02</v>
      </c>
    </row>
    <row r="7" spans="1:2" x14ac:dyDescent="0.25">
      <c r="A7" s="9" t="s">
        <v>487</v>
      </c>
      <c r="B7" s="11">
        <v>-1020.7300000000001</v>
      </c>
    </row>
    <row r="8" spans="1:2" x14ac:dyDescent="0.25">
      <c r="A8" s="10" t="s">
        <v>487</v>
      </c>
      <c r="B8" s="11">
        <v>-1020.7300000000001</v>
      </c>
    </row>
    <row r="9" spans="1:2" x14ac:dyDescent="0.25">
      <c r="A9" s="9" t="s">
        <v>74</v>
      </c>
      <c r="B9" s="11">
        <v>24145.15</v>
      </c>
    </row>
    <row r="10" spans="1:2" x14ac:dyDescent="0.25">
      <c r="A10" s="10" t="s">
        <v>75</v>
      </c>
      <c r="B10" s="11">
        <v>24145.15</v>
      </c>
    </row>
    <row r="11" spans="1:2" x14ac:dyDescent="0.25">
      <c r="A11" s="9" t="s">
        <v>261</v>
      </c>
      <c r="B11" s="11">
        <v>2446.4300000000148</v>
      </c>
    </row>
    <row r="12" spans="1:2" x14ac:dyDescent="0.25">
      <c r="A12" s="10" t="s">
        <v>263</v>
      </c>
      <c r="B12" s="11">
        <v>-38255.599999999999</v>
      </c>
    </row>
    <row r="13" spans="1:2" x14ac:dyDescent="0.25">
      <c r="A13" s="10" t="s">
        <v>262</v>
      </c>
      <c r="B13" s="11">
        <v>40702.030000000013</v>
      </c>
    </row>
    <row r="14" spans="1:2" x14ac:dyDescent="0.25">
      <c r="A14" s="9" t="s">
        <v>576</v>
      </c>
      <c r="B14" s="11">
        <v>-159.09</v>
      </c>
    </row>
    <row r="15" spans="1:2" x14ac:dyDescent="0.25">
      <c r="A15" s="10" t="s">
        <v>576</v>
      </c>
      <c r="B15" s="11">
        <v>-159.09</v>
      </c>
    </row>
    <row r="16" spans="1:2" x14ac:dyDescent="0.25">
      <c r="A16" s="8" t="s">
        <v>350</v>
      </c>
      <c r="B16" s="11">
        <v>20858.930000000004</v>
      </c>
    </row>
    <row r="17" spans="1:2" x14ac:dyDescent="0.25">
      <c r="A17" s="9" t="s">
        <v>352</v>
      </c>
      <c r="B17" s="11">
        <v>-1763.39</v>
      </c>
    </row>
    <row r="18" spans="1:2" x14ac:dyDescent="0.25">
      <c r="A18" s="10" t="s">
        <v>352</v>
      </c>
      <c r="B18" s="11">
        <v>-1763.39</v>
      </c>
    </row>
    <row r="19" spans="1:2" x14ac:dyDescent="0.25">
      <c r="A19" s="9" t="s">
        <v>487</v>
      </c>
      <c r="B19" s="11">
        <v>-852.61</v>
      </c>
    </row>
    <row r="20" spans="1:2" x14ac:dyDescent="0.25">
      <c r="A20" s="10" t="s">
        <v>487</v>
      </c>
      <c r="B20" s="11">
        <v>-852.61</v>
      </c>
    </row>
    <row r="21" spans="1:2" x14ac:dyDescent="0.25">
      <c r="A21" s="9" t="s">
        <v>74</v>
      </c>
      <c r="B21" s="11">
        <v>24783.630000000005</v>
      </c>
    </row>
    <row r="22" spans="1:2" x14ac:dyDescent="0.25">
      <c r="A22" s="10" t="s">
        <v>75</v>
      </c>
      <c r="B22" s="11">
        <v>24783.630000000005</v>
      </c>
    </row>
    <row r="23" spans="1:2" x14ac:dyDescent="0.25">
      <c r="A23" s="9" t="s">
        <v>402</v>
      </c>
      <c r="B23" s="11">
        <v>1546.3099999999959</v>
      </c>
    </row>
    <row r="24" spans="1:2" x14ac:dyDescent="0.25">
      <c r="A24" s="10" t="s">
        <v>263</v>
      </c>
      <c r="B24" s="11">
        <v>-11198.590000000002</v>
      </c>
    </row>
    <row r="25" spans="1:2" x14ac:dyDescent="0.25">
      <c r="A25" s="10" t="s">
        <v>403</v>
      </c>
      <c r="B25" s="11">
        <v>-210.93</v>
      </c>
    </row>
    <row r="26" spans="1:2" x14ac:dyDescent="0.25">
      <c r="A26" s="10" t="s">
        <v>262</v>
      </c>
      <c r="B26" s="11">
        <v>12955.829999999998</v>
      </c>
    </row>
    <row r="27" spans="1:2" x14ac:dyDescent="0.25">
      <c r="A27" s="9" t="s">
        <v>576</v>
      </c>
      <c r="B27" s="11">
        <v>-115.67</v>
      </c>
    </row>
    <row r="28" spans="1:2" x14ac:dyDescent="0.25">
      <c r="A28" s="10" t="s">
        <v>576</v>
      </c>
      <c r="B28" s="11">
        <v>-115.67</v>
      </c>
    </row>
    <row r="29" spans="1:2" x14ac:dyDescent="0.25">
      <c r="A29" s="9" t="s">
        <v>351</v>
      </c>
      <c r="B29" s="11">
        <v>-2739.3399999999997</v>
      </c>
    </row>
    <row r="30" spans="1:2" x14ac:dyDescent="0.25">
      <c r="A30" s="10" t="s">
        <v>351</v>
      </c>
      <c r="B30" s="11">
        <v>-2739.3399999999997</v>
      </c>
    </row>
    <row r="31" spans="1:2" x14ac:dyDescent="0.25">
      <c r="A31" s="8" t="s">
        <v>79</v>
      </c>
      <c r="B31" s="11">
        <v>2684.5499999999688</v>
      </c>
    </row>
    <row r="32" spans="1:2" x14ac:dyDescent="0.25">
      <c r="A32" s="9" t="s">
        <v>512</v>
      </c>
      <c r="B32" s="11">
        <v>-320.83000000000004</v>
      </c>
    </row>
    <row r="33" spans="1:2" x14ac:dyDescent="0.25">
      <c r="A33" s="10" t="s">
        <v>512</v>
      </c>
      <c r="B33" s="11">
        <v>-320.83000000000004</v>
      </c>
    </row>
    <row r="34" spans="1:2" x14ac:dyDescent="0.25">
      <c r="A34" s="9" t="s">
        <v>95</v>
      </c>
      <c r="B34" s="11">
        <v>-793.11999999999989</v>
      </c>
    </row>
    <row r="35" spans="1:2" x14ac:dyDescent="0.25">
      <c r="A35" s="10" t="s">
        <v>95</v>
      </c>
      <c r="B35" s="11">
        <v>-793.11999999999989</v>
      </c>
    </row>
    <row r="36" spans="1:2" x14ac:dyDescent="0.25">
      <c r="A36" s="9" t="s">
        <v>352</v>
      </c>
      <c r="B36" s="11">
        <v>-4598.49</v>
      </c>
    </row>
    <row r="37" spans="1:2" x14ac:dyDescent="0.25">
      <c r="A37" s="10" t="s">
        <v>352</v>
      </c>
      <c r="B37" s="11">
        <v>-4598.49</v>
      </c>
    </row>
    <row r="38" spans="1:2" x14ac:dyDescent="0.25">
      <c r="A38" s="9" t="s">
        <v>81</v>
      </c>
      <c r="B38" s="11">
        <v>-1761.0100000000002</v>
      </c>
    </row>
    <row r="39" spans="1:2" x14ac:dyDescent="0.25">
      <c r="A39" s="10" t="s">
        <v>81</v>
      </c>
      <c r="B39" s="11">
        <v>-1761.0100000000002</v>
      </c>
    </row>
    <row r="40" spans="1:2" x14ac:dyDescent="0.25">
      <c r="A40" s="9" t="s">
        <v>96</v>
      </c>
      <c r="B40" s="11">
        <v>-2389.0700000000006</v>
      </c>
    </row>
    <row r="41" spans="1:2" x14ac:dyDescent="0.25">
      <c r="A41" s="10" t="s">
        <v>96</v>
      </c>
      <c r="B41" s="11">
        <v>-2389.0700000000006</v>
      </c>
    </row>
    <row r="42" spans="1:2" x14ac:dyDescent="0.25">
      <c r="A42" s="9" t="s">
        <v>402</v>
      </c>
      <c r="B42" s="11">
        <v>13542.439999999973</v>
      </c>
    </row>
    <row r="43" spans="1:2" x14ac:dyDescent="0.25">
      <c r="A43" s="10" t="s">
        <v>263</v>
      </c>
      <c r="B43" s="11">
        <v>-49892.650000000023</v>
      </c>
    </row>
    <row r="44" spans="1:2" x14ac:dyDescent="0.25">
      <c r="A44" s="10" t="s">
        <v>262</v>
      </c>
      <c r="B44" s="11">
        <v>63435.09</v>
      </c>
    </row>
    <row r="45" spans="1:2" x14ac:dyDescent="0.25">
      <c r="A45" s="9" t="s">
        <v>576</v>
      </c>
      <c r="B45" s="11">
        <v>-236.84</v>
      </c>
    </row>
    <row r="46" spans="1:2" x14ac:dyDescent="0.25">
      <c r="A46" s="10" t="s">
        <v>758</v>
      </c>
      <c r="B46" s="11">
        <v>-236.84</v>
      </c>
    </row>
    <row r="47" spans="1:2" x14ac:dyDescent="0.25">
      <c r="A47" s="9" t="s">
        <v>80</v>
      </c>
      <c r="B47" s="11">
        <v>-758.53000000000009</v>
      </c>
    </row>
    <row r="48" spans="1:2" x14ac:dyDescent="0.25">
      <c r="A48" s="10" t="s">
        <v>80</v>
      </c>
      <c r="B48" s="11">
        <v>-758.53000000000009</v>
      </c>
    </row>
    <row r="49" spans="1:2" x14ac:dyDescent="0.25">
      <c r="A49" s="8" t="s">
        <v>68</v>
      </c>
      <c r="B49" s="11">
        <v>-12864.92</v>
      </c>
    </row>
    <row r="50" spans="1:2" x14ac:dyDescent="0.25">
      <c r="A50" s="9" t="s">
        <v>69</v>
      </c>
      <c r="B50" s="11">
        <v>-12864.92</v>
      </c>
    </row>
    <row r="51" spans="1:2" x14ac:dyDescent="0.25">
      <c r="A51" s="10" t="s">
        <v>69</v>
      </c>
      <c r="B51" s="11">
        <v>-12864.92</v>
      </c>
    </row>
    <row r="52" spans="1:2" x14ac:dyDescent="0.25">
      <c r="A52" s="8" t="s">
        <v>74</v>
      </c>
      <c r="B52" s="11">
        <v>180694.34999999995</v>
      </c>
    </row>
    <row r="53" spans="1:2" x14ac:dyDescent="0.25">
      <c r="A53" s="9" t="s">
        <v>256</v>
      </c>
      <c r="B53" s="11">
        <v>180694.34999999995</v>
      </c>
    </row>
    <row r="54" spans="1:2" x14ac:dyDescent="0.25">
      <c r="A54" s="10" t="s">
        <v>257</v>
      </c>
      <c r="B54" s="11">
        <v>110434.52999999996</v>
      </c>
    </row>
    <row r="55" spans="1:2" x14ac:dyDescent="0.25">
      <c r="A55" s="10" t="s">
        <v>346</v>
      </c>
      <c r="B55" s="11">
        <v>69806.110000000015</v>
      </c>
    </row>
    <row r="56" spans="1:2" x14ac:dyDescent="0.25">
      <c r="A56" s="10" t="s">
        <v>100</v>
      </c>
      <c r="B56" s="11">
        <v>453.71</v>
      </c>
    </row>
    <row r="57" spans="1:2" x14ac:dyDescent="0.25">
      <c r="A57" s="8" t="s">
        <v>347</v>
      </c>
      <c r="B57" s="11">
        <v>-1083.28</v>
      </c>
    </row>
    <row r="58" spans="1:2" x14ac:dyDescent="0.25">
      <c r="A58" s="9" t="s">
        <v>348</v>
      </c>
      <c r="B58" s="11">
        <v>-384.13999999999993</v>
      </c>
    </row>
    <row r="59" spans="1:2" x14ac:dyDescent="0.25">
      <c r="A59" s="10" t="s">
        <v>348</v>
      </c>
      <c r="B59" s="11">
        <v>-365.12999999999994</v>
      </c>
    </row>
    <row r="60" spans="1:2" x14ac:dyDescent="0.25">
      <c r="A60" s="10" t="s">
        <v>100</v>
      </c>
      <c r="B60" s="11">
        <v>-19.010000000000002</v>
      </c>
    </row>
    <row r="61" spans="1:2" x14ac:dyDescent="0.25">
      <c r="A61" s="9" t="s">
        <v>757</v>
      </c>
      <c r="B61" s="11">
        <v>-41.24</v>
      </c>
    </row>
    <row r="62" spans="1:2" x14ac:dyDescent="0.25">
      <c r="A62" s="10" t="s">
        <v>757</v>
      </c>
      <c r="B62" s="11">
        <v>-41.24</v>
      </c>
    </row>
    <row r="63" spans="1:2" x14ac:dyDescent="0.25">
      <c r="A63" s="9" t="s">
        <v>568</v>
      </c>
      <c r="B63" s="11">
        <v>-657.90000000000009</v>
      </c>
    </row>
    <row r="64" spans="1:2" x14ac:dyDescent="0.25">
      <c r="A64" s="10" t="s">
        <v>568</v>
      </c>
      <c r="B64" s="11">
        <v>-657.90000000000009</v>
      </c>
    </row>
    <row r="65" spans="1:2" x14ac:dyDescent="0.25">
      <c r="A65" s="8" t="s">
        <v>70</v>
      </c>
      <c r="B65" s="11">
        <v>19742.649999999903</v>
      </c>
    </row>
    <row r="66" spans="1:2" x14ac:dyDescent="0.25">
      <c r="A66" s="9" t="s">
        <v>231</v>
      </c>
      <c r="B66" s="11">
        <v>-86108.540000000052</v>
      </c>
    </row>
    <row r="67" spans="1:2" x14ac:dyDescent="0.25">
      <c r="A67" s="10" t="s">
        <v>72</v>
      </c>
      <c r="B67" s="11">
        <v>-86108.540000000052</v>
      </c>
    </row>
    <row r="68" spans="1:2" x14ac:dyDescent="0.25">
      <c r="A68" s="9" t="s">
        <v>71</v>
      </c>
      <c r="B68" s="11">
        <v>20105.580000000009</v>
      </c>
    </row>
    <row r="69" spans="1:2" x14ac:dyDescent="0.25">
      <c r="A69" s="10" t="s">
        <v>72</v>
      </c>
      <c r="B69" s="11">
        <v>7035.3199999999961</v>
      </c>
    </row>
    <row r="70" spans="1:2" x14ac:dyDescent="0.25">
      <c r="A70" s="10" t="s">
        <v>108</v>
      </c>
      <c r="B70" s="11">
        <v>13070.260000000015</v>
      </c>
    </row>
    <row r="71" spans="1:2" x14ac:dyDescent="0.25">
      <c r="A71" s="9" t="s">
        <v>264</v>
      </c>
      <c r="B71" s="11">
        <v>85745.609999999957</v>
      </c>
    </row>
    <row r="72" spans="1:2" x14ac:dyDescent="0.25">
      <c r="A72" s="10" t="s">
        <v>72</v>
      </c>
      <c r="B72" s="11">
        <v>85177.199999999953</v>
      </c>
    </row>
    <row r="73" spans="1:2" x14ac:dyDescent="0.25">
      <c r="A73" s="10" t="s">
        <v>100</v>
      </c>
      <c r="B73" s="11">
        <v>568.41000000000031</v>
      </c>
    </row>
    <row r="74" spans="1:2" x14ac:dyDescent="0.25">
      <c r="A74" s="8" t="s">
        <v>418</v>
      </c>
      <c r="B74" s="11">
        <v>-124799.81</v>
      </c>
    </row>
    <row r="75" spans="1:2" x14ac:dyDescent="0.25">
      <c r="A75" s="9" t="s">
        <v>419</v>
      </c>
      <c r="B75" s="11">
        <v>-124799.81</v>
      </c>
    </row>
    <row r="76" spans="1:2" x14ac:dyDescent="0.25">
      <c r="A76" s="10" t="s">
        <v>419</v>
      </c>
      <c r="B76" s="11">
        <v>-124799.81</v>
      </c>
    </row>
    <row r="77" spans="1:2" x14ac:dyDescent="0.25">
      <c r="A77" s="8" t="s">
        <v>467</v>
      </c>
      <c r="B77" s="11">
        <v>-1549.9200000000003</v>
      </c>
    </row>
    <row r="78" spans="1:2" x14ac:dyDescent="0.25">
      <c r="A78" s="9" t="s">
        <v>468</v>
      </c>
      <c r="B78" s="11">
        <v>-1549.9200000000003</v>
      </c>
    </row>
    <row r="79" spans="1:2" x14ac:dyDescent="0.25">
      <c r="A79" s="10" t="s">
        <v>467</v>
      </c>
      <c r="B79" s="11">
        <v>-1549.9200000000003</v>
      </c>
    </row>
    <row r="80" spans="1:2" x14ac:dyDescent="0.25">
      <c r="A80" s="8" t="s">
        <v>402</v>
      </c>
      <c r="B80" s="11">
        <v>-9970.5400000000009</v>
      </c>
    </row>
    <row r="81" spans="1:2" x14ac:dyDescent="0.25">
      <c r="A81" s="9" t="s">
        <v>404</v>
      </c>
      <c r="B81" s="11">
        <v>-9970.5400000000009</v>
      </c>
    </row>
    <row r="82" spans="1:2" x14ac:dyDescent="0.25">
      <c r="A82" s="10" t="s">
        <v>405</v>
      </c>
      <c r="B82" s="11">
        <v>-9970.5400000000009</v>
      </c>
    </row>
    <row r="83" spans="1:2" x14ac:dyDescent="0.25">
      <c r="A83" s="8" t="s">
        <v>84</v>
      </c>
      <c r="B83" s="11">
        <v>-9474.74</v>
      </c>
    </row>
    <row r="84" spans="1:2" x14ac:dyDescent="0.25">
      <c r="A84" s="9" t="s">
        <v>85</v>
      </c>
      <c r="B84" s="11">
        <v>-9474.74</v>
      </c>
    </row>
    <row r="85" spans="1:2" x14ac:dyDescent="0.25">
      <c r="A85" s="10" t="s">
        <v>717</v>
      </c>
      <c r="B85" s="11">
        <v>-4405.87</v>
      </c>
    </row>
    <row r="86" spans="1:2" x14ac:dyDescent="0.25">
      <c r="A86" s="10" t="s">
        <v>97</v>
      </c>
      <c r="B86" s="11">
        <v>-4847.5200000000013</v>
      </c>
    </row>
    <row r="87" spans="1:2" x14ac:dyDescent="0.25">
      <c r="A87" s="10" t="s">
        <v>496</v>
      </c>
      <c r="B87" s="11">
        <v>-26.880000000000003</v>
      </c>
    </row>
    <row r="88" spans="1:2" x14ac:dyDescent="0.25">
      <c r="A88" s="10" t="s">
        <v>86</v>
      </c>
      <c r="B88" s="11">
        <v>-156.01999999999998</v>
      </c>
    </row>
    <row r="89" spans="1:2" x14ac:dyDescent="0.25">
      <c r="A89" s="10" t="s">
        <v>195</v>
      </c>
      <c r="B89" s="11">
        <v>-31.55</v>
      </c>
    </row>
    <row r="90" spans="1:2" x14ac:dyDescent="0.25">
      <c r="A90" s="10" t="s">
        <v>759</v>
      </c>
      <c r="B90" s="11">
        <v>-6.9</v>
      </c>
    </row>
    <row r="91" spans="1:2" x14ac:dyDescent="0.25">
      <c r="A91" s="8" t="s">
        <v>212</v>
      </c>
      <c r="B91" s="11">
        <v>-3422.2200000000012</v>
      </c>
    </row>
    <row r="92" spans="1:2" x14ac:dyDescent="0.25">
      <c r="A92" s="9" t="s">
        <v>213</v>
      </c>
      <c r="B92" s="11">
        <v>-2705.9100000000012</v>
      </c>
    </row>
    <row r="93" spans="1:2" x14ac:dyDescent="0.25">
      <c r="A93" s="10" t="s">
        <v>214</v>
      </c>
      <c r="B93" s="11">
        <v>-2117.8000000000011</v>
      </c>
    </row>
    <row r="94" spans="1:2" x14ac:dyDescent="0.25">
      <c r="A94" s="10" t="s">
        <v>559</v>
      </c>
      <c r="B94" s="11">
        <v>-588.11000000000013</v>
      </c>
    </row>
    <row r="95" spans="1:2" x14ac:dyDescent="0.25">
      <c r="A95" s="9" t="s">
        <v>212</v>
      </c>
      <c r="B95" s="11">
        <v>-716.31</v>
      </c>
    </row>
    <row r="96" spans="1:2" x14ac:dyDescent="0.25">
      <c r="A96" s="10" t="s">
        <v>353</v>
      </c>
      <c r="B96" s="11">
        <v>-468.02</v>
      </c>
    </row>
    <row r="97" spans="1:2" x14ac:dyDescent="0.25">
      <c r="A97" s="10" t="s">
        <v>478</v>
      </c>
      <c r="B97" s="11">
        <v>-248.29000000000002</v>
      </c>
    </row>
    <row r="98" spans="1:2" x14ac:dyDescent="0.25">
      <c r="A98" s="8" t="s">
        <v>76</v>
      </c>
      <c r="B98" s="11">
        <v>-25125.399999999998</v>
      </c>
    </row>
    <row r="99" spans="1:2" x14ac:dyDescent="0.25">
      <c r="A99" s="9" t="s">
        <v>87</v>
      </c>
      <c r="B99" s="11">
        <v>-3512.139999999999</v>
      </c>
    </row>
    <row r="100" spans="1:2" x14ac:dyDescent="0.25">
      <c r="A100" s="10" t="s">
        <v>88</v>
      </c>
      <c r="B100" s="11">
        <v>-3512.139999999999</v>
      </c>
    </row>
    <row r="101" spans="1:2" x14ac:dyDescent="0.25">
      <c r="A101" s="9" t="s">
        <v>77</v>
      </c>
      <c r="B101" s="11">
        <v>-2738.7200000000003</v>
      </c>
    </row>
    <row r="102" spans="1:2" x14ac:dyDescent="0.25">
      <c r="A102" s="10" t="s">
        <v>760</v>
      </c>
      <c r="B102" s="11">
        <v>-2.02</v>
      </c>
    </row>
    <row r="103" spans="1:2" x14ac:dyDescent="0.25">
      <c r="A103" s="10" t="s">
        <v>78</v>
      </c>
      <c r="B103" s="11">
        <v>-1479.3400000000001</v>
      </c>
    </row>
    <row r="104" spans="1:2" x14ac:dyDescent="0.25">
      <c r="A104" s="10" t="s">
        <v>435</v>
      </c>
      <c r="B104" s="11">
        <v>-150.71999999999997</v>
      </c>
    </row>
    <row r="105" spans="1:2" x14ac:dyDescent="0.25">
      <c r="A105" s="10" t="s">
        <v>539</v>
      </c>
      <c r="B105" s="11">
        <v>-309.95</v>
      </c>
    </row>
    <row r="106" spans="1:2" x14ac:dyDescent="0.25">
      <c r="A106" s="10" t="s">
        <v>565</v>
      </c>
      <c r="B106" s="11">
        <v>-796.68999999999994</v>
      </c>
    </row>
    <row r="107" spans="1:2" x14ac:dyDescent="0.25">
      <c r="A107" s="9" t="s">
        <v>484</v>
      </c>
      <c r="B107" s="11">
        <v>-1022.1500000000001</v>
      </c>
    </row>
    <row r="108" spans="1:2" x14ac:dyDescent="0.25">
      <c r="A108" s="10" t="s">
        <v>485</v>
      </c>
      <c r="B108" s="11">
        <v>-1022.1500000000001</v>
      </c>
    </row>
    <row r="109" spans="1:2" x14ac:dyDescent="0.25">
      <c r="A109" s="9" t="s">
        <v>82</v>
      </c>
      <c r="B109" s="11">
        <v>-17852.39</v>
      </c>
    </row>
    <row r="110" spans="1:2" x14ac:dyDescent="0.25">
      <c r="A110" s="10" t="s">
        <v>83</v>
      </c>
      <c r="B110" s="11">
        <v>-17852.39</v>
      </c>
    </row>
    <row r="111" spans="1:2" x14ac:dyDescent="0.25">
      <c r="A111" s="8" t="s">
        <v>100</v>
      </c>
      <c r="B111" s="11">
        <v>84483.930000000008</v>
      </c>
    </row>
    <row r="112" spans="1:2" x14ac:dyDescent="0.25">
      <c r="A112" s="9" t="s">
        <v>264</v>
      </c>
      <c r="B112" s="11">
        <v>84483.930000000008</v>
      </c>
    </row>
    <row r="113" spans="1:2" x14ac:dyDescent="0.25">
      <c r="A113" s="10" t="s">
        <v>100</v>
      </c>
      <c r="B113" s="11">
        <v>84483.930000000008</v>
      </c>
    </row>
    <row r="114" spans="1:2" x14ac:dyDescent="0.25">
      <c r="A114" s="8" t="s">
        <v>92</v>
      </c>
      <c r="B114" s="11">
        <v>-674.11000000000013</v>
      </c>
    </row>
    <row r="115" spans="1:2" x14ac:dyDescent="0.25">
      <c r="A115" s="9" t="s">
        <v>510</v>
      </c>
      <c r="B115" s="11">
        <v>-181.75000000000003</v>
      </c>
    </row>
    <row r="116" spans="1:2" x14ac:dyDescent="0.25">
      <c r="A116" s="10" t="s">
        <v>510</v>
      </c>
      <c r="B116" s="11">
        <v>-181.75000000000003</v>
      </c>
    </row>
    <row r="117" spans="1:2" x14ac:dyDescent="0.25">
      <c r="A117" s="9" t="s">
        <v>349</v>
      </c>
      <c r="B117" s="11">
        <v>-19.909999999999997</v>
      </c>
    </row>
    <row r="118" spans="1:2" x14ac:dyDescent="0.25">
      <c r="A118" s="10" t="s">
        <v>349</v>
      </c>
      <c r="B118" s="11">
        <v>-7.2899999999999991</v>
      </c>
    </row>
    <row r="119" spans="1:2" x14ac:dyDescent="0.25">
      <c r="A119" s="10" t="s">
        <v>100</v>
      </c>
      <c r="B119" s="11">
        <v>-12.62</v>
      </c>
    </row>
    <row r="120" spans="1:2" x14ac:dyDescent="0.25">
      <c r="A120" s="9" t="s">
        <v>93</v>
      </c>
      <c r="B120" s="11">
        <v>-324</v>
      </c>
    </row>
    <row r="121" spans="1:2" x14ac:dyDescent="0.25">
      <c r="A121" s="10" t="s">
        <v>94</v>
      </c>
      <c r="B121" s="11">
        <v>-324</v>
      </c>
    </row>
    <row r="122" spans="1:2" x14ac:dyDescent="0.25">
      <c r="A122" s="9" t="s">
        <v>104</v>
      </c>
      <c r="B122" s="11">
        <v>-148.44999999999999</v>
      </c>
    </row>
    <row r="123" spans="1:2" x14ac:dyDescent="0.25">
      <c r="A123" s="10" t="s">
        <v>104</v>
      </c>
      <c r="B123" s="11">
        <v>-148.44999999999999</v>
      </c>
    </row>
    <row r="124" spans="1:2" x14ac:dyDescent="0.25">
      <c r="A124" s="8" t="s">
        <v>89</v>
      </c>
      <c r="B124" s="11">
        <v>-4245.7700000000004</v>
      </c>
    </row>
    <row r="125" spans="1:2" x14ac:dyDescent="0.25">
      <c r="A125" s="9" t="s">
        <v>90</v>
      </c>
      <c r="B125" s="11">
        <v>-4245.7700000000004</v>
      </c>
    </row>
    <row r="126" spans="1:2" x14ac:dyDescent="0.25">
      <c r="A126" s="10" t="s">
        <v>91</v>
      </c>
      <c r="B126" s="11">
        <v>-163.32000000000002</v>
      </c>
    </row>
    <row r="127" spans="1:2" x14ac:dyDescent="0.25">
      <c r="A127" s="10" t="s">
        <v>98</v>
      </c>
      <c r="B127" s="11">
        <v>-2539.8200000000006</v>
      </c>
    </row>
    <row r="128" spans="1:2" x14ac:dyDescent="0.25">
      <c r="A128" s="10" t="s">
        <v>128</v>
      </c>
      <c r="B128" s="11">
        <v>-782.85999999999979</v>
      </c>
    </row>
    <row r="129" spans="1:2" x14ac:dyDescent="0.25">
      <c r="A129" s="10" t="s">
        <v>761</v>
      </c>
      <c r="B129" s="11">
        <v>-211.31</v>
      </c>
    </row>
    <row r="130" spans="1:2" x14ac:dyDescent="0.25">
      <c r="A130" s="10" t="s">
        <v>474</v>
      </c>
      <c r="B130" s="11">
        <v>-548.45999999999992</v>
      </c>
    </row>
    <row r="131" spans="1:2" x14ac:dyDescent="0.25">
      <c r="A131" s="8" t="s">
        <v>754</v>
      </c>
      <c r="B131" s="11"/>
    </row>
    <row r="132" spans="1:2" x14ac:dyDescent="0.25">
      <c r="A132" s="9" t="s">
        <v>754</v>
      </c>
      <c r="B132" s="11"/>
    </row>
    <row r="133" spans="1:2" x14ac:dyDescent="0.25">
      <c r="A133" s="10" t="s">
        <v>754</v>
      </c>
      <c r="B133" s="11"/>
    </row>
    <row r="134" spans="1:2" x14ac:dyDescent="0.25">
      <c r="A134" s="8" t="s">
        <v>755</v>
      </c>
      <c r="B134" s="11">
        <v>138718.43999999989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Banks FY2023-2024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 Alavi</dc:creator>
  <cp:lastModifiedBy>MJ Alavi</cp:lastModifiedBy>
  <dcterms:created xsi:type="dcterms:W3CDTF">2015-06-05T18:17:20Z</dcterms:created>
  <dcterms:modified xsi:type="dcterms:W3CDTF">2026-02-14T05:31:30Z</dcterms:modified>
</cp:coreProperties>
</file>